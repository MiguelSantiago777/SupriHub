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âmetros" sheetId="2" state="visible" r:id="rId4"/>
    <sheet name="Cadastro" sheetId="3" state="visible" r:id="rId5"/>
    <sheet name="Habilitação" sheetId="4" state="visible" r:id="rId6"/>
    <sheet name="Contratações" sheetId="5" state="visible" r:id="rId7"/>
    <sheet name="Rodízio" sheetId="6" state="visible" r:id="rId8"/>
    <sheet name="Cotações" sheetId="7" state="visible" r:id="rId9"/>
    <sheet name="Banco de Preços" sheetId="8" state="visible" r:id="rId10"/>
    <sheet name="Sanções" sheetId="9" state="visible" r:id="rId11"/>
    <sheet name="Indicador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<sst xmlns="http://schemas.openxmlformats.org/spreadsheetml/2006/main" count="550" uniqueCount="363">
  <si>
    <t xml:space="preserve">Contrata + NATA — Planilha de Gestão do Cadastro de Fornecedores</t>
  </si>
  <si>
    <t xml:space="preserve">Instituto NATA · Versão 1.0 · Setembro/2026</t>
  </si>
  <si>
    <t xml:space="preserve">Para que serve</t>
  </si>
  <si>
    <t xml:space="preserve">Controlar o credenciamento (Cadastro e Habilitação), enquadrar cada demanda na faixa correta, apontar o próximo do rodízio, julgar cotações com empate ficto, preferência local e desempate por equidade, registrar contratações, sanções e o Banco de Preços, e calcular os indicadores de inclusão do relatório semestral.</t>
  </si>
  <si>
    <t xml:space="preserve">Legenda de cores</t>
  </si>
  <si>
    <t xml:space="preserve">Texto AZUL = célula de entrada (digite). Texto PRETO = fórmula (não altere). Texto VERDE = valor vindo de outra aba. Fundo AMARELO = parâmetro ou célula-chave a revisar.</t>
  </si>
  <si>
    <t xml:space="preserve">Ordem de uso</t>
  </si>
  <si>
    <t xml:space="preserve">1) Revise a aba Parâmetros (limites das faixas do ano, margens e metas). 2) Cadastre cada fornecedor habilitado na aba Cadastro (uma linha por fornecedor; nas colunas de linhas de fornecimento use os códigos separados por ponto e vírgula, ex.: L01;L07). 3) Preencha o checklist na aba Habilitação. 4) Para cada demanda, registre a linha na aba Contratações — a faixa e o modo de seleção são calculados. 5) Na Faixa 1, use a aba Rodízio: informe a linha e o território e ela aponta o próximo credenciado. 6) Nas Faixas 2 e 3, use a aba Cotações para o mapa comparativo. 7) Alimente o Banco de Preços a cada contratação. 8) A aba Indicadores resume tudo para o relatório semestral.</t>
  </si>
  <si>
    <t xml:space="preserve">Linhas de exemplo</t>
  </si>
  <si>
    <t xml:space="preserve">As abas Cadastro, Habilitação, Contratações, Banco de Preços e Sanções trazem linhas de EXEMPLO (marcadas na coluna de observações) apenas para mostrar o formato esperado. Apague-as antes do uso real.</t>
  </si>
  <si>
    <t xml:space="preserve">Atualização anual</t>
  </si>
  <si>
    <t xml:space="preserve">Quando o Governo Federal publicar o decreto que atualiza os valores da Lei nº 14.133/2021 (em 2026: Decreto nº 12.807/2025), altere apenas as células amarelas da aba Parâmetros; todas as fórmulas se ajustam.</t>
  </si>
  <si>
    <t xml:space="preserve">Fonte dos limites</t>
  </si>
  <si>
    <t xml:space="preserve">Faixa 1 = art. 95, § 2º, da Lei nº 14.133/2021 (contrato verbal), R$ 13.098,41 em 2026; Faixa 2 = art. 75, II (dispensa para compras e serviços), R$ 65.492,11 em 2026 — Decreto nº 12.807/2025. Margens de 10% inspiradas nos arts. 44 e 48, § 3º, da LC nº 123/2006.</t>
  </si>
  <si>
    <t xml:space="preserve">Proteção de dados</t>
  </si>
  <si>
    <t xml:space="preserve">Esta planilha contém dados pessoais (CPF, contato, autodeclarações). Restrinja o acesso à Comissão, ao Financeiro e ao Controle Interno; não publique as colunas de raça/cor e CadÚnico; a lista pública deve conter apenas nome/razão social, CNPJ parcial, linhas, porte, indicação de negócio liderado por mulher (se autorizado), município e validade.</t>
  </si>
  <si>
    <t xml:space="preserve">Parâmetros do Contrata + NATA</t>
  </si>
  <si>
    <t xml:space="preserve">Células amarelas: revise anualmente ou quando a Diretoria alterar a Política</t>
  </si>
  <si>
    <t xml:space="preserve">Parâmetro</t>
  </si>
  <si>
    <t xml:space="preserve">Valor</t>
  </si>
  <si>
    <t xml:space="preserve">Fonte / observação</t>
  </si>
  <si>
    <t xml:space="preserve">Ano de referência</t>
  </si>
  <si>
    <t xml:space="preserve">Ano do decreto federal de atualização</t>
  </si>
  <si>
    <t xml:space="preserve">Decreto federal de atualização</t>
  </si>
  <si>
    <t xml:space="preserve">Decreto nº 12.807/2025</t>
  </si>
  <si>
    <t xml:space="preserve">Publicado em 29/12/2025; vigente a partir de 01/01/2026</t>
  </si>
  <si>
    <t xml:space="preserve">Limite superior da Faixa 1 (R$)</t>
  </si>
  <si>
    <t xml:space="preserve">Art. 95, § 2º, Lei nº 14.133/2021 — contrato verbal / contratação direta simplificada</t>
  </si>
  <si>
    <t xml:space="preserve">Limite superior da Faixa 2 (R$)</t>
  </si>
  <si>
    <t xml:space="preserve">Art. 75, II, Lei nº 14.133/2021 — dispensa para compras e serviços</t>
  </si>
  <si>
    <t xml:space="preserve">Margem do empate ficto (pequenos negócios)</t>
  </si>
  <si>
    <t xml:space="preserve">Inspirada no art. 44, § 1º, LC nº 123/2006</t>
  </si>
  <si>
    <t xml:space="preserve">Margem de preferência local/regional</t>
  </si>
  <si>
    <t xml:space="preserve">Inspirada no art. 48, § 3º, LC nº 123/2006 e art. 18 da IN SEGES/MGI nº 52/2025</t>
  </si>
  <si>
    <t xml:space="preserve">Teto sobre a média do Banco de Preços (Faixa 1)</t>
  </si>
  <si>
    <t xml:space="preserve">Proposta no rodízio aceita até média + esta margem</t>
  </si>
  <si>
    <t xml:space="preserve">Validade do credenciamento (meses)</t>
  </si>
  <si>
    <t xml:space="preserve">Art. 22 da Política</t>
  </si>
  <si>
    <t xml:space="preserve">Antecedência do alerta de certidões (dias)</t>
  </si>
  <si>
    <t xml:space="preserve">Aviso "RENOVAR" antes do vencimento</t>
  </si>
  <si>
    <t xml:space="preserve">Meta: % do valor com pequenos negócios</t>
  </si>
  <si>
    <t xml:space="preserve">Art. 15 da Política</t>
  </si>
  <si>
    <t xml:space="preserve">Meta: % do valor com negócios liderados por mulheres</t>
  </si>
  <si>
    <t xml:space="preserve">Meta: % do valor com fornecedores T1</t>
  </si>
  <si>
    <t xml:space="preserve">Meta: avaliação média mínima</t>
  </si>
  <si>
    <t xml:space="preserve">Manual, item 7</t>
  </si>
  <si>
    <t xml:space="preserve">Meta: % máximo de contratações de urgência</t>
  </si>
  <si>
    <t xml:space="preserve">Mínimo de propostas válidas na Faixa 2</t>
  </si>
  <si>
    <t xml:space="preserve">Item 7.1 do Edital</t>
  </si>
  <si>
    <t xml:space="preserve">Listas de validação</t>
  </si>
  <si>
    <t xml:space="preserve">Portes</t>
  </si>
  <si>
    <t xml:space="preserve">Pequeno negócio (auto)</t>
  </si>
  <si>
    <t xml:space="preserve">Territórios</t>
  </si>
  <si>
    <t xml:space="preserve">Status</t>
  </si>
  <si>
    <t xml:space="preserve">Faixas</t>
  </si>
  <si>
    <t xml:space="preserve">Modos</t>
  </si>
  <si>
    <t xml:space="preserve">Sim/Não</t>
  </si>
  <si>
    <t xml:space="preserve">Linhas</t>
  </si>
  <si>
    <t xml:space="preserve">Nome da linha</t>
  </si>
  <si>
    <t xml:space="preserve">MEI</t>
  </si>
  <si>
    <t xml:space="preserve">T1</t>
  </si>
  <si>
    <t xml:space="preserve">Ativo</t>
  </si>
  <si>
    <t xml:space="preserve">Faixa 1</t>
  </si>
  <si>
    <t xml:space="preserve">Rodízio</t>
  </si>
  <si>
    <t xml:space="preserve">S</t>
  </si>
  <si>
    <t xml:space="preserve">L01</t>
  </si>
  <si>
    <t xml:space="preserve">Alimentação — lanches e kits</t>
  </si>
  <si>
    <t xml:space="preserve">ME</t>
  </si>
  <si>
    <t xml:space="preserve">T2</t>
  </si>
  <si>
    <t xml:space="preserve">Em análise</t>
  </si>
  <si>
    <t xml:space="preserve">Faixa 2</t>
  </si>
  <si>
    <t xml:space="preserve">Sorteio</t>
  </si>
  <si>
    <t xml:space="preserve">N</t>
  </si>
  <si>
    <t xml:space="preserve">L02</t>
  </si>
  <si>
    <t xml:space="preserve">Bufê e churrasqueiro</t>
  </si>
  <si>
    <t xml:space="preserve">EPP</t>
  </si>
  <si>
    <t xml:space="preserve">T3</t>
  </si>
  <si>
    <t xml:space="preserve">Inativo temporário</t>
  </si>
  <si>
    <t xml:space="preserve">Faixa 3</t>
  </si>
  <si>
    <t xml:space="preserve">Cotação</t>
  </si>
  <si>
    <t xml:space="preserve">L03</t>
  </si>
  <si>
    <t xml:space="preserve">Sonorização e música</t>
  </si>
  <si>
    <t xml:space="preserve">Cooperativa</t>
  </si>
  <si>
    <t xml:space="preserve">Suspenso</t>
  </si>
  <si>
    <t xml:space="preserve">Chamada</t>
  </si>
  <si>
    <t xml:space="preserve">L04</t>
  </si>
  <si>
    <t xml:space="preserve">Estruturas para eventos</t>
  </si>
  <si>
    <t xml:space="preserve">PF autônoma</t>
  </si>
  <si>
    <t xml:space="preserve">Descredenciado</t>
  </si>
  <si>
    <t xml:space="preserve">Urgência</t>
  </si>
  <si>
    <t xml:space="preserve">L05</t>
  </si>
  <si>
    <t xml:space="preserve">Locação de mobiliário e equipamentos</t>
  </si>
  <si>
    <t xml:space="preserve">Médio/Grande</t>
  </si>
  <si>
    <t xml:space="preserve">L06</t>
  </si>
  <si>
    <t xml:space="preserve">Cerimonial e apoio a eventos</t>
  </si>
  <si>
    <t xml:space="preserve">L07</t>
  </si>
  <si>
    <t xml:space="preserve">Recreação, oficinas e atrações</t>
  </si>
  <si>
    <t xml:space="preserve">L08</t>
  </si>
  <si>
    <t xml:space="preserve">Atividade física e bem-estar</t>
  </si>
  <si>
    <t xml:space="preserve">L09</t>
  </si>
  <si>
    <t xml:space="preserve">Fotografia e audiovisual</t>
  </si>
  <si>
    <t xml:space="preserve">L10</t>
  </si>
  <si>
    <t xml:space="preserve">Comunicação visual e impressão</t>
  </si>
  <si>
    <t xml:space="preserve">L11</t>
  </si>
  <si>
    <t xml:space="preserve">Confecção e uniformes</t>
  </si>
  <si>
    <t xml:space="preserve">L12</t>
  </si>
  <si>
    <t xml:space="preserve">Artesanato e economia criativa</t>
  </si>
  <si>
    <t xml:space="preserve">L13</t>
  </si>
  <si>
    <t xml:space="preserve">Materiais pedagógicos e de consumo</t>
  </si>
  <si>
    <t xml:space="preserve">L14</t>
  </si>
  <si>
    <t xml:space="preserve">Transporte</t>
  </si>
  <si>
    <t xml:space="preserve">L15</t>
  </si>
  <si>
    <t xml:space="preserve">Manutenção e pequenos reparos</t>
  </si>
  <si>
    <t xml:space="preserve">L16</t>
  </si>
  <si>
    <t xml:space="preserve">Limpeza e resíduos</t>
  </si>
  <si>
    <t xml:space="preserve">L17</t>
  </si>
  <si>
    <t xml:space="preserve">Saúde e segurança em eventos</t>
  </si>
  <si>
    <t xml:space="preserve">L18</t>
  </si>
  <si>
    <t xml:space="preserve">Tecnologia da informação</t>
  </si>
  <si>
    <t xml:space="preserve">L19</t>
  </si>
  <si>
    <t xml:space="preserve">Decoração e ambientação</t>
  </si>
  <si>
    <t xml:space="preserve">L20</t>
  </si>
  <si>
    <t xml:space="preserve">Beleza e caracterização</t>
  </si>
  <si>
    <t xml:space="preserve">Cadastro de Fornecedores Credenciados</t>
  </si>
  <si>
    <t xml:space="preserve">Uma linha por fornecedor. Colunas azuis: digite. Colunas pretas: calculadas. Linhas de fornecimento: códigos separados por ";" (ex.: L01;L07).</t>
  </si>
  <si>
    <t xml:space="preserve">ID</t>
  </si>
  <si>
    <t xml:space="preserve">Razão social / Nome</t>
  </si>
  <si>
    <t xml:space="preserve">CNPJ / CPF</t>
  </si>
  <si>
    <t xml:space="preserve">Porte</t>
  </si>
  <si>
    <t xml:space="preserve">Pequeno negócio?</t>
  </si>
  <si>
    <t xml:space="preserve">Liderado por mulher?</t>
  </si>
  <si>
    <t xml:space="preserve">Mulher negra ou CadÚnico? (facultativo)</t>
  </si>
  <si>
    <t xml:space="preserve">Município da sede</t>
  </si>
  <si>
    <t xml:space="preserve">Território</t>
  </si>
  <si>
    <t xml:space="preserve">Linhas de fornecimento</t>
  </si>
  <si>
    <t xml:space="preserve">Telefone / WhatsApp</t>
  </si>
  <si>
    <t xml:space="preserve">E-mail</t>
  </si>
  <si>
    <t xml:space="preserve">Data do credenciamento</t>
  </si>
  <si>
    <t xml:space="preserve">Validade</t>
  </si>
  <si>
    <t xml:space="preserve">Venc. certidão federal</t>
  </si>
  <si>
    <t xml:space="preserve">Venc. FGTS</t>
  </si>
  <si>
    <t xml:space="preserve">Venc. CNDT</t>
  </si>
  <si>
    <t xml:space="preserve">Venc. municipal</t>
  </si>
  <si>
    <t xml:space="preserve">Alerta certidões</t>
  </si>
  <si>
    <t xml:space="preserve">Nº contratações</t>
  </si>
  <si>
    <t xml:space="preserve">Valor contratado (R$)</t>
  </si>
  <si>
    <t xml:space="preserve">Avaliação média</t>
  </si>
  <si>
    <t xml:space="preserve">Última contratação</t>
  </si>
  <si>
    <t xml:space="preserve">Observações</t>
  </si>
  <si>
    <t xml:space="preserve">F001</t>
  </si>
  <si>
    <t xml:space="preserve">Maria das Dores Lanches ME</t>
  </si>
  <si>
    <t xml:space="preserve">12.345.678/0001-90</t>
  </si>
  <si>
    <t xml:space="preserve">Mesquita</t>
  </si>
  <si>
    <t xml:space="preserve">L01;L02</t>
  </si>
  <si>
    <t xml:space="preserve">(21) 99999-0001</t>
  </si>
  <si>
    <t xml:space="preserve">maria@exemplo.com</t>
  </si>
  <si>
    <t xml:space="preserve">EXEMPLO — apagar</t>
  </si>
  <si>
    <t xml:space="preserve">F002</t>
  </si>
  <si>
    <t xml:space="preserve">João Som &amp; Luz MEI</t>
  </si>
  <si>
    <t xml:space="preserve">23.456.789/0001-01</t>
  </si>
  <si>
    <t xml:space="preserve">Nova Iguaçu</t>
  </si>
  <si>
    <t xml:space="preserve">L03;L04</t>
  </si>
  <si>
    <t xml:space="preserve">(21) 99999-0002</t>
  </si>
  <si>
    <t xml:space="preserve">joao@exemplo.com</t>
  </si>
  <si>
    <t xml:space="preserve">F003</t>
  </si>
  <si>
    <t xml:space="preserve">Coletivo Mãos de Mesquita (cooperativa)</t>
  </si>
  <si>
    <t xml:space="preserve">34.567.890/0001-12</t>
  </si>
  <si>
    <t xml:space="preserve">L12;L11</t>
  </si>
  <si>
    <t xml:space="preserve">(21) 99999-0003</t>
  </si>
  <si>
    <t xml:space="preserve">coletivo@exemplo.com</t>
  </si>
  <si>
    <t xml:space="preserve">F004</t>
  </si>
  <si>
    <t xml:space="preserve">Ana Paula Silva (oficineira)</t>
  </si>
  <si>
    <t xml:space="preserve">123.456.789-00</t>
  </si>
  <si>
    <t xml:space="preserve">Rio de Janeiro</t>
  </si>
  <si>
    <t xml:space="preserve">L07;L08</t>
  </si>
  <si>
    <t xml:space="preserve">(21) 99999-0004</t>
  </si>
  <si>
    <t xml:space="preserve">ana@exemplo.com</t>
  </si>
  <si>
    <t xml:space="preserve">F005</t>
  </si>
  <si>
    <t xml:space="preserve">Gráfica Baixada EPP</t>
  </si>
  <si>
    <t xml:space="preserve">45.678.901/0001-23</t>
  </si>
  <si>
    <t xml:space="preserve">Duque de Caxias</t>
  </si>
  <si>
    <t xml:space="preserve">(21) 99999-0005</t>
  </si>
  <si>
    <t xml:space="preserve">grafica@exemplo.com</t>
  </si>
  <si>
    <t xml:space="preserve">F006</t>
  </si>
  <si>
    <t xml:space="preserve">Lanches da Tia Rosa MEI</t>
  </si>
  <si>
    <t xml:space="preserve">56.789.012/0001-34</t>
  </si>
  <si>
    <t xml:space="preserve">(21) 99999-0006</t>
  </si>
  <si>
    <t xml:space="preserve">rosa@exemplo.com</t>
  </si>
  <si>
    <t xml:space="preserve">EXEMPLO — apagar (certidão federal vencida)</t>
  </si>
  <si>
    <t xml:space="preserve">Checklist de Habilitação</t>
  </si>
  <si>
    <t xml:space="preserve">Marque S (apresentado e válido), N (pendente) ou NA (não se aplica ao tipo). Status calculado: Completo / Pendente.</t>
  </si>
  <si>
    <t xml:space="preserve">Fornecedor</t>
  </si>
  <si>
    <t xml:space="preserve">CCMEI / contrato social / estatuto</t>
  </si>
  <si>
    <t xml:space="preserve">Ata de eleição (coop.)</t>
  </si>
  <si>
    <t xml:space="preserve">CNPJ</t>
  </si>
  <si>
    <t xml:space="preserve">Declaração ME/EPP</t>
  </si>
  <si>
    <t xml:space="preserve">Identidade e CPF</t>
  </si>
  <si>
    <t xml:space="preserve">Comprovante de endereço</t>
  </si>
  <si>
    <t xml:space="preserve">Certidão RFB/PGFN</t>
  </si>
  <si>
    <t xml:space="preserve">CRF/FGTS</t>
  </si>
  <si>
    <t xml:space="preserve">CNDT</t>
  </si>
  <si>
    <t xml:space="preserve">Certidão municipal</t>
  </si>
  <si>
    <t xml:space="preserve">Alvará / licença</t>
  </si>
  <si>
    <t xml:space="preserve">NIT/PIS (PF)</t>
  </si>
  <si>
    <t xml:space="preserve">Portfólio / atestados</t>
  </si>
  <si>
    <t xml:space="preserve">Comprovante bancário</t>
  </si>
  <si>
    <t xml:space="preserve">Anexo II Requerimento</t>
  </si>
  <si>
    <t xml:space="preserve">Anexo III Declaração Unificada</t>
  </si>
  <si>
    <t xml:space="preserve">Anexo IV Mulher (opcional)</t>
  </si>
  <si>
    <t xml:space="preserve">Anexo V Termo de Adesão</t>
  </si>
  <si>
    <t xml:space="preserve">Consulta CEIS/CNEP/CEPIM (data)</t>
  </si>
  <si>
    <t xml:space="preserve">Pendências (nº de N)</t>
  </si>
  <si>
    <t xml:space="preserve">Data da análise</t>
  </si>
  <si>
    <t xml:space="preserve">Analista</t>
  </si>
  <si>
    <t xml:space="preserve">NA</t>
  </si>
  <si>
    <t xml:space="preserve">Registro de Contratações (um dossiê por linha)</t>
  </si>
  <si>
    <t xml:space="preserve">Faixa e modo sugerido são calculados a partir do valor estimado e dos Parâmetros. Porte, gênero de liderança e território vêm do Cadastro.</t>
  </si>
  <si>
    <t xml:space="preserve">Nº dossiê</t>
  </si>
  <si>
    <t xml:space="preserve">Data do DFD</t>
  </si>
  <si>
    <t xml:space="preserve">Projeto / parceria</t>
  </si>
  <si>
    <t xml:space="preserve">Linha</t>
  </si>
  <si>
    <t xml:space="preserve">Descrição do objeto</t>
  </si>
  <si>
    <t xml:space="preserve">Valor estimado (R$)</t>
  </si>
  <si>
    <t xml:space="preserve">Faixa</t>
  </si>
  <si>
    <t xml:space="preserve">Modo sugerido</t>
  </si>
  <si>
    <t xml:space="preserve">ID fornecedor</t>
  </si>
  <si>
    <t xml:space="preserve">Data da OF/OS</t>
  </si>
  <si>
    <t xml:space="preserve">Dias úteis DFD→OF</t>
  </si>
  <si>
    <t xml:space="preserve">Data do recebimento</t>
  </si>
  <si>
    <t xml:space="preserve">Nota de avaliação (1-5)</t>
  </si>
  <si>
    <t xml:space="preserve">Data do pagamento</t>
  </si>
  <si>
    <t xml:space="preserve">Urgência?</t>
  </si>
  <si>
    <t xml:space="preserve">Modo aplicado</t>
  </si>
  <si>
    <t xml:space="preserve">Nº propostas</t>
  </si>
  <si>
    <t xml:space="preserve">Dossiê completo?</t>
  </si>
  <si>
    <t xml:space="preserve">2026-BM-001</t>
  </si>
  <si>
    <t xml:space="preserve">Baile da Memória 60+ (TF SEMESQV)</t>
  </si>
  <si>
    <t xml:space="preserve">200 kits lanche para o baile de outubro</t>
  </si>
  <si>
    <t xml:space="preserve">2026-BM-002</t>
  </si>
  <si>
    <t xml:space="preserve">Sonorização e iluminação — palco 6x4, 6h</t>
  </si>
  <si>
    <t xml:space="preserve">2026-EC-003</t>
  </si>
  <si>
    <t xml:space="preserve">Economia Criativa 60+</t>
  </si>
  <si>
    <t xml:space="preserve">Kits de artesanato para 120 participantes</t>
  </si>
  <si>
    <t xml:space="preserve">2026-JL-004</t>
  </si>
  <si>
    <t xml:space="preserve">Jogos da Longevidade 60+</t>
  </si>
  <si>
    <t xml:space="preserve">Oficina de dança sênior — 8 encontros</t>
  </si>
  <si>
    <t xml:space="preserve">2026-JL-005</t>
  </si>
  <si>
    <t xml:space="preserve">Banners, faixas e 500 crachás</t>
  </si>
  <si>
    <t xml:space="preserve">EXEMPLO — apagar (urgência: fornecedor anterior desistiu)</t>
  </si>
  <si>
    <t xml:space="preserve">Rodízio — próximo credenciado da linha (Faixa 1)</t>
  </si>
  <si>
    <t xml:space="preserve">Informe a linha e o território nas células amarelas. A tabela lista os credenciados ativos elegíveis; o "Próximo" é quem está há mais tempo sem contratação (nunca contratado primeiro; empate: credenciamento mais antigo).</t>
  </si>
  <si>
    <t xml:space="preserve">Linha de fornecimento</t>
  </si>
  <si>
    <t xml:space="preserve">PRÓXIMO DO RODÍZIO</t>
  </si>
  <si>
    <t xml:space="preserve">Somente pequenos negócios? (S/N)</t>
  </si>
  <si>
    <t xml:space="preserve">Elegíveis na linha/território:</t>
  </si>
  <si>
    <t xml:space="preserve">Somente negócios liderados por mulheres? (S/N)</t>
  </si>
  <si>
    <t xml:space="preserve">Exclusividade a pequenos negócios cabível (≥3)?</t>
  </si>
  <si>
    <t xml:space="preserve">Mulher?</t>
  </si>
  <si>
    <t xml:space="preserve">Elegível (1/0)</t>
  </si>
  <si>
    <t xml:space="preserve">Ordem no rodízio</t>
  </si>
  <si>
    <t xml:space="preserve">É o próximo?</t>
  </si>
  <si>
    <t xml:space="preserve">chave (auxiliar)</t>
  </si>
  <si>
    <t xml:space="preserve">Mapa comparativo de propostas (Faixas 2 e 3)</t>
  </si>
  <si>
    <t xml:space="preserve">Digite o ID do fornecedor e o valor de cada proposta. A planilha aplica: menor preço → empate ficto (pequenos negócios) → preferência local → desempate por equidade. Confirme o resultado em ata; o "direito de cobrir" deve ser exercido pelo fornecedor indicado.</t>
  </si>
  <si>
    <t xml:space="preserve">Oportunidade nº</t>
  </si>
  <si>
    <t xml:space="preserve">Menor preço válido</t>
  </si>
  <si>
    <t xml:space="preserve">Propostas válidas</t>
  </si>
  <si>
    <t xml:space="preserve">Território da execução (T1 = local)</t>
  </si>
  <si>
    <t xml:space="preserve">Mínimo exigido (Faixa 2) atendido?</t>
  </si>
  <si>
    <t xml:space="preserve">Objeto</t>
  </si>
  <si>
    <t xml:space="preserve">200 kits lanche (exemplo do Manual, item 5)</t>
  </si>
  <si>
    <t xml:space="preserve">VENCEDOR SUGERIDO</t>
  </si>
  <si>
    <t xml:space="preserve">Motivo</t>
  </si>
  <si>
    <t xml:space="preserve">Valor da proposta (R$)</t>
  </si>
  <si>
    <t xml:space="preserve">Mulher negra/CadÚnico?</t>
  </si>
  <si>
    <t xml:space="preserve">% acima do menor</t>
  </si>
  <si>
    <t xml:space="preserve">Empate ficto?</t>
  </si>
  <si>
    <t xml:space="preserve">Candidato final (1/0)</t>
  </si>
  <si>
    <t xml:space="preserve">Pontuação (menor = melhor)</t>
  </si>
  <si>
    <t xml:space="preserve">Vencedor (1/0)</t>
  </si>
  <si>
    <t xml:space="preserve">Como ler</t>
  </si>
  <si>
    <t xml:space="preserve">1) "Empate ficto = S": pequeno negócio até 10% acima do menor preço. 2) Entre o menor preço e os empatados fictos, a pontuação prioriza o território mais próximo (T1 &lt; T2 &lt; T3), depois mulher, mulher negra/CadÚnico, MEI e avaliação. 3) Se o vencedor sugerido não é o de menor preço, ele deve apresentar proposta igual ou inferior ao menor preço em 1 dia útil (item 8.2 do Edital); se não cobrir, o próximo da pontuação é convocado. 4) Persistindo empate exato, faça sorteio e registre em ata.</t>
  </si>
  <si>
    <t xml:space="preserve">Banco de Preços</t>
  </si>
  <si>
    <t xml:space="preserve">Registre cada preço praticado ou cotado. A tabela à direita calcula a média por item e o teto para o rodízio (média + margem).</t>
  </si>
  <si>
    <t xml:space="preserve">Data</t>
  </si>
  <si>
    <t xml:space="preserve">Item (descrição padronizada)</t>
  </si>
  <si>
    <t xml:space="preserve">Unidade</t>
  </si>
  <si>
    <t xml:space="preserve">Preço unitário (R$)</t>
  </si>
  <si>
    <t xml:space="preserve">Fonte (contratação / cotação / Painel de Preços / pesquisa)</t>
  </si>
  <si>
    <t xml:space="preserve">Fornecedor / referência</t>
  </si>
  <si>
    <t xml:space="preserve">Consulta de referência</t>
  </si>
  <si>
    <t xml:space="preserve">Kit lanche (suco 200 ml + sanduíche + fruta)</t>
  </si>
  <si>
    <t xml:space="preserve">unid.</t>
  </si>
  <si>
    <t xml:space="preserve">Contratação 2026-BM-001</t>
  </si>
  <si>
    <t xml:space="preserve">Item (copie a descrição padronizada)</t>
  </si>
  <si>
    <t xml:space="preserve">Nº de registros</t>
  </si>
  <si>
    <t xml:space="preserve">Sonorização + iluminação palco 6x4, 6h</t>
  </si>
  <si>
    <t xml:space="preserve">diária</t>
  </si>
  <si>
    <t xml:space="preserve">Contratação 2026-BM-002</t>
  </si>
  <si>
    <t xml:space="preserve">Preço médio (R$)</t>
  </si>
  <si>
    <t xml:space="preserve">Oficina de dança sênior (2h)</t>
  </si>
  <si>
    <t xml:space="preserve">hora-aula</t>
  </si>
  <si>
    <t xml:space="preserve">Contratação 2026-JL-004</t>
  </si>
  <si>
    <t xml:space="preserve">Menor preço (R$)</t>
  </si>
  <si>
    <t xml:space="preserve">Teto para o rodízio (média + margem)</t>
  </si>
  <si>
    <t xml:space="preserve">Registro de processos sancionadores</t>
  </si>
  <si>
    <t xml:space="preserve">Um processo por linha. Prazos conforme art. 26 da Política.</t>
  </si>
  <si>
    <t xml:space="preserve">Nº processo</t>
  </si>
  <si>
    <t xml:space="preserve">Dossiê relacionado</t>
  </si>
  <si>
    <t xml:space="preserve">Infração (Anexo XII)</t>
  </si>
  <si>
    <t xml:space="preserve">Data da notificação</t>
  </si>
  <si>
    <t xml:space="preserve">Prazo da defesa (5 d.u.)</t>
  </si>
  <si>
    <t xml:space="preserve">Defesa recebida?</t>
  </si>
  <si>
    <t xml:space="preserve">Decisão da Comissão</t>
  </si>
  <si>
    <t xml:space="preserve">Data da decisão</t>
  </si>
  <si>
    <t xml:space="preserve">Recurso?</t>
  </si>
  <si>
    <t xml:space="preserve">Decisão da Diretoria</t>
  </si>
  <si>
    <t xml:space="preserve">Sanção aplicada</t>
  </si>
  <si>
    <t xml:space="preserve">Início</t>
  </si>
  <si>
    <t xml:space="preserve">Fim</t>
  </si>
  <si>
    <t xml:space="preserve">PS-2026-001</t>
  </si>
  <si>
    <t xml:space="preserve">Atraso injustificado na entrega</t>
  </si>
  <si>
    <t xml:space="preserve">Advertência</t>
  </si>
  <si>
    <t xml:space="preserve">Indicadores do Contrata + NATA — relatório semestral</t>
  </si>
  <si>
    <t xml:space="preserve">Calculados automaticamente a partir das abas Cadastro e Contratações. Filtre o período nas células amarelas.</t>
  </si>
  <si>
    <t xml:space="preserve">Período — início</t>
  </si>
  <si>
    <t xml:space="preserve">Período — fim</t>
  </si>
  <si>
    <t xml:space="preserve">Indicador</t>
  </si>
  <si>
    <t xml:space="preserve">Meta</t>
  </si>
  <si>
    <t xml:space="preserve">Situação</t>
  </si>
  <si>
    <t xml:space="preserve">Cálculo</t>
  </si>
  <si>
    <t xml:space="preserve">Credenciados ativos</t>
  </si>
  <si>
    <t xml:space="preserve">Cadastro, status = Ativo</t>
  </si>
  <si>
    <t xml:space="preserve">   dos quais pequenos negócios</t>
  </si>
  <si>
    <t xml:space="preserve">Porte MEI/ME/EPP/Coop./PF</t>
  </si>
  <si>
    <t xml:space="preserve">   dos quais liderados por mulheres</t>
  </si>
  <si>
    <t xml:space="preserve">Anexo IV</t>
  </si>
  <si>
    <t xml:space="preserve">   dos quais do território T1</t>
  </si>
  <si>
    <t xml:space="preserve">Sede em Mesquita/município do projeto</t>
  </si>
  <si>
    <t xml:space="preserve">Credenciados com certidões a renovar</t>
  </si>
  <si>
    <t xml:space="preserve">Alerta da aba Cadastro</t>
  </si>
  <si>
    <t xml:space="preserve">Contratações no período (nº)</t>
  </si>
  <si>
    <t xml:space="preserve">Data da OF/OS dentro do período</t>
  </si>
  <si>
    <t xml:space="preserve">Valor contratado no período (R$)</t>
  </si>
  <si>
    <t xml:space="preserve">Soma do valor contratado</t>
  </si>
  <si>
    <t xml:space="preserve">% do valor com pequenos negócios</t>
  </si>
  <si>
    <t xml:space="preserve">% do valor com negócios liderados por mulheres</t>
  </si>
  <si>
    <t xml:space="preserve">% do valor com fornecedores T1</t>
  </si>
  <si>
    <t xml:space="preserve">Contratações Faixa 1 (nº)</t>
  </si>
  <si>
    <t xml:space="preserve">Contratações Faixa 2 (nº)</t>
  </si>
  <si>
    <t xml:space="preserve">Contratações Faixa 3 (nº)</t>
  </si>
  <si>
    <t xml:space="preserve">Tempo médio DFD → OF (dias úteis)</t>
  </si>
  <si>
    <t xml:space="preserve">Avaliação média dos fornecedores</t>
  </si>
  <si>
    <t xml:space="preserve">Termos de Recebimento</t>
  </si>
  <si>
    <t xml:space="preserve">% de contratações de urgência</t>
  </si>
  <si>
    <t xml:space="preserve">Meta é um máximo</t>
  </si>
  <si>
    <t xml:space="preserve">% de dossiês completos</t>
  </si>
  <si>
    <t xml:space="preserve">Checklist Anexo XIII</t>
  </si>
  <si>
    <t xml:space="preserve">Processos sancionadores abertos no período</t>
  </si>
  <si>
    <t xml:space="preserve">Aba Sanções</t>
  </si>
  <si>
    <t xml:space="preserve">Contratações por linha de fornecimento (período)</t>
  </si>
  <si>
    <t xml:space="preserve">Nome</t>
  </si>
  <si>
    <t xml:space="preserve">Valor (R$)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</si>
</sst>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0%"/>
    <numFmt numFmtId="167" formatCode="dd/mm/yyyy"/>
    <numFmt numFmtId="168" formatCode="0.0"/>
    <numFmt numFmtId="169" formatCode="dd/mm/yyyy;;&quot;nunca&quot;"/>
    <numFmt numFmtId="170" formatCode="General"/>
    <numFmt numFmtId="171" formatCode="0.0%"/>
    <numFmt numFmtId="172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B7F79"/>
      <name val="Arial"/>
      <family val="0"/>
      <charset val="1"/>
    </font>
    <font>
      <sz val="8"/>
      <color rgb="FFAAAAA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FE699"/>
      </patternFill>
    </fill>
    <fill>
      <patternFill patternType="solid">
        <fgColor rgb="FF1B7F7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color rgb="FFAAAAAA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79"/>
      <rgbColor rgb="FFBBBBBB"/>
      <rgbColor rgb="FF808080"/>
      <rgbColor rgb="FF9999FF"/>
      <rgbColor rgb="FF993366"/>
      <rgbColor rgb="FFFFE69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45" hidden="false" customHeight="true" outlineLevel="0" collapsed="false">
      <c r="A4" s="4" t="s">
        <v>2</v>
      </c>
      <c r="B4" s="5" t="s">
        <v>3</v>
      </c>
    </row>
    <row r="5" customFormat="false" ht="30" hidden="false" customHeight="true" outlineLevel="0" collapsed="false">
      <c r="A5" s="4" t="s">
        <v>4</v>
      </c>
      <c r="B5" s="5" t="s">
        <v>5</v>
      </c>
    </row>
    <row r="6" customFormat="false" ht="105" hidden="false" customHeight="true" outlineLevel="0" collapsed="false">
      <c r="A6" s="4" t="s">
        <v>6</v>
      </c>
      <c r="B6" s="5" t="s">
        <v>7</v>
      </c>
    </row>
    <row r="7" customFormat="false" ht="30" hidden="false" customHeight="true" outlineLevel="0" collapsed="false">
      <c r="A7" s="4" t="s">
        <v>8</v>
      </c>
      <c r="B7" s="5" t="s">
        <v>9</v>
      </c>
    </row>
    <row r="8" customFormat="false" ht="30" hidden="false" customHeight="true" outlineLevel="0" collapsed="false">
      <c r="A8" s="4" t="s">
        <v>10</v>
      </c>
      <c r="B8" s="5" t="s">
        <v>11</v>
      </c>
    </row>
    <row r="9" customFormat="false" ht="45" hidden="false" customHeight="true" outlineLevel="0" collapsed="false">
      <c r="A9" s="4" t="s">
        <v>12</v>
      </c>
      <c r="B9" s="5" t="s">
        <v>13</v>
      </c>
    </row>
    <row r="10" customFormat="false" ht="60" hidden="false" customHeight="true" outlineLevel="0" collapsed="false">
      <c r="A10" s="4" t="s">
        <v>14</v>
      </c>
      <c r="B10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6" t="s">
        <v>18</v>
      </c>
      <c r="B4" s="6" t="s">
        <v>19</v>
      </c>
      <c r="C4" s="6" t="s">
        <v>20</v>
      </c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4" t="s">
        <v>21</v>
      </c>
      <c r="B5" s="7" t="n">
        <v>2026</v>
      </c>
      <c r="C5" s="3" t="s">
        <v>22</v>
      </c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4" t="s">
        <v>23</v>
      </c>
      <c r="B6" s="7" t="s">
        <v>24</v>
      </c>
      <c r="C6" s="3" t="s">
        <v>25</v>
      </c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4" t="s">
        <v>26</v>
      </c>
      <c r="B7" s="8" t="n">
        <v>13098.41</v>
      </c>
      <c r="C7" s="3" t="s">
        <v>27</v>
      </c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4" t="s">
        <v>28</v>
      </c>
      <c r="B8" s="8" t="n">
        <v>65492.11</v>
      </c>
      <c r="C8" s="3" t="s">
        <v>29</v>
      </c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4" t="s">
        <v>30</v>
      </c>
      <c r="B9" s="9" t="n">
        <v>0.1</v>
      </c>
      <c r="C9" s="3" t="s">
        <v>31</v>
      </c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4" t="s">
        <v>32</v>
      </c>
      <c r="B10" s="9" t="n">
        <v>0.1</v>
      </c>
      <c r="C10" s="3" t="s">
        <v>33</v>
      </c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4" t="s">
        <v>34</v>
      </c>
      <c r="B11" s="9" t="n">
        <v>0.1</v>
      </c>
      <c r="C11" s="3" t="s">
        <v>35</v>
      </c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4" t="s">
        <v>36</v>
      </c>
      <c r="B12" s="7" t="n">
        <v>24</v>
      </c>
      <c r="C12" s="3" t="s">
        <v>37</v>
      </c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4" t="s">
        <v>38</v>
      </c>
      <c r="B13" s="7" t="n">
        <v>15</v>
      </c>
      <c r="C13" s="3" t="s">
        <v>39</v>
      </c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4" t="s">
        <v>40</v>
      </c>
      <c r="B14" s="9" t="n">
        <v>0.7</v>
      </c>
      <c r="C14" s="3" t="s">
        <v>41</v>
      </c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4" t="s">
        <v>42</v>
      </c>
      <c r="B15" s="9" t="n">
        <v>0.3</v>
      </c>
      <c r="C15" s="3" t="s">
        <v>41</v>
      </c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4" t="s">
        <v>43</v>
      </c>
      <c r="B16" s="9" t="n">
        <v>0.5</v>
      </c>
      <c r="C16" s="3" t="s">
        <v>41</v>
      </c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4" t="s">
        <v>44</v>
      </c>
      <c r="B17" s="8" t="n">
        <v>4</v>
      </c>
      <c r="C17" s="3" t="s">
        <v>45</v>
      </c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4" t="s">
        <v>46</v>
      </c>
      <c r="B18" s="9" t="n">
        <v>0.05</v>
      </c>
      <c r="C18" s="3" t="s">
        <v>45</v>
      </c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4" t="s">
        <v>47</v>
      </c>
      <c r="B19" s="7" t="n">
        <v>3</v>
      </c>
      <c r="C19" s="3" t="s">
        <v>48</v>
      </c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4" t="s">
        <v>49</v>
      </c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10" t="s">
        <v>50</v>
      </c>
      <c r="B23" s="10" t="s">
        <v>51</v>
      </c>
      <c r="C23" s="10" t="s">
        <v>52</v>
      </c>
      <c r="D23" s="10" t="s">
        <v>53</v>
      </c>
      <c r="E23" s="10" t="s">
        <v>54</v>
      </c>
      <c r="F23" s="10" t="s">
        <v>55</v>
      </c>
      <c r="G23" s="10" t="s">
        <v>56</v>
      </c>
      <c r="H23" s="10" t="s">
        <v>57</v>
      </c>
      <c r="I23" s="10" t="s">
        <v>58</v>
      </c>
    </row>
    <row r="24" customFormat="false" ht="15" hidden="false" customHeight="false" outlineLevel="0" collapsed="false">
      <c r="A24" s="11" t="s">
        <v>59</v>
      </c>
      <c r="B24" s="11" t="s">
        <v>59</v>
      </c>
      <c r="C24" s="11" t="s">
        <v>60</v>
      </c>
      <c r="D24" s="11" t="s">
        <v>61</v>
      </c>
      <c r="E24" s="11" t="s">
        <v>62</v>
      </c>
      <c r="F24" s="11" t="s">
        <v>63</v>
      </c>
      <c r="G24" s="11" t="s">
        <v>64</v>
      </c>
      <c r="H24" s="11" t="s">
        <v>65</v>
      </c>
      <c r="I24" s="11" t="s">
        <v>66</v>
      </c>
    </row>
    <row r="25" customFormat="false" ht="15" hidden="false" customHeight="false" outlineLevel="0" collapsed="false">
      <c r="A25" s="11" t="s">
        <v>67</v>
      </c>
      <c r="B25" s="11" t="s">
        <v>67</v>
      </c>
      <c r="C25" s="11" t="s">
        <v>68</v>
      </c>
      <c r="D25" s="11" t="s">
        <v>69</v>
      </c>
      <c r="E25" s="11" t="s">
        <v>70</v>
      </c>
      <c r="F25" s="11" t="s">
        <v>71</v>
      </c>
      <c r="G25" s="11" t="s">
        <v>72</v>
      </c>
      <c r="H25" s="11" t="s">
        <v>73</v>
      </c>
      <c r="I25" s="11" t="s">
        <v>74</v>
      </c>
    </row>
    <row r="26" customFormat="false" ht="15" hidden="false" customHeight="false" outlineLevel="0" collapsed="false">
      <c r="A26" s="11" t="s">
        <v>75</v>
      </c>
      <c r="B26" s="11" t="s">
        <v>75</v>
      </c>
      <c r="C26" s="11" t="s">
        <v>76</v>
      </c>
      <c r="D26" s="11" t="s">
        <v>77</v>
      </c>
      <c r="E26" s="11" t="s">
        <v>78</v>
      </c>
      <c r="F26" s="11" t="s">
        <v>79</v>
      </c>
      <c r="G26" s="2"/>
      <c r="H26" s="11" t="s">
        <v>80</v>
      </c>
      <c r="I26" s="11" t="s">
        <v>81</v>
      </c>
    </row>
    <row r="27" customFormat="false" ht="15" hidden="false" customHeight="false" outlineLevel="0" collapsed="false">
      <c r="A27" s="11" t="s">
        <v>82</v>
      </c>
      <c r="B27" s="11" t="s">
        <v>82</v>
      </c>
      <c r="C27" s="2"/>
      <c r="D27" s="11" t="s">
        <v>83</v>
      </c>
      <c r="E27" s="2"/>
      <c r="F27" s="11" t="s">
        <v>84</v>
      </c>
      <c r="G27" s="2"/>
      <c r="H27" s="11" t="s">
        <v>85</v>
      </c>
      <c r="I27" s="11" t="s">
        <v>86</v>
      </c>
    </row>
    <row r="28" customFormat="false" ht="15" hidden="false" customHeight="false" outlineLevel="0" collapsed="false">
      <c r="A28" s="11" t="s">
        <v>87</v>
      </c>
      <c r="B28" s="11" t="s">
        <v>87</v>
      </c>
      <c r="C28" s="2"/>
      <c r="D28" s="11" t="s">
        <v>88</v>
      </c>
      <c r="E28" s="2"/>
      <c r="F28" s="11" t="s">
        <v>89</v>
      </c>
      <c r="G28" s="2"/>
      <c r="H28" s="11" t="s">
        <v>90</v>
      </c>
      <c r="I28" s="11" t="s">
        <v>91</v>
      </c>
    </row>
    <row r="29" customFormat="false" ht="15" hidden="false" customHeight="false" outlineLevel="0" collapsed="false">
      <c r="A29" s="11" t="s">
        <v>92</v>
      </c>
      <c r="B29" s="2"/>
      <c r="C29" s="2"/>
      <c r="D29" s="2"/>
      <c r="E29" s="2"/>
      <c r="F29" s="2"/>
      <c r="G29" s="2"/>
      <c r="H29" s="11" t="s">
        <v>93</v>
      </c>
      <c r="I29" s="11" t="s">
        <v>94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11" t="s">
        <v>95</v>
      </c>
      <c r="I30" s="11" t="s">
        <v>96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11" t="s">
        <v>97</v>
      </c>
      <c r="I31" s="11" t="s">
        <v>98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 t="s">
        <v>99</v>
      </c>
      <c r="I32" s="11" t="s">
        <v>100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11" t="s">
        <v>101</v>
      </c>
      <c r="I33" s="11" t="s">
        <v>102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11" t="s">
        <v>103</v>
      </c>
      <c r="I34" s="11" t="s">
        <v>104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11" t="s">
        <v>105</v>
      </c>
      <c r="I35" s="11" t="s">
        <v>106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11" t="s">
        <v>107</v>
      </c>
      <c r="I36" s="11" t="s">
        <v>108</v>
      </c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11" t="s">
        <v>109</v>
      </c>
      <c r="I37" s="11" t="s">
        <v>110</v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11" t="s">
        <v>111</v>
      </c>
      <c r="I38" s="11" t="s">
        <v>112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11" t="s">
        <v>113</v>
      </c>
      <c r="I39" s="11" t="s">
        <v>114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11" t="s">
        <v>115</v>
      </c>
      <c r="I40" s="11" t="s">
        <v>116</v>
      </c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11" t="s">
        <v>117</v>
      </c>
      <c r="I41" s="11" t="s">
        <v>118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11" t="s">
        <v>119</v>
      </c>
      <c r="I42" s="11" t="s">
        <v>120</v>
      </c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11" t="s">
        <v>121</v>
      </c>
      <c r="I43" s="11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1" min="10" style="0" width="18"/>
    <col collapsed="false" customWidth="true" hidden="false" outlineLevel="0" max="12" min="12" style="0" width="24"/>
    <col collapsed="false" customWidth="true" hidden="false" outlineLevel="0" max="14" min="13" style="0" width="13"/>
    <col collapsed="false" customWidth="true" hidden="false" outlineLevel="0" max="15" min="15" style="0" width="16"/>
    <col collapsed="false" customWidth="true" hidden="false" outlineLevel="0" max="19" min="16" style="0" width="13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16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30"/>
  </cols>
  <sheetData>
    <row r="1" customFormat="false" ht="17.35" hidden="false" customHeight="false" outlineLevel="0" collapsed="false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" hidden="false" customHeight="false" outlineLevel="0" collapsed="false">
      <c r="A2" s="3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31.5" hidden="false" customHeight="true" outlineLevel="0" collapsed="false">
      <c r="A4" s="6" t="s">
        <v>125</v>
      </c>
      <c r="B4" s="6" t="s">
        <v>126</v>
      </c>
      <c r="C4" s="6" t="s">
        <v>127</v>
      </c>
      <c r="D4" s="6" t="s">
        <v>128</v>
      </c>
      <c r="E4" s="6" t="s">
        <v>129</v>
      </c>
      <c r="F4" s="6" t="s">
        <v>130</v>
      </c>
      <c r="G4" s="6" t="s">
        <v>131</v>
      </c>
      <c r="H4" s="6" t="s">
        <v>132</v>
      </c>
      <c r="I4" s="6" t="s">
        <v>133</v>
      </c>
      <c r="J4" s="6" t="s">
        <v>134</v>
      </c>
      <c r="K4" s="6" t="s">
        <v>135</v>
      </c>
      <c r="L4" s="6" t="s">
        <v>136</v>
      </c>
      <c r="M4" s="6" t="s">
        <v>137</v>
      </c>
      <c r="N4" s="6" t="s">
        <v>138</v>
      </c>
      <c r="O4" s="6" t="s">
        <v>53</v>
      </c>
      <c r="P4" s="6" t="s">
        <v>139</v>
      </c>
      <c r="Q4" s="6" t="s">
        <v>140</v>
      </c>
      <c r="R4" s="6" t="s">
        <v>141</v>
      </c>
      <c r="S4" s="6" t="s">
        <v>142</v>
      </c>
      <c r="T4" s="6" t="s">
        <v>143</v>
      </c>
      <c r="U4" s="6" t="s">
        <v>144</v>
      </c>
      <c r="V4" s="6" t="s">
        <v>145</v>
      </c>
      <c r="W4" s="6" t="s">
        <v>146</v>
      </c>
      <c r="X4" s="6" t="s">
        <v>147</v>
      </c>
      <c r="Y4" s="6" t="s">
        <v>148</v>
      </c>
    </row>
    <row r="5" customFormat="false" ht="15" hidden="false" customHeight="false" outlineLevel="0" collapsed="false">
      <c r="A5" s="11" t="s">
        <v>149</v>
      </c>
      <c r="B5" s="11" t="s">
        <v>150</v>
      </c>
      <c r="C5" s="11" t="s">
        <v>151</v>
      </c>
      <c r="D5" s="11" t="s">
        <v>67</v>
      </c>
      <c r="E5" s="12" t="str">
        <f aca="false">IF(D5="","",IF(OR(D5="MEI",D5="ME",D5="EPP",D5="Cooperativa",D5="PF autônoma"),"S","N"))</f>
        <v>S</v>
      </c>
      <c r="F5" s="11" t="s">
        <v>64</v>
      </c>
      <c r="G5" s="11" t="s">
        <v>64</v>
      </c>
      <c r="H5" s="11" t="s">
        <v>152</v>
      </c>
      <c r="I5" s="11" t="s">
        <v>60</v>
      </c>
      <c r="J5" s="11" t="s">
        <v>153</v>
      </c>
      <c r="K5" s="11" t="s">
        <v>154</v>
      </c>
      <c r="L5" s="11" t="s">
        <v>155</v>
      </c>
      <c r="M5" s="13" t="n">
        <v>46296</v>
      </c>
      <c r="N5" s="14" t="n">
        <f aca="false">IF(M5="","",EDATE(M5,Parâmetros!$B$12))</f>
        <v>47027</v>
      </c>
      <c r="O5" s="11" t="s">
        <v>61</v>
      </c>
      <c r="P5" s="13" t="n">
        <v>46476</v>
      </c>
      <c r="Q5" s="13" t="n">
        <v>46341</v>
      </c>
      <c r="R5" s="13" t="n">
        <v>46476</v>
      </c>
      <c r="S5" s="13" t="n">
        <v>46418</v>
      </c>
      <c r="T5" s="12" t="str">
        <f aca="true">IF(A5="","",IF(OR(AND(P5&lt;&gt;"",P5&lt;=TODAY()+Parâmetros!$B$13),AND(Q5&lt;&gt;"",Q5&lt;=TODAY()+Parâmetros!$B$13),AND(R5&lt;&gt;"",R5&lt;=TODAY()+Parâmetros!$B$13),AND(S5&lt;&gt;"",S5&lt;=TODAY()+Parâmetros!$B$13)),"RENOVAR","OK"))</f>
        <v>OK</v>
      </c>
      <c r="U5" s="12" t="n">
        <f aca="false">IF(A5="","",COUNTIF(Contratações!$I$5:$I$504,A5))</f>
        <v>1</v>
      </c>
      <c r="V5" s="15" t="n">
        <f aca="false">IF(A5="","",SUMIF(Contratações!$I$5:$I$504,A5,Contratações!$N$5:$N$504))</f>
        <v>3850</v>
      </c>
      <c r="W5" s="16" t="n">
        <f aca="false">IF(A5="","",IFERROR(AVERAGEIFS(Contratações!$R$5:$R$504,Contratações!$I$5:$I$504,A5,Contratações!$R$5:$R$504,"&gt;0"),""))</f>
        <v>5</v>
      </c>
      <c r="X5" s="14" t="n">
        <f aca="false">IF(A5="","",IF(U5=0,"nunca",_xlfn.MAXIFS(Contratações!$O$5:$O$504,Contratações!$I$5:$I$504,A5)))</f>
        <v>46315</v>
      </c>
      <c r="Y5" s="11" t="s">
        <v>156</v>
      </c>
    </row>
    <row r="6" customFormat="false" ht="15" hidden="false" customHeight="false" outlineLevel="0" collapsed="false">
      <c r="A6" s="11" t="s">
        <v>157</v>
      </c>
      <c r="B6" s="11" t="s">
        <v>158</v>
      </c>
      <c r="C6" s="11" t="s">
        <v>159</v>
      </c>
      <c r="D6" s="11" t="s">
        <v>59</v>
      </c>
      <c r="E6" s="12" t="str">
        <f aca="false">IF(D6="","",IF(OR(D6="MEI",D6="ME",D6="EPP",D6="Cooperativa",D6="PF autônoma"),"S","N"))</f>
        <v>S</v>
      </c>
      <c r="F6" s="11" t="s">
        <v>72</v>
      </c>
      <c r="G6" s="11" t="s">
        <v>72</v>
      </c>
      <c r="H6" s="11" t="s">
        <v>160</v>
      </c>
      <c r="I6" s="11" t="s">
        <v>68</v>
      </c>
      <c r="J6" s="11" t="s">
        <v>161</v>
      </c>
      <c r="K6" s="11" t="s">
        <v>162</v>
      </c>
      <c r="L6" s="11" t="s">
        <v>163</v>
      </c>
      <c r="M6" s="13" t="n">
        <v>46298</v>
      </c>
      <c r="N6" s="14" t="n">
        <f aca="false">IF(M6="","",EDATE(M6,Parâmetros!$B$12))</f>
        <v>47029</v>
      </c>
      <c r="O6" s="11" t="s">
        <v>61</v>
      </c>
      <c r="P6" s="13" t="n">
        <v>46476</v>
      </c>
      <c r="Q6" s="13" t="n">
        <v>46315</v>
      </c>
      <c r="R6" s="13" t="n">
        <v>46476</v>
      </c>
      <c r="S6" s="13" t="n">
        <v>46446</v>
      </c>
      <c r="T6" s="12" t="str">
        <f aca="true">IF(A6="","",IF(OR(AND(P6&lt;&gt;"",P6&lt;=TODAY()+Parâmetros!$B$13),AND(Q6&lt;&gt;"",Q6&lt;=TODAY()+Parâmetros!$B$13),AND(R6&lt;&gt;"",R6&lt;=TODAY()+Parâmetros!$B$13),AND(S6&lt;&gt;"",S6&lt;=TODAY()+Parâmetros!$B$13)),"RENOVAR","OK"))</f>
        <v>OK</v>
      </c>
      <c r="U6" s="12" t="n">
        <f aca="false">IF(A6="","",COUNTIF(Contratações!$I$5:$I$504,A6))</f>
        <v>1</v>
      </c>
      <c r="V6" s="15" t="n">
        <f aca="false">IF(A6="","",SUMIF(Contratações!$I$5:$I$504,A6,Contratações!$N$5:$N$504))</f>
        <v>17200</v>
      </c>
      <c r="W6" s="16" t="n">
        <f aca="false">IF(A6="","",IFERROR(AVERAGEIFS(Contratações!$R$5:$R$504,Contratações!$I$5:$I$504,A6,Contratações!$R$5:$R$504,"&gt;0"),""))</f>
        <v>4</v>
      </c>
      <c r="X6" s="14" t="n">
        <f aca="false">IF(A6="","",IF(U6=0,"nunca",_xlfn.MAXIFS(Contratações!$O$5:$O$504,Contratações!$I$5:$I$504,A6)))</f>
        <v>46318</v>
      </c>
      <c r="Y6" s="11" t="s">
        <v>156</v>
      </c>
    </row>
    <row r="7" customFormat="false" ht="15" hidden="false" customHeight="false" outlineLevel="0" collapsed="false">
      <c r="A7" s="11" t="s">
        <v>164</v>
      </c>
      <c r="B7" s="11" t="s">
        <v>165</v>
      </c>
      <c r="C7" s="11" t="s">
        <v>166</v>
      </c>
      <c r="D7" s="11" t="s">
        <v>82</v>
      </c>
      <c r="E7" s="12" t="str">
        <f aca="false">IF(D7="","",IF(OR(D7="MEI",D7="ME",D7="EPP",D7="Cooperativa",D7="PF autônoma"),"S","N"))</f>
        <v>S</v>
      </c>
      <c r="F7" s="11" t="s">
        <v>64</v>
      </c>
      <c r="G7" s="11" t="s">
        <v>64</v>
      </c>
      <c r="H7" s="11" t="s">
        <v>152</v>
      </c>
      <c r="I7" s="11" t="s">
        <v>60</v>
      </c>
      <c r="J7" s="11" t="s">
        <v>167</v>
      </c>
      <c r="K7" s="11" t="s">
        <v>168</v>
      </c>
      <c r="L7" s="11" t="s">
        <v>169</v>
      </c>
      <c r="M7" s="13" t="n">
        <v>46300</v>
      </c>
      <c r="N7" s="14" t="n">
        <f aca="false">IF(M7="","",EDATE(M7,Parâmetros!$B$12))</f>
        <v>47031</v>
      </c>
      <c r="O7" s="11" t="s">
        <v>61</v>
      </c>
      <c r="P7" s="13" t="n">
        <v>46476</v>
      </c>
      <c r="Q7" s="13" t="n">
        <v>46476</v>
      </c>
      <c r="R7" s="13" t="n">
        <v>46476</v>
      </c>
      <c r="S7" s="13" t="n">
        <v>46476</v>
      </c>
      <c r="T7" s="12" t="str">
        <f aca="true">IF(A7="","",IF(OR(AND(P7&lt;&gt;"",P7&lt;=TODAY()+Parâmetros!$B$13),AND(Q7&lt;&gt;"",Q7&lt;=TODAY()+Parâmetros!$B$13),AND(R7&lt;&gt;"",R7&lt;=TODAY()+Parâmetros!$B$13),AND(S7&lt;&gt;"",S7&lt;=TODAY()+Parâmetros!$B$13)),"RENOVAR","OK"))</f>
        <v>OK</v>
      </c>
      <c r="U7" s="12" t="n">
        <f aca="false">IF(A7="","",COUNTIF(Contratações!$I$5:$I$504,A7))</f>
        <v>1</v>
      </c>
      <c r="V7" s="15" t="n">
        <f aca="false">IF(A7="","",SUMIF(Contratações!$I$5:$I$504,A7,Contratações!$N$5:$N$504))</f>
        <v>9600</v>
      </c>
      <c r="W7" s="16" t="n">
        <f aca="false">IF(A7="","",IFERROR(AVERAGEIFS(Contratações!$R$5:$R$504,Contratações!$I$5:$I$504,A7,Contratações!$R$5:$R$504,"&gt;0"),""))</f>
        <v>5</v>
      </c>
      <c r="X7" s="14" t="n">
        <f aca="false">IF(A7="","",IF(U7=0,"nunca",_xlfn.MAXIFS(Contratações!$O$5:$O$504,Contratações!$I$5:$I$504,A7)))</f>
        <v>46317</v>
      </c>
      <c r="Y7" s="11" t="s">
        <v>156</v>
      </c>
    </row>
    <row r="8" customFormat="false" ht="15" hidden="false" customHeight="false" outlineLevel="0" collapsed="false">
      <c r="A8" s="11" t="s">
        <v>170</v>
      </c>
      <c r="B8" s="11" t="s">
        <v>171</v>
      </c>
      <c r="C8" s="11" t="s">
        <v>172</v>
      </c>
      <c r="D8" s="11" t="s">
        <v>87</v>
      </c>
      <c r="E8" s="12" t="str">
        <f aca="false">IF(D8="","",IF(OR(D8="MEI",D8="ME",D8="EPP",D8="Cooperativa",D8="PF autônoma"),"S","N"))</f>
        <v>S</v>
      </c>
      <c r="F8" s="11" t="s">
        <v>64</v>
      </c>
      <c r="G8" s="11" t="s">
        <v>72</v>
      </c>
      <c r="H8" s="11" t="s">
        <v>173</v>
      </c>
      <c r="I8" s="11" t="s">
        <v>60</v>
      </c>
      <c r="J8" s="11" t="s">
        <v>174</v>
      </c>
      <c r="K8" s="11" t="s">
        <v>175</v>
      </c>
      <c r="L8" s="11" t="s">
        <v>176</v>
      </c>
      <c r="M8" s="13" t="n">
        <v>46303</v>
      </c>
      <c r="N8" s="14" t="n">
        <f aca="false">IF(M8="","",EDATE(M8,Parâmetros!$B$12))</f>
        <v>47034</v>
      </c>
      <c r="O8" s="11" t="s">
        <v>61</v>
      </c>
      <c r="P8" s="13" t="n">
        <v>46476</v>
      </c>
      <c r="Q8" s="13"/>
      <c r="R8" s="13" t="n">
        <v>46476</v>
      </c>
      <c r="S8" s="13"/>
      <c r="T8" s="12" t="str">
        <f aca="true">IF(A8="","",IF(OR(AND(P8&lt;&gt;"",P8&lt;=TODAY()+Parâmetros!$B$13),AND(Q8&lt;&gt;"",Q8&lt;=TODAY()+Parâmetros!$B$13),AND(R8&lt;&gt;"",R8&lt;=TODAY()+Parâmetros!$B$13),AND(S8&lt;&gt;"",S8&lt;=TODAY()+Parâmetros!$B$13)),"RENOVAR","OK"))</f>
        <v>OK</v>
      </c>
      <c r="U8" s="12" t="n">
        <f aca="false">IF(A8="","",COUNTIF(Contratações!$I$5:$I$504,A8))</f>
        <v>1</v>
      </c>
      <c r="V8" s="15" t="n">
        <f aca="false">IF(A8="","",SUMIF(Contratações!$I$5:$I$504,A8,Contratações!$N$5:$N$504))</f>
        <v>4000</v>
      </c>
      <c r="W8" s="16" t="n">
        <f aca="false">IF(A8="","",IFERROR(AVERAGEIFS(Contratações!$R$5:$R$504,Contratações!$I$5:$I$504,A8,Contratações!$R$5:$R$504,"&gt;0"),""))</f>
        <v>5</v>
      </c>
      <c r="X8" s="14" t="n">
        <f aca="false">IF(A8="","",IF(U8=0,"nunca",_xlfn.MAXIFS(Contratações!$O$5:$O$504,Contratações!$I$5:$I$504,A8)))</f>
        <v>46331</v>
      </c>
      <c r="Y8" s="11" t="s">
        <v>156</v>
      </c>
    </row>
    <row r="9" customFormat="false" ht="15" hidden="false" customHeight="false" outlineLevel="0" collapsed="false">
      <c r="A9" s="11" t="s">
        <v>177</v>
      </c>
      <c r="B9" s="11" t="s">
        <v>178</v>
      </c>
      <c r="C9" s="11" t="s">
        <v>179</v>
      </c>
      <c r="D9" s="11" t="s">
        <v>75</v>
      </c>
      <c r="E9" s="12" t="str">
        <f aca="false">IF(D9="","",IF(OR(D9="MEI",D9="ME",D9="EPP",D9="Cooperativa",D9="PF autônoma"),"S","N"))</f>
        <v>S</v>
      </c>
      <c r="F9" s="11" t="s">
        <v>72</v>
      </c>
      <c r="G9" s="11" t="s">
        <v>72</v>
      </c>
      <c r="H9" s="11" t="s">
        <v>180</v>
      </c>
      <c r="I9" s="11" t="s">
        <v>68</v>
      </c>
      <c r="J9" s="11" t="s">
        <v>101</v>
      </c>
      <c r="K9" s="11" t="s">
        <v>181</v>
      </c>
      <c r="L9" s="11" t="s">
        <v>182</v>
      </c>
      <c r="M9" s="13" t="n">
        <v>46305</v>
      </c>
      <c r="N9" s="14" t="n">
        <f aca="false">IF(M9="","",EDATE(M9,Parâmetros!$B$12))</f>
        <v>47036</v>
      </c>
      <c r="O9" s="11" t="s">
        <v>61</v>
      </c>
      <c r="P9" s="13" t="n">
        <v>46476</v>
      </c>
      <c r="Q9" s="13" t="n">
        <v>46357</v>
      </c>
      <c r="R9" s="13" t="n">
        <v>46476</v>
      </c>
      <c r="S9" s="13" t="n">
        <v>46476</v>
      </c>
      <c r="T9" s="12" t="str">
        <f aca="true">IF(A9="","",IF(OR(AND(P9&lt;&gt;"",P9&lt;=TODAY()+Parâmetros!$B$13),AND(Q9&lt;&gt;"",Q9&lt;=TODAY()+Parâmetros!$B$13),AND(R9&lt;&gt;"",R9&lt;=TODAY()+Parâmetros!$B$13),AND(S9&lt;&gt;"",S9&lt;=TODAY()+Parâmetros!$B$13)),"RENOVAR","OK"))</f>
        <v>OK</v>
      </c>
      <c r="U9" s="12" t="n">
        <f aca="false">IF(A9="","",COUNTIF(Contratações!$I$5:$I$504,A9))</f>
        <v>1</v>
      </c>
      <c r="V9" s="15" t="n">
        <f aca="false">IF(A9="","",SUMIF(Contratações!$I$5:$I$504,A9,Contratações!$N$5:$N$504))</f>
        <v>5900</v>
      </c>
      <c r="W9" s="16" t="n">
        <f aca="false">IF(A9="","",IFERROR(AVERAGEIFS(Contratações!$R$5:$R$504,Contratações!$I$5:$I$504,A9,Contratações!$R$5:$R$504,"&gt;0"),""))</f>
        <v>3</v>
      </c>
      <c r="X9" s="14" t="n">
        <f aca="false">IF(A9="","",IF(U9=0,"nunca",_xlfn.MAXIFS(Contratações!$O$5:$O$504,Contratações!$I$5:$I$504,A9)))</f>
        <v>46332</v>
      </c>
      <c r="Y9" s="11" t="s">
        <v>156</v>
      </c>
    </row>
    <row r="10" customFormat="false" ht="15" hidden="false" customHeight="false" outlineLevel="0" collapsed="false">
      <c r="A10" s="11" t="s">
        <v>183</v>
      </c>
      <c r="B10" s="11" t="s">
        <v>184</v>
      </c>
      <c r="C10" s="11" t="s">
        <v>185</v>
      </c>
      <c r="D10" s="11" t="s">
        <v>59</v>
      </c>
      <c r="E10" s="12" t="str">
        <f aca="false">IF(D10="","",IF(OR(D10="MEI",D10="ME",D10="EPP",D10="Cooperativa",D10="PF autônoma"),"S","N"))</f>
        <v>S</v>
      </c>
      <c r="F10" s="11" t="s">
        <v>64</v>
      </c>
      <c r="G10" s="11" t="s">
        <v>64</v>
      </c>
      <c r="H10" s="11" t="s">
        <v>152</v>
      </c>
      <c r="I10" s="11" t="s">
        <v>60</v>
      </c>
      <c r="J10" s="11" t="s">
        <v>65</v>
      </c>
      <c r="K10" s="11" t="s">
        <v>186</v>
      </c>
      <c r="L10" s="11" t="s">
        <v>187</v>
      </c>
      <c r="M10" s="13" t="n">
        <v>46307</v>
      </c>
      <c r="N10" s="14" t="n">
        <f aca="false">IF(M10="","",EDATE(M10,Parâmetros!$B$12))</f>
        <v>47038</v>
      </c>
      <c r="O10" s="11" t="s">
        <v>77</v>
      </c>
      <c r="P10" s="13" t="n">
        <v>46295</v>
      </c>
      <c r="Q10" s="13" t="n">
        <v>46357</v>
      </c>
      <c r="R10" s="13" t="n">
        <v>46476</v>
      </c>
      <c r="S10" s="13" t="n">
        <v>46476</v>
      </c>
      <c r="T10" s="12" t="str">
        <f aca="true">IF(A10="","",IF(OR(AND(P10&lt;&gt;"",P10&lt;=TODAY()+Parâmetros!$B$13),AND(Q10&lt;&gt;"",Q10&lt;=TODAY()+Parâmetros!$B$13),AND(R10&lt;&gt;"",R10&lt;=TODAY()+Parâmetros!$B$13),AND(S10&lt;&gt;"",S10&lt;=TODAY()+Parâmetros!$B$13)),"RENOVAR","OK"))</f>
        <v>OK</v>
      </c>
      <c r="U10" s="12" t="n">
        <f aca="false">IF(A10="","",COUNTIF(Contratações!$I$5:$I$504,A10))</f>
        <v>0</v>
      </c>
      <c r="V10" s="15" t="n">
        <f aca="false">IF(A10="","",SUMIF(Contratações!$I$5:$I$504,A10,Contratações!$N$5:$N$504))</f>
        <v>0</v>
      </c>
      <c r="W10" s="16" t="str">
        <f aca="false">IF(A10="","",IFERROR(AVERAGEIFS(Contratações!$R$5:$R$504,Contratações!$I$5:$I$504,A10,Contratações!$R$5:$R$504,"&gt;0"),""))</f>
        <v/>
      </c>
      <c r="X10" s="14" t="str">
        <f aca="false">IF(A10="","",IF(U10=0,"nunca",_xlfn.MAXIFS(Contratações!$O$5:$O$504,Contratações!$I$5:$I$504,A10)))</f>
        <v>nunca</v>
      </c>
      <c r="Y10" s="11" t="s">
        <v>188</v>
      </c>
    </row>
    <row r="11" customFormat="false" ht="15" hidden="false" customHeight="false" outlineLevel="0" collapsed="false">
      <c r="A11" s="11"/>
      <c r="B11" s="11"/>
      <c r="C11" s="11"/>
      <c r="D11" s="11"/>
      <c r="E11" s="12" t="str">
        <f aca="false">IF(D11="","",IF(OR(D11="MEI",D11="ME",D11="EPP",D11="Cooperativa",D11="PF autônoma"),"S","N"))</f>
        <v/>
      </c>
      <c r="F11" s="11"/>
      <c r="G11" s="11"/>
      <c r="H11" s="11"/>
      <c r="I11" s="11"/>
      <c r="J11" s="11"/>
      <c r="K11" s="11"/>
      <c r="L11" s="11"/>
      <c r="M11" s="13"/>
      <c r="N11" s="14" t="str">
        <f aca="false">IF(M11="","",EDATE(M11,Parâmetros!$B$12))</f>
        <v/>
      </c>
      <c r="O11" s="11"/>
      <c r="P11" s="13"/>
      <c r="Q11" s="13"/>
      <c r="R11" s="13"/>
      <c r="S11" s="13"/>
      <c r="T11" s="12" t="str">
        <f aca="true">IF(A11="","",IF(OR(AND(P11&lt;&gt;"",P11&lt;=TODAY()+Parâmetros!$B$13),AND(Q11&lt;&gt;"",Q11&lt;=TODAY()+Parâmetros!$B$13),AND(R11&lt;&gt;"",R11&lt;=TODAY()+Parâmetros!$B$13),AND(S11&lt;&gt;"",S11&lt;=TODAY()+Parâmetros!$B$13)),"RENOVAR","OK"))</f>
        <v/>
      </c>
      <c r="U11" s="12" t="str">
        <f aca="false">IF(A11="","",COUNTIF(Contratações!$I$5:$I$504,A11))</f>
        <v/>
      </c>
      <c r="V11" s="15" t="str">
        <f aca="false">IF(A11="","",SUMIF(Contratações!$I$5:$I$504,A11,Contratações!$N$5:$N$504))</f>
        <v/>
      </c>
      <c r="W11" s="16" t="str">
        <f aca="false">IF(A11="","",IFERROR(AVERAGEIFS(Contratações!$R$5:$R$504,Contratações!$I$5:$I$504,A11,Contratações!$R$5:$R$504,"&gt;0"),""))</f>
        <v/>
      </c>
      <c r="X11" s="14" t="str">
        <f aca="false">IF(A11="","",IF(U11=0,"nunca",_xlfn.MAXIFS(Contratações!$O$5:$O$504,Contratações!$I$5:$I$504,A11)))</f>
        <v/>
      </c>
      <c r="Y11" s="11"/>
    </row>
    <row r="12" customFormat="false" ht="15" hidden="false" customHeight="false" outlineLevel="0" collapsed="false">
      <c r="A12" s="11"/>
      <c r="B12" s="11"/>
      <c r="C12" s="11"/>
      <c r="D12" s="11"/>
      <c r="E12" s="12" t="str">
        <f aca="false">IF(D12="","",IF(OR(D12="MEI",D12="ME",D12="EPP",D12="Cooperativa",D12="PF autônoma"),"S","N"))</f>
        <v/>
      </c>
      <c r="F12" s="11"/>
      <c r="G12" s="11"/>
      <c r="H12" s="11"/>
      <c r="I12" s="11"/>
      <c r="J12" s="11"/>
      <c r="K12" s="11"/>
      <c r="L12" s="11"/>
      <c r="M12" s="13"/>
      <c r="N12" s="14" t="str">
        <f aca="false">IF(M12="","",EDATE(M12,Parâmetros!$B$12))</f>
        <v/>
      </c>
      <c r="O12" s="11"/>
      <c r="P12" s="13"/>
      <c r="Q12" s="13"/>
      <c r="R12" s="13"/>
      <c r="S12" s="13"/>
      <c r="T12" s="12" t="str">
        <f aca="true">IF(A12="","",IF(OR(AND(P12&lt;&gt;"",P12&lt;=TODAY()+Parâmetros!$B$13),AND(Q12&lt;&gt;"",Q12&lt;=TODAY()+Parâmetros!$B$13),AND(R12&lt;&gt;"",R12&lt;=TODAY()+Parâmetros!$B$13),AND(S12&lt;&gt;"",S12&lt;=TODAY()+Parâmetros!$B$13)),"RENOVAR","OK"))</f>
        <v/>
      </c>
      <c r="U12" s="12" t="str">
        <f aca="false">IF(A12="","",COUNTIF(Contratações!$I$5:$I$504,A12))</f>
        <v/>
      </c>
      <c r="V12" s="15" t="str">
        <f aca="false">IF(A12="","",SUMIF(Contratações!$I$5:$I$504,A12,Contratações!$N$5:$N$504))</f>
        <v/>
      </c>
      <c r="W12" s="16" t="str">
        <f aca="false">IF(A12="","",IFERROR(AVERAGEIFS(Contratações!$R$5:$R$504,Contratações!$I$5:$I$504,A12,Contratações!$R$5:$R$504,"&gt;0"),""))</f>
        <v/>
      </c>
      <c r="X12" s="14" t="str">
        <f aca="false">IF(A12="","",IF(U12=0,"nunca",_xlfn.MAXIFS(Contratações!$O$5:$O$504,Contratações!$I$5:$I$504,A12)))</f>
        <v/>
      </c>
      <c r="Y12" s="11"/>
    </row>
    <row r="13" customFormat="false" ht="15" hidden="false" customHeight="false" outlineLevel="0" collapsed="false">
      <c r="A13" s="11"/>
      <c r="B13" s="11"/>
      <c r="C13" s="11"/>
      <c r="D13" s="11"/>
      <c r="E13" s="12" t="str">
        <f aca="false">IF(D13="","",IF(OR(D13="MEI",D13="ME",D13="EPP",D13="Cooperativa",D13="PF autônoma"),"S","N"))</f>
        <v/>
      </c>
      <c r="F13" s="11"/>
      <c r="G13" s="11"/>
      <c r="H13" s="11"/>
      <c r="I13" s="11"/>
      <c r="J13" s="11"/>
      <c r="K13" s="11"/>
      <c r="L13" s="11"/>
      <c r="M13" s="13"/>
      <c r="N13" s="14" t="str">
        <f aca="false">IF(M13="","",EDATE(M13,Parâmetros!$B$12))</f>
        <v/>
      </c>
      <c r="O13" s="11"/>
      <c r="P13" s="13"/>
      <c r="Q13" s="13"/>
      <c r="R13" s="13"/>
      <c r="S13" s="13"/>
      <c r="T13" s="12" t="str">
        <f aca="true">IF(A13="","",IF(OR(AND(P13&lt;&gt;"",P13&lt;=TODAY()+Parâmetros!$B$13),AND(Q13&lt;&gt;"",Q13&lt;=TODAY()+Parâmetros!$B$13),AND(R13&lt;&gt;"",R13&lt;=TODAY()+Parâmetros!$B$13),AND(S13&lt;&gt;"",S13&lt;=TODAY()+Parâmetros!$B$13)),"RENOVAR","OK"))</f>
        <v/>
      </c>
      <c r="U13" s="12" t="str">
        <f aca="false">IF(A13="","",COUNTIF(Contratações!$I$5:$I$504,A13))</f>
        <v/>
      </c>
      <c r="V13" s="15" t="str">
        <f aca="false">IF(A13="","",SUMIF(Contratações!$I$5:$I$504,A13,Contratações!$N$5:$N$504))</f>
        <v/>
      </c>
      <c r="W13" s="16" t="str">
        <f aca="false">IF(A13="","",IFERROR(AVERAGEIFS(Contratações!$R$5:$R$504,Contratações!$I$5:$I$504,A13,Contratações!$R$5:$R$504,"&gt;0"),""))</f>
        <v/>
      </c>
      <c r="X13" s="14" t="str">
        <f aca="false">IF(A13="","",IF(U13=0,"nunca",_xlfn.MAXIFS(Contratações!$O$5:$O$504,Contratações!$I$5:$I$504,A13)))</f>
        <v/>
      </c>
      <c r="Y13" s="11"/>
    </row>
    <row r="14" customFormat="false" ht="15" hidden="false" customHeight="false" outlineLevel="0" collapsed="false">
      <c r="A14" s="11"/>
      <c r="B14" s="11"/>
      <c r="C14" s="11"/>
      <c r="D14" s="11"/>
      <c r="E14" s="12" t="str">
        <f aca="false">IF(D14="","",IF(OR(D14="MEI",D14="ME",D14="EPP",D14="Cooperativa",D14="PF autônoma"),"S","N"))</f>
        <v/>
      </c>
      <c r="F14" s="11"/>
      <c r="G14" s="11"/>
      <c r="H14" s="11"/>
      <c r="I14" s="11"/>
      <c r="J14" s="11"/>
      <c r="K14" s="11"/>
      <c r="L14" s="11"/>
      <c r="M14" s="13"/>
      <c r="N14" s="14" t="str">
        <f aca="false">IF(M14="","",EDATE(M14,Parâmetros!$B$12))</f>
        <v/>
      </c>
      <c r="O14" s="11"/>
      <c r="P14" s="13"/>
      <c r="Q14" s="13"/>
      <c r="R14" s="13"/>
      <c r="S14" s="13"/>
      <c r="T14" s="12" t="str">
        <f aca="true">IF(A14="","",IF(OR(AND(P14&lt;&gt;"",P14&lt;=TODAY()+Parâmetros!$B$13),AND(Q14&lt;&gt;"",Q14&lt;=TODAY()+Parâmetros!$B$13),AND(R14&lt;&gt;"",R14&lt;=TODAY()+Parâmetros!$B$13),AND(S14&lt;&gt;"",S14&lt;=TODAY()+Parâmetros!$B$13)),"RENOVAR","OK"))</f>
        <v/>
      </c>
      <c r="U14" s="12" t="str">
        <f aca="false">IF(A14="","",COUNTIF(Contratações!$I$5:$I$504,A14))</f>
        <v/>
      </c>
      <c r="V14" s="15" t="str">
        <f aca="false">IF(A14="","",SUMIF(Contratações!$I$5:$I$504,A14,Contratações!$N$5:$N$504))</f>
        <v/>
      </c>
      <c r="W14" s="16" t="str">
        <f aca="false">IF(A14="","",IFERROR(AVERAGEIFS(Contratações!$R$5:$R$504,Contratações!$I$5:$I$504,A14,Contratações!$R$5:$R$504,"&gt;0"),""))</f>
        <v/>
      </c>
      <c r="X14" s="14" t="str">
        <f aca="false">IF(A14="","",IF(U14=0,"nunca",_xlfn.MAXIFS(Contratações!$O$5:$O$504,Contratações!$I$5:$I$504,A14)))</f>
        <v/>
      </c>
      <c r="Y14" s="11"/>
    </row>
    <row r="15" customFormat="false" ht="15" hidden="false" customHeight="false" outlineLevel="0" collapsed="false">
      <c r="A15" s="11"/>
      <c r="B15" s="11"/>
      <c r="C15" s="11"/>
      <c r="D15" s="11"/>
      <c r="E15" s="12" t="str">
        <f aca="false">IF(D15="","",IF(OR(D15="MEI",D15="ME",D15="EPP",D15="Cooperativa",D15="PF autônoma"),"S","N"))</f>
        <v/>
      </c>
      <c r="F15" s="11"/>
      <c r="G15" s="11"/>
      <c r="H15" s="11"/>
      <c r="I15" s="11"/>
      <c r="J15" s="11"/>
      <c r="K15" s="11"/>
      <c r="L15" s="11"/>
      <c r="M15" s="13"/>
      <c r="N15" s="14" t="str">
        <f aca="false">IF(M15="","",EDATE(M15,Parâmetros!$B$12))</f>
        <v/>
      </c>
      <c r="O15" s="11"/>
      <c r="P15" s="13"/>
      <c r="Q15" s="13"/>
      <c r="R15" s="13"/>
      <c r="S15" s="13"/>
      <c r="T15" s="12" t="str">
        <f aca="true">IF(A15="","",IF(OR(AND(P15&lt;&gt;"",P15&lt;=TODAY()+Parâmetros!$B$13),AND(Q15&lt;&gt;"",Q15&lt;=TODAY()+Parâmetros!$B$13),AND(R15&lt;&gt;"",R15&lt;=TODAY()+Parâmetros!$B$13),AND(S15&lt;&gt;"",S15&lt;=TODAY()+Parâmetros!$B$13)),"RENOVAR","OK"))</f>
        <v/>
      </c>
      <c r="U15" s="12" t="str">
        <f aca="false">IF(A15="","",COUNTIF(Contratações!$I$5:$I$504,A15))</f>
        <v/>
      </c>
      <c r="V15" s="15" t="str">
        <f aca="false">IF(A15="","",SUMIF(Contratações!$I$5:$I$504,A15,Contratações!$N$5:$N$504))</f>
        <v/>
      </c>
      <c r="W15" s="16" t="str">
        <f aca="false">IF(A15="","",IFERROR(AVERAGEIFS(Contratações!$R$5:$R$504,Contratações!$I$5:$I$504,A15,Contratações!$R$5:$R$504,"&gt;0"),""))</f>
        <v/>
      </c>
      <c r="X15" s="14" t="str">
        <f aca="false">IF(A15="","",IF(U15=0,"nunca",_xlfn.MAXIFS(Contratações!$O$5:$O$504,Contratações!$I$5:$I$504,A15)))</f>
        <v/>
      </c>
      <c r="Y15" s="11"/>
    </row>
    <row r="16" customFormat="false" ht="15" hidden="false" customHeight="false" outlineLevel="0" collapsed="false">
      <c r="A16" s="11"/>
      <c r="B16" s="11"/>
      <c r="C16" s="11"/>
      <c r="D16" s="11"/>
      <c r="E16" s="12" t="str">
        <f aca="false">IF(D16="","",IF(OR(D16="MEI",D16="ME",D16="EPP",D16="Cooperativa",D16="PF autônoma"),"S","N"))</f>
        <v/>
      </c>
      <c r="F16" s="11"/>
      <c r="G16" s="11"/>
      <c r="H16" s="11"/>
      <c r="I16" s="11"/>
      <c r="J16" s="11"/>
      <c r="K16" s="11"/>
      <c r="L16" s="11"/>
      <c r="M16" s="13"/>
      <c r="N16" s="14" t="str">
        <f aca="false">IF(M16="","",EDATE(M16,Parâmetros!$B$12))</f>
        <v/>
      </c>
      <c r="O16" s="11"/>
      <c r="P16" s="13"/>
      <c r="Q16" s="13"/>
      <c r="R16" s="13"/>
      <c r="S16" s="13"/>
      <c r="T16" s="12" t="str">
        <f aca="true">IF(A16="","",IF(OR(AND(P16&lt;&gt;"",P16&lt;=TODAY()+Parâmetros!$B$13),AND(Q16&lt;&gt;"",Q16&lt;=TODAY()+Parâmetros!$B$13),AND(R16&lt;&gt;"",R16&lt;=TODAY()+Parâmetros!$B$13),AND(S16&lt;&gt;"",S16&lt;=TODAY()+Parâmetros!$B$13)),"RENOVAR","OK"))</f>
        <v/>
      </c>
      <c r="U16" s="12" t="str">
        <f aca="false">IF(A16="","",COUNTIF(Contratações!$I$5:$I$504,A16))</f>
        <v/>
      </c>
      <c r="V16" s="15" t="str">
        <f aca="false">IF(A16="","",SUMIF(Contratações!$I$5:$I$504,A16,Contratações!$N$5:$N$504))</f>
        <v/>
      </c>
      <c r="W16" s="16" t="str">
        <f aca="false">IF(A16="","",IFERROR(AVERAGEIFS(Contratações!$R$5:$R$504,Contratações!$I$5:$I$504,A16,Contratações!$R$5:$R$504,"&gt;0"),""))</f>
        <v/>
      </c>
      <c r="X16" s="14" t="str">
        <f aca="false">IF(A16="","",IF(U16=0,"nunca",_xlfn.MAXIFS(Contratações!$O$5:$O$504,Contratações!$I$5:$I$504,A16)))</f>
        <v/>
      </c>
      <c r="Y16" s="11"/>
    </row>
    <row r="17" customFormat="false" ht="15" hidden="false" customHeight="false" outlineLevel="0" collapsed="false">
      <c r="A17" s="11"/>
      <c r="B17" s="11"/>
      <c r="C17" s="11"/>
      <c r="D17" s="11"/>
      <c r="E17" s="12" t="str">
        <f aca="false">IF(D17="","",IF(OR(D17="MEI",D17="ME",D17="EPP",D17="Cooperativa",D17="PF autônoma"),"S","N"))</f>
        <v/>
      </c>
      <c r="F17" s="11"/>
      <c r="G17" s="11"/>
      <c r="H17" s="11"/>
      <c r="I17" s="11"/>
      <c r="J17" s="11"/>
      <c r="K17" s="11"/>
      <c r="L17" s="11"/>
      <c r="M17" s="13"/>
      <c r="N17" s="14" t="str">
        <f aca="false">IF(M17="","",EDATE(M17,Parâmetros!$B$12))</f>
        <v/>
      </c>
      <c r="O17" s="11"/>
      <c r="P17" s="13"/>
      <c r="Q17" s="13"/>
      <c r="R17" s="13"/>
      <c r="S17" s="13"/>
      <c r="T17" s="12" t="str">
        <f aca="true">IF(A17="","",IF(OR(AND(P17&lt;&gt;"",P17&lt;=TODAY()+Parâmetros!$B$13),AND(Q17&lt;&gt;"",Q17&lt;=TODAY()+Parâmetros!$B$13),AND(R17&lt;&gt;"",R17&lt;=TODAY()+Parâmetros!$B$13),AND(S17&lt;&gt;"",S17&lt;=TODAY()+Parâmetros!$B$13)),"RENOVAR","OK"))</f>
        <v/>
      </c>
      <c r="U17" s="12" t="str">
        <f aca="false">IF(A17="","",COUNTIF(Contratações!$I$5:$I$504,A17))</f>
        <v/>
      </c>
      <c r="V17" s="15" t="str">
        <f aca="false">IF(A17="","",SUMIF(Contratações!$I$5:$I$504,A17,Contratações!$N$5:$N$504))</f>
        <v/>
      </c>
      <c r="W17" s="16" t="str">
        <f aca="false">IF(A17="","",IFERROR(AVERAGEIFS(Contratações!$R$5:$R$504,Contratações!$I$5:$I$504,A17,Contratações!$R$5:$R$504,"&gt;0"),""))</f>
        <v/>
      </c>
      <c r="X17" s="14" t="str">
        <f aca="false">IF(A17="","",IF(U17=0,"nunca",_xlfn.MAXIFS(Contratações!$O$5:$O$504,Contratações!$I$5:$I$504,A17)))</f>
        <v/>
      </c>
      <c r="Y17" s="11"/>
    </row>
    <row r="18" customFormat="false" ht="15" hidden="false" customHeight="false" outlineLevel="0" collapsed="false">
      <c r="A18" s="11"/>
      <c r="B18" s="11"/>
      <c r="C18" s="11"/>
      <c r="D18" s="11"/>
      <c r="E18" s="12" t="str">
        <f aca="false">IF(D18="","",IF(OR(D18="MEI",D18="ME",D18="EPP",D18="Cooperativa",D18="PF autônoma"),"S","N"))</f>
        <v/>
      </c>
      <c r="F18" s="11"/>
      <c r="G18" s="11"/>
      <c r="H18" s="11"/>
      <c r="I18" s="11"/>
      <c r="J18" s="11"/>
      <c r="K18" s="11"/>
      <c r="L18" s="11"/>
      <c r="M18" s="13"/>
      <c r="N18" s="14" t="str">
        <f aca="false">IF(M18="","",EDATE(M18,Parâmetros!$B$12))</f>
        <v/>
      </c>
      <c r="O18" s="11"/>
      <c r="P18" s="13"/>
      <c r="Q18" s="13"/>
      <c r="R18" s="13"/>
      <c r="S18" s="13"/>
      <c r="T18" s="12" t="str">
        <f aca="true">IF(A18="","",IF(OR(AND(P18&lt;&gt;"",P18&lt;=TODAY()+Parâmetros!$B$13),AND(Q18&lt;&gt;"",Q18&lt;=TODAY()+Parâmetros!$B$13),AND(R18&lt;&gt;"",R18&lt;=TODAY()+Parâmetros!$B$13),AND(S18&lt;&gt;"",S18&lt;=TODAY()+Parâmetros!$B$13)),"RENOVAR","OK"))</f>
        <v/>
      </c>
      <c r="U18" s="12" t="str">
        <f aca="false">IF(A18="","",COUNTIF(Contratações!$I$5:$I$504,A18))</f>
        <v/>
      </c>
      <c r="V18" s="15" t="str">
        <f aca="false">IF(A18="","",SUMIF(Contratações!$I$5:$I$504,A18,Contratações!$N$5:$N$504))</f>
        <v/>
      </c>
      <c r="W18" s="16" t="str">
        <f aca="false">IF(A18="","",IFERROR(AVERAGEIFS(Contratações!$R$5:$R$504,Contratações!$I$5:$I$504,A18,Contratações!$R$5:$R$504,"&gt;0"),""))</f>
        <v/>
      </c>
      <c r="X18" s="14" t="str">
        <f aca="false">IF(A18="","",IF(U18=0,"nunca",_xlfn.MAXIFS(Contratações!$O$5:$O$504,Contratações!$I$5:$I$504,A18)))</f>
        <v/>
      </c>
      <c r="Y18" s="11"/>
    </row>
    <row r="19" customFormat="false" ht="15" hidden="false" customHeight="false" outlineLevel="0" collapsed="false">
      <c r="A19" s="11"/>
      <c r="B19" s="11"/>
      <c r="C19" s="11"/>
      <c r="D19" s="11"/>
      <c r="E19" s="12" t="str">
        <f aca="false">IF(D19="","",IF(OR(D19="MEI",D19="ME",D19="EPP",D19="Cooperativa",D19="PF autônoma"),"S","N"))</f>
        <v/>
      </c>
      <c r="F19" s="11"/>
      <c r="G19" s="11"/>
      <c r="H19" s="11"/>
      <c r="I19" s="11"/>
      <c r="J19" s="11"/>
      <c r="K19" s="11"/>
      <c r="L19" s="11"/>
      <c r="M19" s="13"/>
      <c r="N19" s="14" t="str">
        <f aca="false">IF(M19="","",EDATE(M19,Parâmetros!$B$12))</f>
        <v/>
      </c>
      <c r="O19" s="11"/>
      <c r="P19" s="13"/>
      <c r="Q19" s="13"/>
      <c r="R19" s="13"/>
      <c r="S19" s="13"/>
      <c r="T19" s="12" t="str">
        <f aca="true">IF(A19="","",IF(OR(AND(P19&lt;&gt;"",P19&lt;=TODAY()+Parâmetros!$B$13),AND(Q19&lt;&gt;"",Q19&lt;=TODAY()+Parâmetros!$B$13),AND(R19&lt;&gt;"",R19&lt;=TODAY()+Parâmetros!$B$13),AND(S19&lt;&gt;"",S19&lt;=TODAY()+Parâmetros!$B$13)),"RENOVAR","OK"))</f>
        <v/>
      </c>
      <c r="U19" s="12" t="str">
        <f aca="false">IF(A19="","",COUNTIF(Contratações!$I$5:$I$504,A19))</f>
        <v/>
      </c>
      <c r="V19" s="15" t="str">
        <f aca="false">IF(A19="","",SUMIF(Contratações!$I$5:$I$504,A19,Contratações!$N$5:$N$504))</f>
        <v/>
      </c>
      <c r="W19" s="16" t="str">
        <f aca="false">IF(A19="","",IFERROR(AVERAGEIFS(Contratações!$R$5:$R$504,Contratações!$I$5:$I$504,A19,Contratações!$R$5:$R$504,"&gt;0"),""))</f>
        <v/>
      </c>
      <c r="X19" s="14" t="str">
        <f aca="false">IF(A19="","",IF(U19=0,"nunca",_xlfn.MAXIFS(Contratações!$O$5:$O$504,Contratações!$I$5:$I$504,A19)))</f>
        <v/>
      </c>
      <c r="Y19" s="11"/>
    </row>
    <row r="20" customFormat="false" ht="15" hidden="false" customHeight="false" outlineLevel="0" collapsed="false">
      <c r="A20" s="11"/>
      <c r="B20" s="11"/>
      <c r="C20" s="11"/>
      <c r="D20" s="11"/>
      <c r="E20" s="12" t="str">
        <f aca="false">IF(D20="","",IF(OR(D20="MEI",D20="ME",D20="EPP",D20="Cooperativa",D20="PF autônoma"),"S","N"))</f>
        <v/>
      </c>
      <c r="F20" s="11"/>
      <c r="G20" s="11"/>
      <c r="H20" s="11"/>
      <c r="I20" s="11"/>
      <c r="J20" s="11"/>
      <c r="K20" s="11"/>
      <c r="L20" s="11"/>
      <c r="M20" s="13"/>
      <c r="N20" s="14" t="str">
        <f aca="false">IF(M20="","",EDATE(M20,Parâmetros!$B$12))</f>
        <v/>
      </c>
      <c r="O20" s="11"/>
      <c r="P20" s="13"/>
      <c r="Q20" s="13"/>
      <c r="R20" s="13"/>
      <c r="S20" s="13"/>
      <c r="T20" s="12" t="str">
        <f aca="true">IF(A20="","",IF(OR(AND(P20&lt;&gt;"",P20&lt;=TODAY()+Parâmetros!$B$13),AND(Q20&lt;&gt;"",Q20&lt;=TODAY()+Parâmetros!$B$13),AND(R20&lt;&gt;"",R20&lt;=TODAY()+Parâmetros!$B$13),AND(S20&lt;&gt;"",S20&lt;=TODAY()+Parâmetros!$B$13)),"RENOVAR","OK"))</f>
        <v/>
      </c>
      <c r="U20" s="12" t="str">
        <f aca="false">IF(A20="","",COUNTIF(Contratações!$I$5:$I$504,A20))</f>
        <v/>
      </c>
      <c r="V20" s="15" t="str">
        <f aca="false">IF(A20="","",SUMIF(Contratações!$I$5:$I$504,A20,Contratações!$N$5:$N$504))</f>
        <v/>
      </c>
      <c r="W20" s="16" t="str">
        <f aca="false">IF(A20="","",IFERROR(AVERAGEIFS(Contratações!$R$5:$R$504,Contratações!$I$5:$I$504,A20,Contratações!$R$5:$R$504,"&gt;0"),""))</f>
        <v/>
      </c>
      <c r="X20" s="14" t="str">
        <f aca="false">IF(A20="","",IF(U20=0,"nunca",_xlfn.MAXIFS(Contratações!$O$5:$O$504,Contratações!$I$5:$I$504,A20)))</f>
        <v/>
      </c>
      <c r="Y20" s="11"/>
    </row>
    <row r="21" customFormat="false" ht="15" hidden="false" customHeight="false" outlineLevel="0" collapsed="false">
      <c r="A21" s="11"/>
      <c r="B21" s="11"/>
      <c r="C21" s="11"/>
      <c r="D21" s="11"/>
      <c r="E21" s="12" t="str">
        <f aca="false">IF(D21="","",IF(OR(D21="MEI",D21="ME",D21="EPP",D21="Cooperativa",D21="PF autônoma"),"S","N"))</f>
        <v/>
      </c>
      <c r="F21" s="11"/>
      <c r="G21" s="11"/>
      <c r="H21" s="11"/>
      <c r="I21" s="11"/>
      <c r="J21" s="11"/>
      <c r="K21" s="11"/>
      <c r="L21" s="11"/>
      <c r="M21" s="13"/>
      <c r="N21" s="14" t="str">
        <f aca="false">IF(M21="","",EDATE(M21,Parâmetros!$B$12))</f>
        <v/>
      </c>
      <c r="O21" s="11"/>
      <c r="P21" s="13"/>
      <c r="Q21" s="13"/>
      <c r="R21" s="13"/>
      <c r="S21" s="13"/>
      <c r="T21" s="12" t="str">
        <f aca="true">IF(A21="","",IF(OR(AND(P21&lt;&gt;"",P21&lt;=TODAY()+Parâmetros!$B$13),AND(Q21&lt;&gt;"",Q21&lt;=TODAY()+Parâmetros!$B$13),AND(R21&lt;&gt;"",R21&lt;=TODAY()+Parâmetros!$B$13),AND(S21&lt;&gt;"",S21&lt;=TODAY()+Parâmetros!$B$13)),"RENOVAR","OK"))</f>
        <v/>
      </c>
      <c r="U21" s="12" t="str">
        <f aca="false">IF(A21="","",COUNTIF(Contratações!$I$5:$I$504,A21))</f>
        <v/>
      </c>
      <c r="V21" s="15" t="str">
        <f aca="false">IF(A21="","",SUMIF(Contratações!$I$5:$I$504,A21,Contratações!$N$5:$N$504))</f>
        <v/>
      </c>
      <c r="W21" s="16" t="str">
        <f aca="false">IF(A21="","",IFERROR(AVERAGEIFS(Contratações!$R$5:$R$504,Contratações!$I$5:$I$504,A21,Contratações!$R$5:$R$504,"&gt;0"),""))</f>
        <v/>
      </c>
      <c r="X21" s="14" t="str">
        <f aca="false">IF(A21="","",IF(U21=0,"nunca",_xlfn.MAXIFS(Contratações!$O$5:$O$504,Contratações!$I$5:$I$504,A21)))</f>
        <v/>
      </c>
      <c r="Y21" s="11"/>
    </row>
    <row r="22" customFormat="false" ht="15" hidden="false" customHeight="false" outlineLevel="0" collapsed="false">
      <c r="A22" s="11"/>
      <c r="B22" s="11"/>
      <c r="C22" s="11"/>
      <c r="D22" s="11"/>
      <c r="E22" s="12" t="str">
        <f aca="false">IF(D22="","",IF(OR(D22="MEI",D22="ME",D22="EPP",D22="Cooperativa",D22="PF autônoma"),"S","N"))</f>
        <v/>
      </c>
      <c r="F22" s="11"/>
      <c r="G22" s="11"/>
      <c r="H22" s="11"/>
      <c r="I22" s="11"/>
      <c r="J22" s="11"/>
      <c r="K22" s="11"/>
      <c r="L22" s="11"/>
      <c r="M22" s="13"/>
      <c r="N22" s="14" t="str">
        <f aca="false">IF(M22="","",EDATE(M22,Parâmetros!$B$12))</f>
        <v/>
      </c>
      <c r="O22" s="11"/>
      <c r="P22" s="13"/>
      <c r="Q22" s="13"/>
      <c r="R22" s="13"/>
      <c r="S22" s="13"/>
      <c r="T22" s="12" t="str">
        <f aca="true">IF(A22="","",IF(OR(AND(P22&lt;&gt;"",P22&lt;=TODAY()+Parâmetros!$B$13),AND(Q22&lt;&gt;"",Q22&lt;=TODAY()+Parâmetros!$B$13),AND(R22&lt;&gt;"",R22&lt;=TODAY()+Parâmetros!$B$13),AND(S22&lt;&gt;"",S22&lt;=TODAY()+Parâmetros!$B$13)),"RENOVAR","OK"))</f>
        <v/>
      </c>
      <c r="U22" s="12" t="str">
        <f aca="false">IF(A22="","",COUNTIF(Contratações!$I$5:$I$504,A22))</f>
        <v/>
      </c>
      <c r="V22" s="15" t="str">
        <f aca="false">IF(A22="","",SUMIF(Contratações!$I$5:$I$504,A22,Contratações!$N$5:$N$504))</f>
        <v/>
      </c>
      <c r="W22" s="16" t="str">
        <f aca="false">IF(A22="","",IFERROR(AVERAGEIFS(Contratações!$R$5:$R$504,Contratações!$I$5:$I$504,A22,Contratações!$R$5:$R$504,"&gt;0"),""))</f>
        <v/>
      </c>
      <c r="X22" s="14" t="str">
        <f aca="false">IF(A22="","",IF(U22=0,"nunca",_xlfn.MAXIFS(Contratações!$O$5:$O$504,Contratações!$I$5:$I$504,A22)))</f>
        <v/>
      </c>
      <c r="Y22" s="11"/>
    </row>
    <row r="23" customFormat="false" ht="15" hidden="false" customHeight="false" outlineLevel="0" collapsed="false">
      <c r="A23" s="11"/>
      <c r="B23" s="11"/>
      <c r="C23" s="11"/>
      <c r="D23" s="11"/>
      <c r="E23" s="12" t="str">
        <f aca="false">IF(D23="","",IF(OR(D23="MEI",D23="ME",D23="EPP",D23="Cooperativa",D23="PF autônoma"),"S","N"))</f>
        <v/>
      </c>
      <c r="F23" s="11"/>
      <c r="G23" s="11"/>
      <c r="H23" s="11"/>
      <c r="I23" s="11"/>
      <c r="J23" s="11"/>
      <c r="K23" s="11"/>
      <c r="L23" s="11"/>
      <c r="M23" s="13"/>
      <c r="N23" s="14" t="str">
        <f aca="false">IF(M23="","",EDATE(M23,Parâmetros!$B$12))</f>
        <v/>
      </c>
      <c r="O23" s="11"/>
      <c r="P23" s="13"/>
      <c r="Q23" s="13"/>
      <c r="R23" s="13"/>
      <c r="S23" s="13"/>
      <c r="T23" s="12" t="str">
        <f aca="true">IF(A23="","",IF(OR(AND(P23&lt;&gt;"",P23&lt;=TODAY()+Parâmetros!$B$13),AND(Q23&lt;&gt;"",Q23&lt;=TODAY()+Parâmetros!$B$13),AND(R23&lt;&gt;"",R23&lt;=TODAY()+Parâmetros!$B$13),AND(S23&lt;&gt;"",S23&lt;=TODAY()+Parâmetros!$B$13)),"RENOVAR","OK"))</f>
        <v/>
      </c>
      <c r="U23" s="12" t="str">
        <f aca="false">IF(A23="","",COUNTIF(Contratações!$I$5:$I$504,A23))</f>
        <v/>
      </c>
      <c r="V23" s="15" t="str">
        <f aca="false">IF(A23="","",SUMIF(Contratações!$I$5:$I$504,A23,Contratações!$N$5:$N$504))</f>
        <v/>
      </c>
      <c r="W23" s="16" t="str">
        <f aca="false">IF(A23="","",IFERROR(AVERAGEIFS(Contratações!$R$5:$R$504,Contratações!$I$5:$I$504,A23,Contratações!$R$5:$R$504,"&gt;0"),""))</f>
        <v/>
      </c>
      <c r="X23" s="14" t="str">
        <f aca="false">IF(A23="","",IF(U23=0,"nunca",_xlfn.MAXIFS(Contratações!$O$5:$O$504,Contratações!$I$5:$I$504,A23)))</f>
        <v/>
      </c>
      <c r="Y23" s="11"/>
    </row>
    <row r="24" customFormat="false" ht="15" hidden="false" customHeight="false" outlineLevel="0" collapsed="false">
      <c r="A24" s="11"/>
      <c r="B24" s="11"/>
      <c r="C24" s="11"/>
      <c r="D24" s="11"/>
      <c r="E24" s="12" t="str">
        <f aca="false">IF(D24="","",IF(OR(D24="MEI",D24="ME",D24="EPP",D24="Cooperativa",D24="PF autônoma"),"S","N"))</f>
        <v/>
      </c>
      <c r="F24" s="11"/>
      <c r="G24" s="11"/>
      <c r="H24" s="11"/>
      <c r="I24" s="11"/>
      <c r="J24" s="11"/>
      <c r="K24" s="11"/>
      <c r="L24" s="11"/>
      <c r="M24" s="13"/>
      <c r="N24" s="14" t="str">
        <f aca="false">IF(M24="","",EDATE(M24,Parâmetros!$B$12))</f>
        <v/>
      </c>
      <c r="O24" s="11"/>
      <c r="P24" s="13"/>
      <c r="Q24" s="13"/>
      <c r="R24" s="13"/>
      <c r="S24" s="13"/>
      <c r="T24" s="12" t="str">
        <f aca="true">IF(A24="","",IF(OR(AND(P24&lt;&gt;"",P24&lt;=TODAY()+Parâmetros!$B$13),AND(Q24&lt;&gt;"",Q24&lt;=TODAY()+Parâmetros!$B$13),AND(R24&lt;&gt;"",R24&lt;=TODAY()+Parâmetros!$B$13),AND(S24&lt;&gt;"",S24&lt;=TODAY()+Parâmetros!$B$13)),"RENOVAR","OK"))</f>
        <v/>
      </c>
      <c r="U24" s="12" t="str">
        <f aca="false">IF(A24="","",COUNTIF(Contratações!$I$5:$I$504,A24))</f>
        <v/>
      </c>
      <c r="V24" s="15" t="str">
        <f aca="false">IF(A24="","",SUMIF(Contratações!$I$5:$I$504,A24,Contratações!$N$5:$N$504))</f>
        <v/>
      </c>
      <c r="W24" s="16" t="str">
        <f aca="false">IF(A24="","",IFERROR(AVERAGEIFS(Contratações!$R$5:$R$504,Contratações!$I$5:$I$504,A24,Contratações!$R$5:$R$504,"&gt;0"),""))</f>
        <v/>
      </c>
      <c r="X24" s="14" t="str">
        <f aca="false">IF(A24="","",IF(U24=0,"nunca",_xlfn.MAXIFS(Contratações!$O$5:$O$504,Contratações!$I$5:$I$504,A24)))</f>
        <v/>
      </c>
      <c r="Y24" s="11"/>
    </row>
    <row r="25" customFormat="false" ht="15" hidden="false" customHeight="false" outlineLevel="0" collapsed="false">
      <c r="A25" s="11"/>
      <c r="B25" s="11"/>
      <c r="C25" s="11"/>
      <c r="D25" s="11"/>
      <c r="E25" s="12" t="str">
        <f aca="false">IF(D25="","",IF(OR(D25="MEI",D25="ME",D25="EPP",D25="Cooperativa",D25="PF autônoma"),"S","N"))</f>
        <v/>
      </c>
      <c r="F25" s="11"/>
      <c r="G25" s="11"/>
      <c r="H25" s="11"/>
      <c r="I25" s="11"/>
      <c r="J25" s="11"/>
      <c r="K25" s="11"/>
      <c r="L25" s="11"/>
      <c r="M25" s="13"/>
      <c r="N25" s="14" t="str">
        <f aca="false">IF(M25="","",EDATE(M25,Parâmetros!$B$12))</f>
        <v/>
      </c>
      <c r="O25" s="11"/>
      <c r="P25" s="13"/>
      <c r="Q25" s="13"/>
      <c r="R25" s="13"/>
      <c r="S25" s="13"/>
      <c r="T25" s="12" t="str">
        <f aca="true">IF(A25="","",IF(OR(AND(P25&lt;&gt;"",P25&lt;=TODAY()+Parâmetros!$B$13),AND(Q25&lt;&gt;"",Q25&lt;=TODAY()+Parâmetros!$B$13),AND(R25&lt;&gt;"",R25&lt;=TODAY()+Parâmetros!$B$13),AND(S25&lt;&gt;"",S25&lt;=TODAY()+Parâmetros!$B$13)),"RENOVAR","OK"))</f>
        <v/>
      </c>
      <c r="U25" s="12" t="str">
        <f aca="false">IF(A25="","",COUNTIF(Contratações!$I$5:$I$504,A25))</f>
        <v/>
      </c>
      <c r="V25" s="15" t="str">
        <f aca="false">IF(A25="","",SUMIF(Contratações!$I$5:$I$504,A25,Contratações!$N$5:$N$504))</f>
        <v/>
      </c>
      <c r="W25" s="16" t="str">
        <f aca="false">IF(A25="","",IFERROR(AVERAGEIFS(Contratações!$R$5:$R$504,Contratações!$I$5:$I$504,A25,Contratações!$R$5:$R$504,"&gt;0"),""))</f>
        <v/>
      </c>
      <c r="X25" s="14" t="str">
        <f aca="false">IF(A25="","",IF(U25=0,"nunca",_xlfn.MAXIFS(Contratações!$O$5:$O$504,Contratações!$I$5:$I$504,A25)))</f>
        <v/>
      </c>
      <c r="Y25" s="11"/>
    </row>
    <row r="26" customFormat="false" ht="15" hidden="false" customHeight="false" outlineLevel="0" collapsed="false">
      <c r="A26" s="11"/>
      <c r="B26" s="11"/>
      <c r="C26" s="11"/>
      <c r="D26" s="11"/>
      <c r="E26" s="12" t="str">
        <f aca="false">IF(D26="","",IF(OR(D26="MEI",D26="ME",D26="EPP",D26="Cooperativa",D26="PF autônoma"),"S","N"))</f>
        <v/>
      </c>
      <c r="F26" s="11"/>
      <c r="G26" s="11"/>
      <c r="H26" s="11"/>
      <c r="I26" s="11"/>
      <c r="J26" s="11"/>
      <c r="K26" s="11"/>
      <c r="L26" s="11"/>
      <c r="M26" s="13"/>
      <c r="N26" s="14" t="str">
        <f aca="false">IF(M26="","",EDATE(M26,Parâmetros!$B$12))</f>
        <v/>
      </c>
      <c r="O26" s="11"/>
      <c r="P26" s="13"/>
      <c r="Q26" s="13"/>
      <c r="R26" s="13"/>
      <c r="S26" s="13"/>
      <c r="T26" s="12" t="str">
        <f aca="true">IF(A26="","",IF(OR(AND(P26&lt;&gt;"",P26&lt;=TODAY()+Parâmetros!$B$13),AND(Q26&lt;&gt;"",Q26&lt;=TODAY()+Parâmetros!$B$13),AND(R26&lt;&gt;"",R26&lt;=TODAY()+Parâmetros!$B$13),AND(S26&lt;&gt;"",S26&lt;=TODAY()+Parâmetros!$B$13)),"RENOVAR","OK"))</f>
        <v/>
      </c>
      <c r="U26" s="12" t="str">
        <f aca="false">IF(A26="","",COUNTIF(Contratações!$I$5:$I$504,A26))</f>
        <v/>
      </c>
      <c r="V26" s="15" t="str">
        <f aca="false">IF(A26="","",SUMIF(Contratações!$I$5:$I$504,A26,Contratações!$N$5:$N$504))</f>
        <v/>
      </c>
      <c r="W26" s="16" t="str">
        <f aca="false">IF(A26="","",IFERROR(AVERAGEIFS(Contratações!$R$5:$R$504,Contratações!$I$5:$I$504,A26,Contratações!$R$5:$R$504,"&gt;0"),""))</f>
        <v/>
      </c>
      <c r="X26" s="14" t="str">
        <f aca="false">IF(A26="","",IF(U26=0,"nunca",_xlfn.MAXIFS(Contratações!$O$5:$O$504,Contratações!$I$5:$I$504,A26)))</f>
        <v/>
      </c>
      <c r="Y26" s="11"/>
    </row>
    <row r="27" customFormat="false" ht="15" hidden="false" customHeight="false" outlineLevel="0" collapsed="false">
      <c r="A27" s="11"/>
      <c r="B27" s="11"/>
      <c r="C27" s="11"/>
      <c r="D27" s="11"/>
      <c r="E27" s="12" t="str">
        <f aca="false">IF(D27="","",IF(OR(D27="MEI",D27="ME",D27="EPP",D27="Cooperativa",D27="PF autônoma"),"S","N"))</f>
        <v/>
      </c>
      <c r="F27" s="11"/>
      <c r="G27" s="11"/>
      <c r="H27" s="11"/>
      <c r="I27" s="11"/>
      <c r="J27" s="11"/>
      <c r="K27" s="11"/>
      <c r="L27" s="11"/>
      <c r="M27" s="13"/>
      <c r="N27" s="14" t="str">
        <f aca="false">IF(M27="","",EDATE(M27,Parâmetros!$B$12))</f>
        <v/>
      </c>
      <c r="O27" s="11"/>
      <c r="P27" s="13"/>
      <c r="Q27" s="13"/>
      <c r="R27" s="13"/>
      <c r="S27" s="13"/>
      <c r="T27" s="12" t="str">
        <f aca="true">IF(A27="","",IF(OR(AND(P27&lt;&gt;"",P27&lt;=TODAY()+Parâmetros!$B$13),AND(Q27&lt;&gt;"",Q27&lt;=TODAY()+Parâmetros!$B$13),AND(R27&lt;&gt;"",R27&lt;=TODAY()+Parâmetros!$B$13),AND(S27&lt;&gt;"",S27&lt;=TODAY()+Parâmetros!$B$13)),"RENOVAR","OK"))</f>
        <v/>
      </c>
      <c r="U27" s="12" t="str">
        <f aca="false">IF(A27="","",COUNTIF(Contratações!$I$5:$I$504,A27))</f>
        <v/>
      </c>
      <c r="V27" s="15" t="str">
        <f aca="false">IF(A27="","",SUMIF(Contratações!$I$5:$I$504,A27,Contratações!$N$5:$N$504))</f>
        <v/>
      </c>
      <c r="W27" s="16" t="str">
        <f aca="false">IF(A27="","",IFERROR(AVERAGEIFS(Contratações!$R$5:$R$504,Contratações!$I$5:$I$504,A27,Contratações!$R$5:$R$504,"&gt;0"),""))</f>
        <v/>
      </c>
      <c r="X27" s="14" t="str">
        <f aca="false">IF(A27="","",IF(U27=0,"nunca",_xlfn.MAXIFS(Contratações!$O$5:$O$504,Contratações!$I$5:$I$504,A27)))</f>
        <v/>
      </c>
      <c r="Y27" s="11"/>
    </row>
    <row r="28" customFormat="false" ht="15" hidden="false" customHeight="false" outlineLevel="0" collapsed="false">
      <c r="A28" s="11"/>
      <c r="B28" s="11"/>
      <c r="C28" s="11"/>
      <c r="D28" s="11"/>
      <c r="E28" s="12" t="str">
        <f aca="false">IF(D28="","",IF(OR(D28="MEI",D28="ME",D28="EPP",D28="Cooperativa",D28="PF autônoma"),"S","N"))</f>
        <v/>
      </c>
      <c r="F28" s="11"/>
      <c r="G28" s="11"/>
      <c r="H28" s="11"/>
      <c r="I28" s="11"/>
      <c r="J28" s="11"/>
      <c r="K28" s="11"/>
      <c r="L28" s="11"/>
      <c r="M28" s="13"/>
      <c r="N28" s="14" t="str">
        <f aca="false">IF(M28="","",EDATE(M28,Parâmetros!$B$12))</f>
        <v/>
      </c>
      <c r="O28" s="11"/>
      <c r="P28" s="13"/>
      <c r="Q28" s="13"/>
      <c r="R28" s="13"/>
      <c r="S28" s="13"/>
      <c r="T28" s="12" t="str">
        <f aca="true">IF(A28="","",IF(OR(AND(P28&lt;&gt;"",P28&lt;=TODAY()+Parâmetros!$B$13),AND(Q28&lt;&gt;"",Q28&lt;=TODAY()+Parâmetros!$B$13),AND(R28&lt;&gt;"",R28&lt;=TODAY()+Parâmetros!$B$13),AND(S28&lt;&gt;"",S28&lt;=TODAY()+Parâmetros!$B$13)),"RENOVAR","OK"))</f>
        <v/>
      </c>
      <c r="U28" s="12" t="str">
        <f aca="false">IF(A28="","",COUNTIF(Contratações!$I$5:$I$504,A28))</f>
        <v/>
      </c>
      <c r="V28" s="15" t="str">
        <f aca="false">IF(A28="","",SUMIF(Contratações!$I$5:$I$504,A28,Contratações!$N$5:$N$504))</f>
        <v/>
      </c>
      <c r="W28" s="16" t="str">
        <f aca="false">IF(A28="","",IFERROR(AVERAGEIFS(Contratações!$R$5:$R$504,Contratações!$I$5:$I$504,A28,Contratações!$R$5:$R$504,"&gt;0"),""))</f>
        <v/>
      </c>
      <c r="X28" s="14" t="str">
        <f aca="false">IF(A28="","",IF(U28=0,"nunca",_xlfn.MAXIFS(Contratações!$O$5:$O$504,Contratações!$I$5:$I$504,A28)))</f>
        <v/>
      </c>
      <c r="Y28" s="11"/>
    </row>
    <row r="29" customFormat="false" ht="15" hidden="false" customHeight="false" outlineLevel="0" collapsed="false">
      <c r="A29" s="11"/>
      <c r="B29" s="11"/>
      <c r="C29" s="11"/>
      <c r="D29" s="11"/>
      <c r="E29" s="12" t="str">
        <f aca="false">IF(D29="","",IF(OR(D29="MEI",D29="ME",D29="EPP",D29="Cooperativa",D29="PF autônoma"),"S","N"))</f>
        <v/>
      </c>
      <c r="F29" s="11"/>
      <c r="G29" s="11"/>
      <c r="H29" s="11"/>
      <c r="I29" s="11"/>
      <c r="J29" s="11"/>
      <c r="K29" s="11"/>
      <c r="L29" s="11"/>
      <c r="M29" s="13"/>
      <c r="N29" s="14" t="str">
        <f aca="false">IF(M29="","",EDATE(M29,Parâmetros!$B$12))</f>
        <v/>
      </c>
      <c r="O29" s="11"/>
      <c r="P29" s="13"/>
      <c r="Q29" s="13"/>
      <c r="R29" s="13"/>
      <c r="S29" s="13"/>
      <c r="T29" s="12" t="str">
        <f aca="true">IF(A29="","",IF(OR(AND(P29&lt;&gt;"",P29&lt;=TODAY()+Parâmetros!$B$13),AND(Q29&lt;&gt;"",Q29&lt;=TODAY()+Parâmetros!$B$13),AND(R29&lt;&gt;"",R29&lt;=TODAY()+Parâmetros!$B$13),AND(S29&lt;&gt;"",S29&lt;=TODAY()+Parâmetros!$B$13)),"RENOVAR","OK"))</f>
        <v/>
      </c>
      <c r="U29" s="12" t="str">
        <f aca="false">IF(A29="","",COUNTIF(Contratações!$I$5:$I$504,A29))</f>
        <v/>
      </c>
      <c r="V29" s="15" t="str">
        <f aca="false">IF(A29="","",SUMIF(Contratações!$I$5:$I$504,A29,Contratações!$N$5:$N$504))</f>
        <v/>
      </c>
      <c r="W29" s="16" t="str">
        <f aca="false">IF(A29="","",IFERROR(AVERAGEIFS(Contratações!$R$5:$R$504,Contratações!$I$5:$I$504,A29,Contratações!$R$5:$R$504,"&gt;0"),""))</f>
        <v/>
      </c>
      <c r="X29" s="14" t="str">
        <f aca="false">IF(A29="","",IF(U29=0,"nunca",_xlfn.MAXIFS(Contratações!$O$5:$O$504,Contratações!$I$5:$I$504,A29)))</f>
        <v/>
      </c>
      <c r="Y29" s="11"/>
    </row>
    <row r="30" customFormat="false" ht="15" hidden="false" customHeight="false" outlineLevel="0" collapsed="false">
      <c r="A30" s="11"/>
      <c r="B30" s="11"/>
      <c r="C30" s="11"/>
      <c r="D30" s="11"/>
      <c r="E30" s="12" t="str">
        <f aca="false">IF(D30="","",IF(OR(D30="MEI",D30="ME",D30="EPP",D30="Cooperativa",D30="PF autônoma"),"S","N"))</f>
        <v/>
      </c>
      <c r="F30" s="11"/>
      <c r="G30" s="11"/>
      <c r="H30" s="11"/>
      <c r="I30" s="11"/>
      <c r="J30" s="11"/>
      <c r="K30" s="11"/>
      <c r="L30" s="11"/>
      <c r="M30" s="13"/>
      <c r="N30" s="14" t="str">
        <f aca="false">IF(M30="","",EDATE(M30,Parâmetros!$B$12))</f>
        <v/>
      </c>
      <c r="O30" s="11"/>
      <c r="P30" s="13"/>
      <c r="Q30" s="13"/>
      <c r="R30" s="13"/>
      <c r="S30" s="13"/>
      <c r="T30" s="12" t="str">
        <f aca="true">IF(A30="","",IF(OR(AND(P30&lt;&gt;"",P30&lt;=TODAY()+Parâmetros!$B$13),AND(Q30&lt;&gt;"",Q30&lt;=TODAY()+Parâmetros!$B$13),AND(R30&lt;&gt;"",R30&lt;=TODAY()+Parâmetros!$B$13),AND(S30&lt;&gt;"",S30&lt;=TODAY()+Parâmetros!$B$13)),"RENOVAR","OK"))</f>
        <v/>
      </c>
      <c r="U30" s="12" t="str">
        <f aca="false">IF(A30="","",COUNTIF(Contratações!$I$5:$I$504,A30))</f>
        <v/>
      </c>
      <c r="V30" s="15" t="str">
        <f aca="false">IF(A30="","",SUMIF(Contratações!$I$5:$I$504,A30,Contratações!$N$5:$N$504))</f>
        <v/>
      </c>
      <c r="W30" s="16" t="str">
        <f aca="false">IF(A30="","",IFERROR(AVERAGEIFS(Contratações!$R$5:$R$504,Contratações!$I$5:$I$504,A30,Contratações!$R$5:$R$504,"&gt;0"),""))</f>
        <v/>
      </c>
      <c r="X30" s="14" t="str">
        <f aca="false">IF(A30="","",IF(U30=0,"nunca",_xlfn.MAXIFS(Contratações!$O$5:$O$504,Contratações!$I$5:$I$504,A30)))</f>
        <v/>
      </c>
      <c r="Y30" s="11"/>
    </row>
    <row r="31" customFormat="false" ht="15" hidden="false" customHeight="false" outlineLevel="0" collapsed="false">
      <c r="A31" s="11"/>
      <c r="B31" s="11"/>
      <c r="C31" s="11"/>
      <c r="D31" s="11"/>
      <c r="E31" s="12" t="str">
        <f aca="false">IF(D31="","",IF(OR(D31="MEI",D31="ME",D31="EPP",D31="Cooperativa",D31="PF autônoma"),"S","N"))</f>
        <v/>
      </c>
      <c r="F31" s="11"/>
      <c r="G31" s="11"/>
      <c r="H31" s="11"/>
      <c r="I31" s="11"/>
      <c r="J31" s="11"/>
      <c r="K31" s="11"/>
      <c r="L31" s="11"/>
      <c r="M31" s="13"/>
      <c r="N31" s="14" t="str">
        <f aca="false">IF(M31="","",EDATE(M31,Parâmetros!$B$12))</f>
        <v/>
      </c>
      <c r="O31" s="11"/>
      <c r="P31" s="13"/>
      <c r="Q31" s="13"/>
      <c r="R31" s="13"/>
      <c r="S31" s="13"/>
      <c r="T31" s="12" t="str">
        <f aca="true">IF(A31="","",IF(OR(AND(P31&lt;&gt;"",P31&lt;=TODAY()+Parâmetros!$B$13),AND(Q31&lt;&gt;"",Q31&lt;=TODAY()+Parâmetros!$B$13),AND(R31&lt;&gt;"",R31&lt;=TODAY()+Parâmetros!$B$13),AND(S31&lt;&gt;"",S31&lt;=TODAY()+Parâmetros!$B$13)),"RENOVAR","OK"))</f>
        <v/>
      </c>
      <c r="U31" s="12" t="str">
        <f aca="false">IF(A31="","",COUNTIF(Contratações!$I$5:$I$504,A31))</f>
        <v/>
      </c>
      <c r="V31" s="15" t="str">
        <f aca="false">IF(A31="","",SUMIF(Contratações!$I$5:$I$504,A31,Contratações!$N$5:$N$504))</f>
        <v/>
      </c>
      <c r="W31" s="16" t="str">
        <f aca="false">IF(A31="","",IFERROR(AVERAGEIFS(Contratações!$R$5:$R$504,Contratações!$I$5:$I$504,A31,Contratações!$R$5:$R$504,"&gt;0"),""))</f>
        <v/>
      </c>
      <c r="X31" s="14" t="str">
        <f aca="false">IF(A31="","",IF(U31=0,"nunca",_xlfn.MAXIFS(Contratações!$O$5:$O$504,Contratações!$I$5:$I$504,A31)))</f>
        <v/>
      </c>
      <c r="Y31" s="11"/>
    </row>
    <row r="32" customFormat="false" ht="15" hidden="false" customHeight="false" outlineLevel="0" collapsed="false">
      <c r="A32" s="11"/>
      <c r="B32" s="11"/>
      <c r="C32" s="11"/>
      <c r="D32" s="11"/>
      <c r="E32" s="12" t="str">
        <f aca="false">IF(D32="","",IF(OR(D32="MEI",D32="ME",D32="EPP",D32="Cooperativa",D32="PF autônoma"),"S","N"))</f>
        <v/>
      </c>
      <c r="F32" s="11"/>
      <c r="G32" s="11"/>
      <c r="H32" s="11"/>
      <c r="I32" s="11"/>
      <c r="J32" s="11"/>
      <c r="K32" s="11"/>
      <c r="L32" s="11"/>
      <c r="M32" s="13"/>
      <c r="N32" s="14" t="str">
        <f aca="false">IF(M32="","",EDATE(M32,Parâmetros!$B$12))</f>
        <v/>
      </c>
      <c r="O32" s="11"/>
      <c r="P32" s="13"/>
      <c r="Q32" s="13"/>
      <c r="R32" s="13"/>
      <c r="S32" s="13"/>
      <c r="T32" s="12" t="str">
        <f aca="true">IF(A32="","",IF(OR(AND(P32&lt;&gt;"",P32&lt;=TODAY()+Parâmetros!$B$13),AND(Q32&lt;&gt;"",Q32&lt;=TODAY()+Parâmetros!$B$13),AND(R32&lt;&gt;"",R32&lt;=TODAY()+Parâmetros!$B$13),AND(S32&lt;&gt;"",S32&lt;=TODAY()+Parâmetros!$B$13)),"RENOVAR","OK"))</f>
        <v/>
      </c>
      <c r="U32" s="12" t="str">
        <f aca="false">IF(A32="","",COUNTIF(Contratações!$I$5:$I$504,A32))</f>
        <v/>
      </c>
      <c r="V32" s="15" t="str">
        <f aca="false">IF(A32="","",SUMIF(Contratações!$I$5:$I$504,A32,Contratações!$N$5:$N$504))</f>
        <v/>
      </c>
      <c r="W32" s="16" t="str">
        <f aca="false">IF(A32="","",IFERROR(AVERAGEIFS(Contratações!$R$5:$R$504,Contratações!$I$5:$I$504,A32,Contratações!$R$5:$R$504,"&gt;0"),""))</f>
        <v/>
      </c>
      <c r="X32" s="14" t="str">
        <f aca="false">IF(A32="","",IF(U32=0,"nunca",_xlfn.MAXIFS(Contratações!$O$5:$O$504,Contratações!$I$5:$I$504,A32)))</f>
        <v/>
      </c>
      <c r="Y32" s="11"/>
    </row>
    <row r="33" customFormat="false" ht="15" hidden="false" customHeight="false" outlineLevel="0" collapsed="false">
      <c r="A33" s="11"/>
      <c r="B33" s="11"/>
      <c r="C33" s="11"/>
      <c r="D33" s="11"/>
      <c r="E33" s="12" t="str">
        <f aca="false">IF(D33="","",IF(OR(D33="MEI",D33="ME",D33="EPP",D33="Cooperativa",D33="PF autônoma"),"S","N"))</f>
        <v/>
      </c>
      <c r="F33" s="11"/>
      <c r="G33" s="11"/>
      <c r="H33" s="11"/>
      <c r="I33" s="11"/>
      <c r="J33" s="11"/>
      <c r="K33" s="11"/>
      <c r="L33" s="11"/>
      <c r="M33" s="13"/>
      <c r="N33" s="14" t="str">
        <f aca="false">IF(M33="","",EDATE(M33,Parâmetros!$B$12))</f>
        <v/>
      </c>
      <c r="O33" s="11"/>
      <c r="P33" s="13"/>
      <c r="Q33" s="13"/>
      <c r="R33" s="13"/>
      <c r="S33" s="13"/>
      <c r="T33" s="12" t="str">
        <f aca="true">IF(A33="","",IF(OR(AND(P33&lt;&gt;"",P33&lt;=TODAY()+Parâmetros!$B$13),AND(Q33&lt;&gt;"",Q33&lt;=TODAY()+Parâmetros!$B$13),AND(R33&lt;&gt;"",R33&lt;=TODAY()+Parâmetros!$B$13),AND(S33&lt;&gt;"",S33&lt;=TODAY()+Parâmetros!$B$13)),"RENOVAR","OK"))</f>
        <v/>
      </c>
      <c r="U33" s="12" t="str">
        <f aca="false">IF(A33="","",COUNTIF(Contratações!$I$5:$I$504,A33))</f>
        <v/>
      </c>
      <c r="V33" s="15" t="str">
        <f aca="false">IF(A33="","",SUMIF(Contratações!$I$5:$I$504,A33,Contratações!$N$5:$N$504))</f>
        <v/>
      </c>
      <c r="W33" s="16" t="str">
        <f aca="false">IF(A33="","",IFERROR(AVERAGEIFS(Contratações!$R$5:$R$504,Contratações!$I$5:$I$504,A33,Contratações!$R$5:$R$504,"&gt;0"),""))</f>
        <v/>
      </c>
      <c r="X33" s="14" t="str">
        <f aca="false">IF(A33="","",IF(U33=0,"nunca",_xlfn.MAXIFS(Contratações!$O$5:$O$504,Contratações!$I$5:$I$504,A33)))</f>
        <v/>
      </c>
      <c r="Y33" s="11"/>
    </row>
    <row r="34" customFormat="false" ht="15" hidden="false" customHeight="false" outlineLevel="0" collapsed="false">
      <c r="A34" s="11"/>
      <c r="B34" s="11"/>
      <c r="C34" s="11"/>
      <c r="D34" s="11"/>
      <c r="E34" s="12" t="str">
        <f aca="false">IF(D34="","",IF(OR(D34="MEI",D34="ME",D34="EPP",D34="Cooperativa",D34="PF autônoma"),"S","N"))</f>
        <v/>
      </c>
      <c r="F34" s="11"/>
      <c r="G34" s="11"/>
      <c r="H34" s="11"/>
      <c r="I34" s="11"/>
      <c r="J34" s="11"/>
      <c r="K34" s="11"/>
      <c r="L34" s="11"/>
      <c r="M34" s="13"/>
      <c r="N34" s="14" t="str">
        <f aca="false">IF(M34="","",EDATE(M34,Parâmetros!$B$12))</f>
        <v/>
      </c>
      <c r="O34" s="11"/>
      <c r="P34" s="13"/>
      <c r="Q34" s="13"/>
      <c r="R34" s="13"/>
      <c r="S34" s="13"/>
      <c r="T34" s="12" t="str">
        <f aca="true">IF(A34="","",IF(OR(AND(P34&lt;&gt;"",P34&lt;=TODAY()+Parâmetros!$B$13),AND(Q34&lt;&gt;"",Q34&lt;=TODAY()+Parâmetros!$B$13),AND(R34&lt;&gt;"",R34&lt;=TODAY()+Parâmetros!$B$13),AND(S34&lt;&gt;"",S34&lt;=TODAY()+Parâmetros!$B$13)),"RENOVAR","OK"))</f>
        <v/>
      </c>
      <c r="U34" s="12" t="str">
        <f aca="false">IF(A34="","",COUNTIF(Contratações!$I$5:$I$504,A34))</f>
        <v/>
      </c>
      <c r="V34" s="15" t="str">
        <f aca="false">IF(A34="","",SUMIF(Contratações!$I$5:$I$504,A34,Contratações!$N$5:$N$504))</f>
        <v/>
      </c>
      <c r="W34" s="16" t="str">
        <f aca="false">IF(A34="","",IFERROR(AVERAGEIFS(Contratações!$R$5:$R$504,Contratações!$I$5:$I$504,A34,Contratações!$R$5:$R$504,"&gt;0"),""))</f>
        <v/>
      </c>
      <c r="X34" s="14" t="str">
        <f aca="false">IF(A34="","",IF(U34=0,"nunca",_xlfn.MAXIFS(Contratações!$O$5:$O$504,Contratações!$I$5:$I$504,A34)))</f>
        <v/>
      </c>
      <c r="Y34" s="11"/>
    </row>
    <row r="35" customFormat="false" ht="15" hidden="false" customHeight="false" outlineLevel="0" collapsed="false">
      <c r="A35" s="11"/>
      <c r="B35" s="11"/>
      <c r="C35" s="11"/>
      <c r="D35" s="11"/>
      <c r="E35" s="12" t="str">
        <f aca="false">IF(D35="","",IF(OR(D35="MEI",D35="ME",D35="EPP",D35="Cooperativa",D35="PF autônoma"),"S","N"))</f>
        <v/>
      </c>
      <c r="F35" s="11"/>
      <c r="G35" s="11"/>
      <c r="H35" s="11"/>
      <c r="I35" s="11"/>
      <c r="J35" s="11"/>
      <c r="K35" s="11"/>
      <c r="L35" s="11"/>
      <c r="M35" s="13"/>
      <c r="N35" s="14" t="str">
        <f aca="false">IF(M35="","",EDATE(M35,Parâmetros!$B$12))</f>
        <v/>
      </c>
      <c r="O35" s="11"/>
      <c r="P35" s="13"/>
      <c r="Q35" s="13"/>
      <c r="R35" s="13"/>
      <c r="S35" s="13"/>
      <c r="T35" s="12" t="str">
        <f aca="true">IF(A35="","",IF(OR(AND(P35&lt;&gt;"",P35&lt;=TODAY()+Parâmetros!$B$13),AND(Q35&lt;&gt;"",Q35&lt;=TODAY()+Parâmetros!$B$13),AND(R35&lt;&gt;"",R35&lt;=TODAY()+Parâmetros!$B$13),AND(S35&lt;&gt;"",S35&lt;=TODAY()+Parâmetros!$B$13)),"RENOVAR","OK"))</f>
        <v/>
      </c>
      <c r="U35" s="12" t="str">
        <f aca="false">IF(A35="","",COUNTIF(Contratações!$I$5:$I$504,A35))</f>
        <v/>
      </c>
      <c r="V35" s="15" t="str">
        <f aca="false">IF(A35="","",SUMIF(Contratações!$I$5:$I$504,A35,Contratações!$N$5:$N$504))</f>
        <v/>
      </c>
      <c r="W35" s="16" t="str">
        <f aca="false">IF(A35="","",IFERROR(AVERAGEIFS(Contratações!$R$5:$R$504,Contratações!$I$5:$I$504,A35,Contratações!$R$5:$R$504,"&gt;0"),""))</f>
        <v/>
      </c>
      <c r="X35" s="14" t="str">
        <f aca="false">IF(A35="","",IF(U35=0,"nunca",_xlfn.MAXIFS(Contratações!$O$5:$O$504,Contratações!$I$5:$I$504,A35)))</f>
        <v/>
      </c>
      <c r="Y35" s="11"/>
    </row>
    <row r="36" customFormat="false" ht="15" hidden="false" customHeight="false" outlineLevel="0" collapsed="false">
      <c r="A36" s="11"/>
      <c r="B36" s="11"/>
      <c r="C36" s="11"/>
      <c r="D36" s="11"/>
      <c r="E36" s="12" t="str">
        <f aca="false">IF(D36="","",IF(OR(D36="MEI",D36="ME",D36="EPP",D36="Cooperativa",D36="PF autônoma"),"S","N"))</f>
        <v/>
      </c>
      <c r="F36" s="11"/>
      <c r="G36" s="11"/>
      <c r="H36" s="11"/>
      <c r="I36" s="11"/>
      <c r="J36" s="11"/>
      <c r="K36" s="11"/>
      <c r="L36" s="11"/>
      <c r="M36" s="13"/>
      <c r="N36" s="14" t="str">
        <f aca="false">IF(M36="","",EDATE(M36,Parâmetros!$B$12))</f>
        <v/>
      </c>
      <c r="O36" s="11"/>
      <c r="P36" s="13"/>
      <c r="Q36" s="13"/>
      <c r="R36" s="13"/>
      <c r="S36" s="13"/>
      <c r="T36" s="12" t="str">
        <f aca="true">IF(A36="","",IF(OR(AND(P36&lt;&gt;"",P36&lt;=TODAY()+Parâmetros!$B$13),AND(Q36&lt;&gt;"",Q36&lt;=TODAY()+Parâmetros!$B$13),AND(R36&lt;&gt;"",R36&lt;=TODAY()+Parâmetros!$B$13),AND(S36&lt;&gt;"",S36&lt;=TODAY()+Parâmetros!$B$13)),"RENOVAR","OK"))</f>
        <v/>
      </c>
      <c r="U36" s="12" t="str">
        <f aca="false">IF(A36="","",COUNTIF(Contratações!$I$5:$I$504,A36))</f>
        <v/>
      </c>
      <c r="V36" s="15" t="str">
        <f aca="false">IF(A36="","",SUMIF(Contratações!$I$5:$I$504,A36,Contratações!$N$5:$N$504))</f>
        <v/>
      </c>
      <c r="W36" s="16" t="str">
        <f aca="false">IF(A36="","",IFERROR(AVERAGEIFS(Contratações!$R$5:$R$504,Contratações!$I$5:$I$504,A36,Contratações!$R$5:$R$504,"&gt;0"),""))</f>
        <v/>
      </c>
      <c r="X36" s="14" t="str">
        <f aca="false">IF(A36="","",IF(U36=0,"nunca",_xlfn.MAXIFS(Contratações!$O$5:$O$504,Contratações!$I$5:$I$504,A36)))</f>
        <v/>
      </c>
      <c r="Y36" s="11"/>
    </row>
    <row r="37" customFormat="false" ht="15" hidden="false" customHeight="false" outlineLevel="0" collapsed="false">
      <c r="A37" s="11"/>
      <c r="B37" s="11"/>
      <c r="C37" s="11"/>
      <c r="D37" s="11"/>
      <c r="E37" s="12" t="str">
        <f aca="false">IF(D37="","",IF(OR(D37="MEI",D37="ME",D37="EPP",D37="Cooperativa",D37="PF autônoma"),"S","N"))</f>
        <v/>
      </c>
      <c r="F37" s="11"/>
      <c r="G37" s="11"/>
      <c r="H37" s="11"/>
      <c r="I37" s="11"/>
      <c r="J37" s="11"/>
      <c r="K37" s="11"/>
      <c r="L37" s="11"/>
      <c r="M37" s="13"/>
      <c r="N37" s="14" t="str">
        <f aca="false">IF(M37="","",EDATE(M37,Parâmetros!$B$12))</f>
        <v/>
      </c>
      <c r="O37" s="11"/>
      <c r="P37" s="13"/>
      <c r="Q37" s="13"/>
      <c r="R37" s="13"/>
      <c r="S37" s="13"/>
      <c r="T37" s="12" t="str">
        <f aca="true">IF(A37="","",IF(OR(AND(P37&lt;&gt;"",P37&lt;=TODAY()+Parâmetros!$B$13),AND(Q37&lt;&gt;"",Q37&lt;=TODAY()+Parâmetros!$B$13),AND(R37&lt;&gt;"",R37&lt;=TODAY()+Parâmetros!$B$13),AND(S37&lt;&gt;"",S37&lt;=TODAY()+Parâmetros!$B$13)),"RENOVAR","OK"))</f>
        <v/>
      </c>
      <c r="U37" s="12" t="str">
        <f aca="false">IF(A37="","",COUNTIF(Contratações!$I$5:$I$504,A37))</f>
        <v/>
      </c>
      <c r="V37" s="15" t="str">
        <f aca="false">IF(A37="","",SUMIF(Contratações!$I$5:$I$504,A37,Contratações!$N$5:$N$504))</f>
        <v/>
      </c>
      <c r="W37" s="16" t="str">
        <f aca="false">IF(A37="","",IFERROR(AVERAGEIFS(Contratações!$R$5:$R$504,Contratações!$I$5:$I$504,A37,Contratações!$R$5:$R$504,"&gt;0"),""))</f>
        <v/>
      </c>
      <c r="X37" s="14" t="str">
        <f aca="false">IF(A37="","",IF(U37=0,"nunca",_xlfn.MAXIFS(Contratações!$O$5:$O$504,Contratações!$I$5:$I$504,A37)))</f>
        <v/>
      </c>
      <c r="Y37" s="11"/>
    </row>
    <row r="38" customFormat="false" ht="15" hidden="false" customHeight="false" outlineLevel="0" collapsed="false">
      <c r="A38" s="11"/>
      <c r="B38" s="11"/>
      <c r="C38" s="11"/>
      <c r="D38" s="11"/>
      <c r="E38" s="12" t="str">
        <f aca="false">IF(D38="","",IF(OR(D38="MEI",D38="ME",D38="EPP",D38="Cooperativa",D38="PF autônoma"),"S","N"))</f>
        <v/>
      </c>
      <c r="F38" s="11"/>
      <c r="G38" s="11"/>
      <c r="H38" s="11"/>
      <c r="I38" s="11"/>
      <c r="J38" s="11"/>
      <c r="K38" s="11"/>
      <c r="L38" s="11"/>
      <c r="M38" s="13"/>
      <c r="N38" s="14" t="str">
        <f aca="false">IF(M38="","",EDATE(M38,Parâmetros!$B$12))</f>
        <v/>
      </c>
      <c r="O38" s="11"/>
      <c r="P38" s="13"/>
      <c r="Q38" s="13"/>
      <c r="R38" s="13"/>
      <c r="S38" s="13"/>
      <c r="T38" s="12" t="str">
        <f aca="true">IF(A38="","",IF(OR(AND(P38&lt;&gt;"",P38&lt;=TODAY()+Parâmetros!$B$13),AND(Q38&lt;&gt;"",Q38&lt;=TODAY()+Parâmetros!$B$13),AND(R38&lt;&gt;"",R38&lt;=TODAY()+Parâmetros!$B$13),AND(S38&lt;&gt;"",S38&lt;=TODAY()+Parâmetros!$B$13)),"RENOVAR","OK"))</f>
        <v/>
      </c>
      <c r="U38" s="12" t="str">
        <f aca="false">IF(A38="","",COUNTIF(Contratações!$I$5:$I$504,A38))</f>
        <v/>
      </c>
      <c r="V38" s="15" t="str">
        <f aca="false">IF(A38="","",SUMIF(Contratações!$I$5:$I$504,A38,Contratações!$N$5:$N$504))</f>
        <v/>
      </c>
      <c r="W38" s="16" t="str">
        <f aca="false">IF(A38="","",IFERROR(AVERAGEIFS(Contratações!$R$5:$R$504,Contratações!$I$5:$I$504,A38,Contratações!$R$5:$R$504,"&gt;0"),""))</f>
        <v/>
      </c>
      <c r="X38" s="14" t="str">
        <f aca="false">IF(A38="","",IF(U38=0,"nunca",_xlfn.MAXIFS(Contratações!$O$5:$O$504,Contratações!$I$5:$I$504,A38)))</f>
        <v/>
      </c>
      <c r="Y38" s="11"/>
    </row>
    <row r="39" customFormat="false" ht="15" hidden="false" customHeight="false" outlineLevel="0" collapsed="false">
      <c r="A39" s="11"/>
      <c r="B39" s="11"/>
      <c r="C39" s="11"/>
      <c r="D39" s="11"/>
      <c r="E39" s="12" t="str">
        <f aca="false">IF(D39="","",IF(OR(D39="MEI",D39="ME",D39="EPP",D39="Cooperativa",D39="PF autônoma"),"S","N"))</f>
        <v/>
      </c>
      <c r="F39" s="11"/>
      <c r="G39" s="11"/>
      <c r="H39" s="11"/>
      <c r="I39" s="11"/>
      <c r="J39" s="11"/>
      <c r="K39" s="11"/>
      <c r="L39" s="11"/>
      <c r="M39" s="13"/>
      <c r="N39" s="14" t="str">
        <f aca="false">IF(M39="","",EDATE(M39,Parâmetros!$B$12))</f>
        <v/>
      </c>
      <c r="O39" s="11"/>
      <c r="P39" s="13"/>
      <c r="Q39" s="13"/>
      <c r="R39" s="13"/>
      <c r="S39" s="13"/>
      <c r="T39" s="12" t="str">
        <f aca="true">IF(A39="","",IF(OR(AND(P39&lt;&gt;"",P39&lt;=TODAY()+Parâmetros!$B$13),AND(Q39&lt;&gt;"",Q39&lt;=TODAY()+Parâmetros!$B$13),AND(R39&lt;&gt;"",R39&lt;=TODAY()+Parâmetros!$B$13),AND(S39&lt;&gt;"",S39&lt;=TODAY()+Parâmetros!$B$13)),"RENOVAR","OK"))</f>
        <v/>
      </c>
      <c r="U39" s="12" t="str">
        <f aca="false">IF(A39="","",COUNTIF(Contratações!$I$5:$I$504,A39))</f>
        <v/>
      </c>
      <c r="V39" s="15" t="str">
        <f aca="false">IF(A39="","",SUMIF(Contratações!$I$5:$I$504,A39,Contratações!$N$5:$N$504))</f>
        <v/>
      </c>
      <c r="W39" s="16" t="str">
        <f aca="false">IF(A39="","",IFERROR(AVERAGEIFS(Contratações!$R$5:$R$504,Contratações!$I$5:$I$504,A39,Contratações!$R$5:$R$504,"&gt;0"),""))</f>
        <v/>
      </c>
      <c r="X39" s="14" t="str">
        <f aca="false">IF(A39="","",IF(U39=0,"nunca",_xlfn.MAXIFS(Contratações!$O$5:$O$504,Contratações!$I$5:$I$504,A39)))</f>
        <v/>
      </c>
      <c r="Y39" s="11"/>
    </row>
    <row r="40" customFormat="false" ht="15" hidden="false" customHeight="false" outlineLevel="0" collapsed="false">
      <c r="A40" s="11"/>
      <c r="B40" s="11"/>
      <c r="C40" s="11"/>
      <c r="D40" s="11"/>
      <c r="E40" s="12" t="str">
        <f aca="false">IF(D40="","",IF(OR(D40="MEI",D40="ME",D40="EPP",D40="Cooperativa",D40="PF autônoma"),"S","N"))</f>
        <v/>
      </c>
      <c r="F40" s="11"/>
      <c r="G40" s="11"/>
      <c r="H40" s="11"/>
      <c r="I40" s="11"/>
      <c r="J40" s="11"/>
      <c r="K40" s="11"/>
      <c r="L40" s="11"/>
      <c r="M40" s="13"/>
      <c r="N40" s="14" t="str">
        <f aca="false">IF(M40="","",EDATE(M40,Parâmetros!$B$12))</f>
        <v/>
      </c>
      <c r="O40" s="11"/>
      <c r="P40" s="13"/>
      <c r="Q40" s="13"/>
      <c r="R40" s="13"/>
      <c r="S40" s="13"/>
      <c r="T40" s="12" t="str">
        <f aca="true">IF(A40="","",IF(OR(AND(P40&lt;&gt;"",P40&lt;=TODAY()+Parâmetros!$B$13),AND(Q40&lt;&gt;"",Q40&lt;=TODAY()+Parâmetros!$B$13),AND(R40&lt;&gt;"",R40&lt;=TODAY()+Parâmetros!$B$13),AND(S40&lt;&gt;"",S40&lt;=TODAY()+Parâmetros!$B$13)),"RENOVAR","OK"))</f>
        <v/>
      </c>
      <c r="U40" s="12" t="str">
        <f aca="false">IF(A40="","",COUNTIF(Contratações!$I$5:$I$504,A40))</f>
        <v/>
      </c>
      <c r="V40" s="15" t="str">
        <f aca="false">IF(A40="","",SUMIF(Contratações!$I$5:$I$504,A40,Contratações!$N$5:$N$504))</f>
        <v/>
      </c>
      <c r="W40" s="16" t="str">
        <f aca="false">IF(A40="","",IFERROR(AVERAGEIFS(Contratações!$R$5:$R$504,Contratações!$I$5:$I$504,A40,Contratações!$R$5:$R$504,"&gt;0"),""))</f>
        <v/>
      </c>
      <c r="X40" s="14" t="str">
        <f aca="false">IF(A40="","",IF(U40=0,"nunca",_xlfn.MAXIFS(Contratações!$O$5:$O$504,Contratações!$I$5:$I$504,A40)))</f>
        <v/>
      </c>
      <c r="Y40" s="11"/>
    </row>
    <row r="41" customFormat="false" ht="15" hidden="false" customHeight="false" outlineLevel="0" collapsed="false">
      <c r="A41" s="11"/>
      <c r="B41" s="11"/>
      <c r="C41" s="11"/>
      <c r="D41" s="11"/>
      <c r="E41" s="12" t="str">
        <f aca="false">IF(D41="","",IF(OR(D41="MEI",D41="ME",D41="EPP",D41="Cooperativa",D41="PF autônoma"),"S","N"))</f>
        <v/>
      </c>
      <c r="F41" s="11"/>
      <c r="G41" s="11"/>
      <c r="H41" s="11"/>
      <c r="I41" s="11"/>
      <c r="J41" s="11"/>
      <c r="K41" s="11"/>
      <c r="L41" s="11"/>
      <c r="M41" s="13"/>
      <c r="N41" s="14" t="str">
        <f aca="false">IF(M41="","",EDATE(M41,Parâmetros!$B$12))</f>
        <v/>
      </c>
      <c r="O41" s="11"/>
      <c r="P41" s="13"/>
      <c r="Q41" s="13"/>
      <c r="R41" s="13"/>
      <c r="S41" s="13"/>
      <c r="T41" s="12" t="str">
        <f aca="true">IF(A41="","",IF(OR(AND(P41&lt;&gt;"",P41&lt;=TODAY()+Parâmetros!$B$13),AND(Q41&lt;&gt;"",Q41&lt;=TODAY()+Parâmetros!$B$13),AND(R41&lt;&gt;"",R41&lt;=TODAY()+Parâmetros!$B$13),AND(S41&lt;&gt;"",S41&lt;=TODAY()+Parâmetros!$B$13)),"RENOVAR","OK"))</f>
        <v/>
      </c>
      <c r="U41" s="12" t="str">
        <f aca="false">IF(A41="","",COUNTIF(Contratações!$I$5:$I$504,A41))</f>
        <v/>
      </c>
      <c r="V41" s="15" t="str">
        <f aca="false">IF(A41="","",SUMIF(Contratações!$I$5:$I$504,A41,Contratações!$N$5:$N$504))</f>
        <v/>
      </c>
      <c r="W41" s="16" t="str">
        <f aca="false">IF(A41="","",IFERROR(AVERAGEIFS(Contratações!$R$5:$R$504,Contratações!$I$5:$I$504,A41,Contratações!$R$5:$R$504,"&gt;0"),""))</f>
        <v/>
      </c>
      <c r="X41" s="14" t="str">
        <f aca="false">IF(A41="","",IF(U41=0,"nunca",_xlfn.MAXIFS(Contratações!$O$5:$O$504,Contratações!$I$5:$I$504,A41)))</f>
        <v/>
      </c>
      <c r="Y41" s="11"/>
    </row>
    <row r="42" customFormat="false" ht="15" hidden="false" customHeight="false" outlineLevel="0" collapsed="false">
      <c r="A42" s="11"/>
      <c r="B42" s="11"/>
      <c r="C42" s="11"/>
      <c r="D42" s="11"/>
      <c r="E42" s="12" t="str">
        <f aca="false">IF(D42="","",IF(OR(D42="MEI",D42="ME",D42="EPP",D42="Cooperativa",D42="PF autônoma"),"S","N"))</f>
        <v/>
      </c>
      <c r="F42" s="11"/>
      <c r="G42" s="11"/>
      <c r="H42" s="11"/>
      <c r="I42" s="11"/>
      <c r="J42" s="11"/>
      <c r="K42" s="11"/>
      <c r="L42" s="11"/>
      <c r="M42" s="13"/>
      <c r="N42" s="14" t="str">
        <f aca="false">IF(M42="","",EDATE(M42,Parâmetros!$B$12))</f>
        <v/>
      </c>
      <c r="O42" s="11"/>
      <c r="P42" s="13"/>
      <c r="Q42" s="13"/>
      <c r="R42" s="13"/>
      <c r="S42" s="13"/>
      <c r="T42" s="12" t="str">
        <f aca="true">IF(A42="","",IF(OR(AND(P42&lt;&gt;"",P42&lt;=TODAY()+Parâmetros!$B$13),AND(Q42&lt;&gt;"",Q42&lt;=TODAY()+Parâmetros!$B$13),AND(R42&lt;&gt;"",R42&lt;=TODAY()+Parâmetros!$B$13),AND(S42&lt;&gt;"",S42&lt;=TODAY()+Parâmetros!$B$13)),"RENOVAR","OK"))</f>
        <v/>
      </c>
      <c r="U42" s="12" t="str">
        <f aca="false">IF(A42="","",COUNTIF(Contratações!$I$5:$I$504,A42))</f>
        <v/>
      </c>
      <c r="V42" s="15" t="str">
        <f aca="false">IF(A42="","",SUMIF(Contratações!$I$5:$I$504,A42,Contratações!$N$5:$N$504))</f>
        <v/>
      </c>
      <c r="W42" s="16" t="str">
        <f aca="false">IF(A42="","",IFERROR(AVERAGEIFS(Contratações!$R$5:$R$504,Contratações!$I$5:$I$504,A42,Contratações!$R$5:$R$504,"&gt;0"),""))</f>
        <v/>
      </c>
      <c r="X42" s="14" t="str">
        <f aca="false">IF(A42="","",IF(U42=0,"nunca",_xlfn.MAXIFS(Contratações!$O$5:$O$504,Contratações!$I$5:$I$504,A42)))</f>
        <v/>
      </c>
      <c r="Y42" s="11"/>
    </row>
    <row r="43" customFormat="false" ht="15" hidden="false" customHeight="false" outlineLevel="0" collapsed="false">
      <c r="A43" s="11"/>
      <c r="B43" s="11"/>
      <c r="C43" s="11"/>
      <c r="D43" s="11"/>
      <c r="E43" s="12" t="str">
        <f aca="false">IF(D43="","",IF(OR(D43="MEI",D43="ME",D43="EPP",D43="Cooperativa",D43="PF autônoma"),"S","N"))</f>
        <v/>
      </c>
      <c r="F43" s="11"/>
      <c r="G43" s="11"/>
      <c r="H43" s="11"/>
      <c r="I43" s="11"/>
      <c r="J43" s="11"/>
      <c r="K43" s="11"/>
      <c r="L43" s="11"/>
      <c r="M43" s="13"/>
      <c r="N43" s="14" t="str">
        <f aca="false">IF(M43="","",EDATE(M43,Parâmetros!$B$12))</f>
        <v/>
      </c>
      <c r="O43" s="11"/>
      <c r="P43" s="13"/>
      <c r="Q43" s="13"/>
      <c r="R43" s="13"/>
      <c r="S43" s="13"/>
      <c r="T43" s="12" t="str">
        <f aca="true">IF(A43="","",IF(OR(AND(P43&lt;&gt;"",P43&lt;=TODAY()+Parâmetros!$B$13),AND(Q43&lt;&gt;"",Q43&lt;=TODAY()+Parâmetros!$B$13),AND(R43&lt;&gt;"",R43&lt;=TODAY()+Parâmetros!$B$13),AND(S43&lt;&gt;"",S43&lt;=TODAY()+Parâmetros!$B$13)),"RENOVAR","OK"))</f>
        <v/>
      </c>
      <c r="U43" s="12" t="str">
        <f aca="false">IF(A43="","",COUNTIF(Contratações!$I$5:$I$504,A43))</f>
        <v/>
      </c>
      <c r="V43" s="15" t="str">
        <f aca="false">IF(A43="","",SUMIF(Contratações!$I$5:$I$504,A43,Contratações!$N$5:$N$504))</f>
        <v/>
      </c>
      <c r="W43" s="16" t="str">
        <f aca="false">IF(A43="","",IFERROR(AVERAGEIFS(Contratações!$R$5:$R$504,Contratações!$I$5:$I$504,A43,Contratações!$R$5:$R$504,"&gt;0"),""))</f>
        <v/>
      </c>
      <c r="X43" s="14" t="str">
        <f aca="false">IF(A43="","",IF(U43=0,"nunca",_xlfn.MAXIFS(Contratações!$O$5:$O$504,Contratações!$I$5:$I$504,A43)))</f>
        <v/>
      </c>
      <c r="Y43" s="11"/>
    </row>
    <row r="44" customFormat="false" ht="15" hidden="false" customHeight="false" outlineLevel="0" collapsed="false">
      <c r="A44" s="11"/>
      <c r="B44" s="11"/>
      <c r="C44" s="11"/>
      <c r="D44" s="11"/>
      <c r="E44" s="12" t="str">
        <f aca="false">IF(D44="","",IF(OR(D44="MEI",D44="ME",D44="EPP",D44="Cooperativa",D44="PF autônoma"),"S","N"))</f>
        <v/>
      </c>
      <c r="F44" s="11"/>
      <c r="G44" s="11"/>
      <c r="H44" s="11"/>
      <c r="I44" s="11"/>
      <c r="J44" s="11"/>
      <c r="K44" s="11"/>
      <c r="L44" s="11"/>
      <c r="M44" s="13"/>
      <c r="N44" s="14" t="str">
        <f aca="false">IF(M44="","",EDATE(M44,Parâmetros!$B$12))</f>
        <v/>
      </c>
      <c r="O44" s="11"/>
      <c r="P44" s="13"/>
      <c r="Q44" s="13"/>
      <c r="R44" s="13"/>
      <c r="S44" s="13"/>
      <c r="T44" s="12" t="str">
        <f aca="true">IF(A44="","",IF(OR(AND(P44&lt;&gt;"",P44&lt;=TODAY()+Parâmetros!$B$13),AND(Q44&lt;&gt;"",Q44&lt;=TODAY()+Parâmetros!$B$13),AND(R44&lt;&gt;"",R44&lt;=TODAY()+Parâmetros!$B$13),AND(S44&lt;&gt;"",S44&lt;=TODAY()+Parâmetros!$B$13)),"RENOVAR","OK"))</f>
        <v/>
      </c>
      <c r="U44" s="12" t="str">
        <f aca="false">IF(A44="","",COUNTIF(Contratações!$I$5:$I$504,A44))</f>
        <v/>
      </c>
      <c r="V44" s="15" t="str">
        <f aca="false">IF(A44="","",SUMIF(Contratações!$I$5:$I$504,A44,Contratações!$N$5:$N$504))</f>
        <v/>
      </c>
      <c r="W44" s="16" t="str">
        <f aca="false">IF(A44="","",IFERROR(AVERAGEIFS(Contratações!$R$5:$R$504,Contratações!$I$5:$I$504,A44,Contratações!$R$5:$R$504,"&gt;0"),""))</f>
        <v/>
      </c>
      <c r="X44" s="14" t="str">
        <f aca="false">IF(A44="","",IF(U44=0,"nunca",_xlfn.MAXIFS(Contratações!$O$5:$O$504,Contratações!$I$5:$I$504,A44)))</f>
        <v/>
      </c>
      <c r="Y44" s="11"/>
    </row>
    <row r="45" customFormat="false" ht="15" hidden="false" customHeight="false" outlineLevel="0" collapsed="false">
      <c r="A45" s="11"/>
      <c r="B45" s="11"/>
      <c r="C45" s="11"/>
      <c r="D45" s="11"/>
      <c r="E45" s="12" t="str">
        <f aca="false">IF(D45="","",IF(OR(D45="MEI",D45="ME",D45="EPP",D45="Cooperativa",D45="PF autônoma"),"S","N"))</f>
        <v/>
      </c>
      <c r="F45" s="11"/>
      <c r="G45" s="11"/>
      <c r="H45" s="11"/>
      <c r="I45" s="11"/>
      <c r="J45" s="11"/>
      <c r="K45" s="11"/>
      <c r="L45" s="11"/>
      <c r="M45" s="13"/>
      <c r="N45" s="14" t="str">
        <f aca="false">IF(M45="","",EDATE(M45,Parâmetros!$B$12))</f>
        <v/>
      </c>
      <c r="O45" s="11"/>
      <c r="P45" s="13"/>
      <c r="Q45" s="13"/>
      <c r="R45" s="13"/>
      <c r="S45" s="13"/>
      <c r="T45" s="12" t="str">
        <f aca="true">IF(A45="","",IF(OR(AND(P45&lt;&gt;"",P45&lt;=TODAY()+Parâmetros!$B$13),AND(Q45&lt;&gt;"",Q45&lt;=TODAY()+Parâmetros!$B$13),AND(R45&lt;&gt;"",R45&lt;=TODAY()+Parâmetros!$B$13),AND(S45&lt;&gt;"",S45&lt;=TODAY()+Parâmetros!$B$13)),"RENOVAR","OK"))</f>
        <v/>
      </c>
      <c r="U45" s="12" t="str">
        <f aca="false">IF(A45="","",COUNTIF(Contratações!$I$5:$I$504,A45))</f>
        <v/>
      </c>
      <c r="V45" s="15" t="str">
        <f aca="false">IF(A45="","",SUMIF(Contratações!$I$5:$I$504,A45,Contratações!$N$5:$N$504))</f>
        <v/>
      </c>
      <c r="W45" s="16" t="str">
        <f aca="false">IF(A45="","",IFERROR(AVERAGEIFS(Contratações!$R$5:$R$504,Contratações!$I$5:$I$504,A45,Contratações!$R$5:$R$504,"&gt;0"),""))</f>
        <v/>
      </c>
      <c r="X45" s="14" t="str">
        <f aca="false">IF(A45="","",IF(U45=0,"nunca",_xlfn.MAXIFS(Contratações!$O$5:$O$504,Contratações!$I$5:$I$504,A45)))</f>
        <v/>
      </c>
      <c r="Y45" s="11"/>
    </row>
    <row r="46" customFormat="false" ht="15" hidden="false" customHeight="false" outlineLevel="0" collapsed="false">
      <c r="A46" s="11"/>
      <c r="B46" s="11"/>
      <c r="C46" s="11"/>
      <c r="D46" s="11"/>
      <c r="E46" s="12" t="str">
        <f aca="false">IF(D46="","",IF(OR(D46="MEI",D46="ME",D46="EPP",D46="Cooperativa",D46="PF autônoma"),"S","N"))</f>
        <v/>
      </c>
      <c r="F46" s="11"/>
      <c r="G46" s="11"/>
      <c r="H46" s="11"/>
      <c r="I46" s="11"/>
      <c r="J46" s="11"/>
      <c r="K46" s="11"/>
      <c r="L46" s="11"/>
      <c r="M46" s="13"/>
      <c r="N46" s="14" t="str">
        <f aca="false">IF(M46="","",EDATE(M46,Parâmetros!$B$12))</f>
        <v/>
      </c>
      <c r="O46" s="11"/>
      <c r="P46" s="13"/>
      <c r="Q46" s="13"/>
      <c r="R46" s="13"/>
      <c r="S46" s="13"/>
      <c r="T46" s="12" t="str">
        <f aca="true">IF(A46="","",IF(OR(AND(P46&lt;&gt;"",P46&lt;=TODAY()+Parâmetros!$B$13),AND(Q46&lt;&gt;"",Q46&lt;=TODAY()+Parâmetros!$B$13),AND(R46&lt;&gt;"",R46&lt;=TODAY()+Parâmetros!$B$13),AND(S46&lt;&gt;"",S46&lt;=TODAY()+Parâmetros!$B$13)),"RENOVAR","OK"))</f>
        <v/>
      </c>
      <c r="U46" s="12" t="str">
        <f aca="false">IF(A46="","",COUNTIF(Contratações!$I$5:$I$504,A46))</f>
        <v/>
      </c>
      <c r="V46" s="15" t="str">
        <f aca="false">IF(A46="","",SUMIF(Contratações!$I$5:$I$504,A46,Contratações!$N$5:$N$504))</f>
        <v/>
      </c>
      <c r="W46" s="16" t="str">
        <f aca="false">IF(A46="","",IFERROR(AVERAGEIFS(Contratações!$R$5:$R$504,Contratações!$I$5:$I$504,A46,Contratações!$R$5:$R$504,"&gt;0"),""))</f>
        <v/>
      </c>
      <c r="X46" s="14" t="str">
        <f aca="false">IF(A46="","",IF(U46=0,"nunca",_xlfn.MAXIFS(Contratações!$O$5:$O$504,Contratações!$I$5:$I$504,A46)))</f>
        <v/>
      </c>
      <c r="Y46" s="11"/>
    </row>
    <row r="47" customFormat="false" ht="15" hidden="false" customHeight="false" outlineLevel="0" collapsed="false">
      <c r="A47" s="11"/>
      <c r="B47" s="11"/>
      <c r="C47" s="11"/>
      <c r="D47" s="11"/>
      <c r="E47" s="12" t="str">
        <f aca="false">IF(D47="","",IF(OR(D47="MEI",D47="ME",D47="EPP",D47="Cooperativa",D47="PF autônoma"),"S","N"))</f>
        <v/>
      </c>
      <c r="F47" s="11"/>
      <c r="G47" s="11"/>
      <c r="H47" s="11"/>
      <c r="I47" s="11"/>
      <c r="J47" s="11"/>
      <c r="K47" s="11"/>
      <c r="L47" s="11"/>
      <c r="M47" s="13"/>
      <c r="N47" s="14" t="str">
        <f aca="false">IF(M47="","",EDATE(M47,Parâmetros!$B$12))</f>
        <v/>
      </c>
      <c r="O47" s="11"/>
      <c r="P47" s="13"/>
      <c r="Q47" s="13"/>
      <c r="R47" s="13"/>
      <c r="S47" s="13"/>
      <c r="T47" s="12" t="str">
        <f aca="true">IF(A47="","",IF(OR(AND(P47&lt;&gt;"",P47&lt;=TODAY()+Parâmetros!$B$13),AND(Q47&lt;&gt;"",Q47&lt;=TODAY()+Parâmetros!$B$13),AND(R47&lt;&gt;"",R47&lt;=TODAY()+Parâmetros!$B$13),AND(S47&lt;&gt;"",S47&lt;=TODAY()+Parâmetros!$B$13)),"RENOVAR","OK"))</f>
        <v/>
      </c>
      <c r="U47" s="12" t="str">
        <f aca="false">IF(A47="","",COUNTIF(Contratações!$I$5:$I$504,A47))</f>
        <v/>
      </c>
      <c r="V47" s="15" t="str">
        <f aca="false">IF(A47="","",SUMIF(Contratações!$I$5:$I$504,A47,Contratações!$N$5:$N$504))</f>
        <v/>
      </c>
      <c r="W47" s="16" t="str">
        <f aca="false">IF(A47="","",IFERROR(AVERAGEIFS(Contratações!$R$5:$R$504,Contratações!$I$5:$I$504,A47,Contratações!$R$5:$R$504,"&gt;0"),""))</f>
        <v/>
      </c>
      <c r="X47" s="14" t="str">
        <f aca="false">IF(A47="","",IF(U47=0,"nunca",_xlfn.MAXIFS(Contratações!$O$5:$O$504,Contratações!$I$5:$I$504,A47)))</f>
        <v/>
      </c>
      <c r="Y47" s="11"/>
    </row>
    <row r="48" customFormat="false" ht="15" hidden="false" customHeight="false" outlineLevel="0" collapsed="false">
      <c r="A48" s="11"/>
      <c r="B48" s="11"/>
      <c r="C48" s="11"/>
      <c r="D48" s="11"/>
      <c r="E48" s="12" t="str">
        <f aca="false">IF(D48="","",IF(OR(D48="MEI",D48="ME",D48="EPP",D48="Cooperativa",D48="PF autônoma"),"S","N"))</f>
        <v/>
      </c>
      <c r="F48" s="11"/>
      <c r="G48" s="11"/>
      <c r="H48" s="11"/>
      <c r="I48" s="11"/>
      <c r="J48" s="11"/>
      <c r="K48" s="11"/>
      <c r="L48" s="11"/>
      <c r="M48" s="13"/>
      <c r="N48" s="14" t="str">
        <f aca="false">IF(M48="","",EDATE(M48,Parâmetros!$B$12))</f>
        <v/>
      </c>
      <c r="O48" s="11"/>
      <c r="P48" s="13"/>
      <c r="Q48" s="13"/>
      <c r="R48" s="13"/>
      <c r="S48" s="13"/>
      <c r="T48" s="12" t="str">
        <f aca="true">IF(A48="","",IF(OR(AND(P48&lt;&gt;"",P48&lt;=TODAY()+Parâmetros!$B$13),AND(Q48&lt;&gt;"",Q48&lt;=TODAY()+Parâmetros!$B$13),AND(R48&lt;&gt;"",R48&lt;=TODAY()+Parâmetros!$B$13),AND(S48&lt;&gt;"",S48&lt;=TODAY()+Parâmetros!$B$13)),"RENOVAR","OK"))</f>
        <v/>
      </c>
      <c r="U48" s="12" t="str">
        <f aca="false">IF(A48="","",COUNTIF(Contratações!$I$5:$I$504,A48))</f>
        <v/>
      </c>
      <c r="V48" s="15" t="str">
        <f aca="false">IF(A48="","",SUMIF(Contratações!$I$5:$I$504,A48,Contratações!$N$5:$N$504))</f>
        <v/>
      </c>
      <c r="W48" s="16" t="str">
        <f aca="false">IF(A48="","",IFERROR(AVERAGEIFS(Contratações!$R$5:$R$504,Contratações!$I$5:$I$504,A48,Contratações!$R$5:$R$504,"&gt;0"),""))</f>
        <v/>
      </c>
      <c r="X48" s="14" t="str">
        <f aca="false">IF(A48="","",IF(U48=0,"nunca",_xlfn.MAXIFS(Contratações!$O$5:$O$504,Contratações!$I$5:$I$504,A48)))</f>
        <v/>
      </c>
      <c r="Y48" s="11"/>
    </row>
    <row r="49" customFormat="false" ht="15" hidden="false" customHeight="false" outlineLevel="0" collapsed="false">
      <c r="A49" s="11"/>
      <c r="B49" s="11"/>
      <c r="C49" s="11"/>
      <c r="D49" s="11"/>
      <c r="E49" s="12" t="str">
        <f aca="false">IF(D49="","",IF(OR(D49="MEI",D49="ME",D49="EPP",D49="Cooperativa",D49="PF autônoma"),"S","N"))</f>
        <v/>
      </c>
      <c r="F49" s="11"/>
      <c r="G49" s="11"/>
      <c r="H49" s="11"/>
      <c r="I49" s="11"/>
      <c r="J49" s="11"/>
      <c r="K49" s="11"/>
      <c r="L49" s="11"/>
      <c r="M49" s="13"/>
      <c r="N49" s="14" t="str">
        <f aca="false">IF(M49="","",EDATE(M49,Parâmetros!$B$12))</f>
        <v/>
      </c>
      <c r="O49" s="11"/>
      <c r="P49" s="13"/>
      <c r="Q49" s="13"/>
      <c r="R49" s="13"/>
      <c r="S49" s="13"/>
      <c r="T49" s="12" t="str">
        <f aca="true">IF(A49="","",IF(OR(AND(P49&lt;&gt;"",P49&lt;=TODAY()+Parâmetros!$B$13),AND(Q49&lt;&gt;"",Q49&lt;=TODAY()+Parâmetros!$B$13),AND(R49&lt;&gt;"",R49&lt;=TODAY()+Parâmetros!$B$13),AND(S49&lt;&gt;"",S49&lt;=TODAY()+Parâmetros!$B$13)),"RENOVAR","OK"))</f>
        <v/>
      </c>
      <c r="U49" s="12" t="str">
        <f aca="false">IF(A49="","",COUNTIF(Contratações!$I$5:$I$504,A49))</f>
        <v/>
      </c>
      <c r="V49" s="15" t="str">
        <f aca="false">IF(A49="","",SUMIF(Contratações!$I$5:$I$504,A49,Contratações!$N$5:$N$504))</f>
        <v/>
      </c>
      <c r="W49" s="16" t="str">
        <f aca="false">IF(A49="","",IFERROR(AVERAGEIFS(Contratações!$R$5:$R$504,Contratações!$I$5:$I$504,A49,Contratações!$R$5:$R$504,"&gt;0"),""))</f>
        <v/>
      </c>
      <c r="X49" s="14" t="str">
        <f aca="false">IF(A49="","",IF(U49=0,"nunca",_xlfn.MAXIFS(Contratações!$O$5:$O$504,Contratações!$I$5:$I$504,A49)))</f>
        <v/>
      </c>
      <c r="Y49" s="11"/>
    </row>
    <row r="50" customFormat="false" ht="15" hidden="false" customHeight="false" outlineLevel="0" collapsed="false">
      <c r="A50" s="11"/>
      <c r="B50" s="11"/>
      <c r="C50" s="11"/>
      <c r="D50" s="11"/>
      <c r="E50" s="12" t="str">
        <f aca="false">IF(D50="","",IF(OR(D50="MEI",D50="ME",D50="EPP",D50="Cooperativa",D50="PF autônoma"),"S","N"))</f>
        <v/>
      </c>
      <c r="F50" s="11"/>
      <c r="G50" s="11"/>
      <c r="H50" s="11"/>
      <c r="I50" s="11"/>
      <c r="J50" s="11"/>
      <c r="K50" s="11"/>
      <c r="L50" s="11"/>
      <c r="M50" s="13"/>
      <c r="N50" s="14" t="str">
        <f aca="false">IF(M50="","",EDATE(M50,Parâmetros!$B$12))</f>
        <v/>
      </c>
      <c r="O50" s="11"/>
      <c r="P50" s="13"/>
      <c r="Q50" s="13"/>
      <c r="R50" s="13"/>
      <c r="S50" s="13"/>
      <c r="T50" s="12" t="str">
        <f aca="true">IF(A50="","",IF(OR(AND(P50&lt;&gt;"",P50&lt;=TODAY()+Parâmetros!$B$13),AND(Q50&lt;&gt;"",Q50&lt;=TODAY()+Parâmetros!$B$13),AND(R50&lt;&gt;"",R50&lt;=TODAY()+Parâmetros!$B$13),AND(S50&lt;&gt;"",S50&lt;=TODAY()+Parâmetros!$B$13)),"RENOVAR","OK"))</f>
        <v/>
      </c>
      <c r="U50" s="12" t="str">
        <f aca="false">IF(A50="","",COUNTIF(Contratações!$I$5:$I$504,A50))</f>
        <v/>
      </c>
      <c r="V50" s="15" t="str">
        <f aca="false">IF(A50="","",SUMIF(Contratações!$I$5:$I$504,A50,Contratações!$N$5:$N$504))</f>
        <v/>
      </c>
      <c r="W50" s="16" t="str">
        <f aca="false">IF(A50="","",IFERROR(AVERAGEIFS(Contratações!$R$5:$R$504,Contratações!$I$5:$I$504,A50,Contratações!$R$5:$R$504,"&gt;0"),""))</f>
        <v/>
      </c>
      <c r="X50" s="14" t="str">
        <f aca="false">IF(A50="","",IF(U50=0,"nunca",_xlfn.MAXIFS(Contratações!$O$5:$O$504,Contratações!$I$5:$I$504,A50)))</f>
        <v/>
      </c>
      <c r="Y50" s="11"/>
    </row>
    <row r="51" customFormat="false" ht="15" hidden="false" customHeight="false" outlineLevel="0" collapsed="false">
      <c r="A51" s="11"/>
      <c r="B51" s="11"/>
      <c r="C51" s="11"/>
      <c r="D51" s="11"/>
      <c r="E51" s="12" t="str">
        <f aca="false">IF(D51="","",IF(OR(D51="MEI",D51="ME",D51="EPP",D51="Cooperativa",D51="PF autônoma"),"S","N"))</f>
        <v/>
      </c>
      <c r="F51" s="11"/>
      <c r="G51" s="11"/>
      <c r="H51" s="11"/>
      <c r="I51" s="11"/>
      <c r="J51" s="11"/>
      <c r="K51" s="11"/>
      <c r="L51" s="11"/>
      <c r="M51" s="13"/>
      <c r="N51" s="14" t="str">
        <f aca="false">IF(M51="","",EDATE(M51,Parâmetros!$B$12))</f>
        <v/>
      </c>
      <c r="O51" s="11"/>
      <c r="P51" s="13"/>
      <c r="Q51" s="13"/>
      <c r="R51" s="13"/>
      <c r="S51" s="13"/>
      <c r="T51" s="12" t="str">
        <f aca="true">IF(A51="","",IF(OR(AND(P51&lt;&gt;"",P51&lt;=TODAY()+Parâmetros!$B$13),AND(Q51&lt;&gt;"",Q51&lt;=TODAY()+Parâmetros!$B$13),AND(R51&lt;&gt;"",R51&lt;=TODAY()+Parâmetros!$B$13),AND(S51&lt;&gt;"",S51&lt;=TODAY()+Parâmetros!$B$13)),"RENOVAR","OK"))</f>
        <v/>
      </c>
      <c r="U51" s="12" t="str">
        <f aca="false">IF(A51="","",COUNTIF(Contratações!$I$5:$I$504,A51))</f>
        <v/>
      </c>
      <c r="V51" s="15" t="str">
        <f aca="false">IF(A51="","",SUMIF(Contratações!$I$5:$I$504,A51,Contratações!$N$5:$N$504))</f>
        <v/>
      </c>
      <c r="W51" s="16" t="str">
        <f aca="false">IF(A51="","",IFERROR(AVERAGEIFS(Contratações!$R$5:$R$504,Contratações!$I$5:$I$504,A51,Contratações!$R$5:$R$504,"&gt;0"),""))</f>
        <v/>
      </c>
      <c r="X51" s="14" t="str">
        <f aca="false">IF(A51="","",IF(U51=0,"nunca",_xlfn.MAXIFS(Contratações!$O$5:$O$504,Contratações!$I$5:$I$504,A51)))</f>
        <v/>
      </c>
      <c r="Y51" s="11"/>
    </row>
    <row r="52" customFormat="false" ht="15" hidden="false" customHeight="false" outlineLevel="0" collapsed="false">
      <c r="A52" s="11"/>
      <c r="B52" s="11"/>
      <c r="C52" s="11"/>
      <c r="D52" s="11"/>
      <c r="E52" s="12" t="str">
        <f aca="false">IF(D52="","",IF(OR(D52="MEI",D52="ME",D52="EPP",D52="Cooperativa",D52="PF autônoma"),"S","N"))</f>
        <v/>
      </c>
      <c r="F52" s="11"/>
      <c r="G52" s="11"/>
      <c r="H52" s="11"/>
      <c r="I52" s="11"/>
      <c r="J52" s="11"/>
      <c r="K52" s="11"/>
      <c r="L52" s="11"/>
      <c r="M52" s="13"/>
      <c r="N52" s="14" t="str">
        <f aca="false">IF(M52="","",EDATE(M52,Parâmetros!$B$12))</f>
        <v/>
      </c>
      <c r="O52" s="11"/>
      <c r="P52" s="13"/>
      <c r="Q52" s="13"/>
      <c r="R52" s="13"/>
      <c r="S52" s="13"/>
      <c r="T52" s="12" t="str">
        <f aca="true">IF(A52="","",IF(OR(AND(P52&lt;&gt;"",P52&lt;=TODAY()+Parâmetros!$B$13),AND(Q52&lt;&gt;"",Q52&lt;=TODAY()+Parâmetros!$B$13),AND(R52&lt;&gt;"",R52&lt;=TODAY()+Parâmetros!$B$13),AND(S52&lt;&gt;"",S52&lt;=TODAY()+Parâmetros!$B$13)),"RENOVAR","OK"))</f>
        <v/>
      </c>
      <c r="U52" s="12" t="str">
        <f aca="false">IF(A52="","",COUNTIF(Contratações!$I$5:$I$504,A52))</f>
        <v/>
      </c>
      <c r="V52" s="15" t="str">
        <f aca="false">IF(A52="","",SUMIF(Contratações!$I$5:$I$504,A52,Contratações!$N$5:$N$504))</f>
        <v/>
      </c>
      <c r="W52" s="16" t="str">
        <f aca="false">IF(A52="","",IFERROR(AVERAGEIFS(Contratações!$R$5:$R$504,Contratações!$I$5:$I$504,A52,Contratações!$R$5:$R$504,"&gt;0"),""))</f>
        <v/>
      </c>
      <c r="X52" s="14" t="str">
        <f aca="false">IF(A52="","",IF(U52=0,"nunca",_xlfn.MAXIFS(Contratações!$O$5:$O$504,Contratações!$I$5:$I$504,A52)))</f>
        <v/>
      </c>
      <c r="Y52" s="11"/>
    </row>
    <row r="53" customFormat="false" ht="15" hidden="false" customHeight="false" outlineLevel="0" collapsed="false">
      <c r="A53" s="11"/>
      <c r="B53" s="11"/>
      <c r="C53" s="11"/>
      <c r="D53" s="11"/>
      <c r="E53" s="12" t="str">
        <f aca="false">IF(D53="","",IF(OR(D53="MEI",D53="ME",D53="EPP",D53="Cooperativa",D53="PF autônoma"),"S","N"))</f>
        <v/>
      </c>
      <c r="F53" s="11"/>
      <c r="G53" s="11"/>
      <c r="H53" s="11"/>
      <c r="I53" s="11"/>
      <c r="J53" s="11"/>
      <c r="K53" s="11"/>
      <c r="L53" s="11"/>
      <c r="M53" s="13"/>
      <c r="N53" s="14" t="str">
        <f aca="false">IF(M53="","",EDATE(M53,Parâmetros!$B$12))</f>
        <v/>
      </c>
      <c r="O53" s="11"/>
      <c r="P53" s="13"/>
      <c r="Q53" s="13"/>
      <c r="R53" s="13"/>
      <c r="S53" s="13"/>
      <c r="T53" s="12" t="str">
        <f aca="true">IF(A53="","",IF(OR(AND(P53&lt;&gt;"",P53&lt;=TODAY()+Parâmetros!$B$13),AND(Q53&lt;&gt;"",Q53&lt;=TODAY()+Parâmetros!$B$13),AND(R53&lt;&gt;"",R53&lt;=TODAY()+Parâmetros!$B$13),AND(S53&lt;&gt;"",S53&lt;=TODAY()+Parâmetros!$B$13)),"RENOVAR","OK"))</f>
        <v/>
      </c>
      <c r="U53" s="12" t="str">
        <f aca="false">IF(A53="","",COUNTIF(Contratações!$I$5:$I$504,A53))</f>
        <v/>
      </c>
      <c r="V53" s="15" t="str">
        <f aca="false">IF(A53="","",SUMIF(Contratações!$I$5:$I$504,A53,Contratações!$N$5:$N$504))</f>
        <v/>
      </c>
      <c r="W53" s="16" t="str">
        <f aca="false">IF(A53="","",IFERROR(AVERAGEIFS(Contratações!$R$5:$R$504,Contratações!$I$5:$I$504,A53,Contratações!$R$5:$R$504,"&gt;0"),""))</f>
        <v/>
      </c>
      <c r="X53" s="14" t="str">
        <f aca="false">IF(A53="","",IF(U53=0,"nunca",_xlfn.MAXIFS(Contratações!$O$5:$O$504,Contratações!$I$5:$I$504,A53)))</f>
        <v/>
      </c>
      <c r="Y53" s="11"/>
    </row>
    <row r="54" customFormat="false" ht="15" hidden="false" customHeight="false" outlineLevel="0" collapsed="false">
      <c r="A54" s="11"/>
      <c r="B54" s="11"/>
      <c r="C54" s="11"/>
      <c r="D54" s="11"/>
      <c r="E54" s="12" t="str">
        <f aca="false">IF(D54="","",IF(OR(D54="MEI",D54="ME",D54="EPP",D54="Cooperativa",D54="PF autônoma"),"S","N"))</f>
        <v/>
      </c>
      <c r="F54" s="11"/>
      <c r="G54" s="11"/>
      <c r="H54" s="11"/>
      <c r="I54" s="11"/>
      <c r="J54" s="11"/>
      <c r="K54" s="11"/>
      <c r="L54" s="11"/>
      <c r="M54" s="13"/>
      <c r="N54" s="14" t="str">
        <f aca="false">IF(M54="","",EDATE(M54,Parâmetros!$B$12))</f>
        <v/>
      </c>
      <c r="O54" s="11"/>
      <c r="P54" s="13"/>
      <c r="Q54" s="13"/>
      <c r="R54" s="13"/>
      <c r="S54" s="13"/>
      <c r="T54" s="12" t="str">
        <f aca="true">IF(A54="","",IF(OR(AND(P54&lt;&gt;"",P54&lt;=TODAY()+Parâmetros!$B$13),AND(Q54&lt;&gt;"",Q54&lt;=TODAY()+Parâmetros!$B$13),AND(R54&lt;&gt;"",R54&lt;=TODAY()+Parâmetros!$B$13),AND(S54&lt;&gt;"",S54&lt;=TODAY()+Parâmetros!$B$13)),"RENOVAR","OK"))</f>
        <v/>
      </c>
      <c r="U54" s="12" t="str">
        <f aca="false">IF(A54="","",COUNTIF(Contratações!$I$5:$I$504,A54))</f>
        <v/>
      </c>
      <c r="V54" s="15" t="str">
        <f aca="false">IF(A54="","",SUMIF(Contratações!$I$5:$I$504,A54,Contratações!$N$5:$N$504))</f>
        <v/>
      </c>
      <c r="W54" s="16" t="str">
        <f aca="false">IF(A54="","",IFERROR(AVERAGEIFS(Contratações!$R$5:$R$504,Contratações!$I$5:$I$504,A54,Contratações!$R$5:$R$504,"&gt;0"),""))</f>
        <v/>
      </c>
      <c r="X54" s="14" t="str">
        <f aca="false">IF(A54="","",IF(U54=0,"nunca",_xlfn.MAXIFS(Contratações!$O$5:$O$504,Contratações!$I$5:$I$504,A54)))</f>
        <v/>
      </c>
      <c r="Y54" s="11"/>
    </row>
    <row r="55" customFormat="false" ht="15" hidden="false" customHeight="false" outlineLevel="0" collapsed="false">
      <c r="A55" s="11"/>
      <c r="B55" s="11"/>
      <c r="C55" s="11"/>
      <c r="D55" s="11"/>
      <c r="E55" s="12" t="str">
        <f aca="false">IF(D55="","",IF(OR(D55="MEI",D55="ME",D55="EPP",D55="Cooperativa",D55="PF autônoma"),"S","N"))</f>
        <v/>
      </c>
      <c r="F55" s="11"/>
      <c r="G55" s="11"/>
      <c r="H55" s="11"/>
      <c r="I55" s="11"/>
      <c r="J55" s="11"/>
      <c r="K55" s="11"/>
      <c r="L55" s="11"/>
      <c r="M55" s="13"/>
      <c r="N55" s="14" t="str">
        <f aca="false">IF(M55="","",EDATE(M55,Parâmetros!$B$12))</f>
        <v/>
      </c>
      <c r="O55" s="11"/>
      <c r="P55" s="13"/>
      <c r="Q55" s="13"/>
      <c r="R55" s="13"/>
      <c r="S55" s="13"/>
      <c r="T55" s="12" t="str">
        <f aca="true">IF(A55="","",IF(OR(AND(P55&lt;&gt;"",P55&lt;=TODAY()+Parâmetros!$B$13),AND(Q55&lt;&gt;"",Q55&lt;=TODAY()+Parâmetros!$B$13),AND(R55&lt;&gt;"",R55&lt;=TODAY()+Parâmetros!$B$13),AND(S55&lt;&gt;"",S55&lt;=TODAY()+Parâmetros!$B$13)),"RENOVAR","OK"))</f>
        <v/>
      </c>
      <c r="U55" s="12" t="str">
        <f aca="false">IF(A55="","",COUNTIF(Contratações!$I$5:$I$504,A55))</f>
        <v/>
      </c>
      <c r="V55" s="15" t="str">
        <f aca="false">IF(A55="","",SUMIF(Contratações!$I$5:$I$504,A55,Contratações!$N$5:$N$504))</f>
        <v/>
      </c>
      <c r="W55" s="16" t="str">
        <f aca="false">IF(A55="","",IFERROR(AVERAGEIFS(Contratações!$R$5:$R$504,Contratações!$I$5:$I$504,A55,Contratações!$R$5:$R$504,"&gt;0"),""))</f>
        <v/>
      </c>
      <c r="X55" s="14" t="str">
        <f aca="false">IF(A55="","",IF(U55=0,"nunca",_xlfn.MAXIFS(Contratações!$O$5:$O$504,Contratações!$I$5:$I$504,A55)))</f>
        <v/>
      </c>
      <c r="Y55" s="11"/>
    </row>
    <row r="56" customFormat="false" ht="15" hidden="false" customHeight="false" outlineLevel="0" collapsed="false">
      <c r="A56" s="11"/>
      <c r="B56" s="11"/>
      <c r="C56" s="11"/>
      <c r="D56" s="11"/>
      <c r="E56" s="12" t="str">
        <f aca="false">IF(D56="","",IF(OR(D56="MEI",D56="ME",D56="EPP",D56="Cooperativa",D56="PF autônoma"),"S","N"))</f>
        <v/>
      </c>
      <c r="F56" s="11"/>
      <c r="G56" s="11"/>
      <c r="H56" s="11"/>
      <c r="I56" s="11"/>
      <c r="J56" s="11"/>
      <c r="K56" s="11"/>
      <c r="L56" s="11"/>
      <c r="M56" s="13"/>
      <c r="N56" s="14" t="str">
        <f aca="false">IF(M56="","",EDATE(M56,Parâmetros!$B$12))</f>
        <v/>
      </c>
      <c r="O56" s="11"/>
      <c r="P56" s="13"/>
      <c r="Q56" s="13"/>
      <c r="R56" s="13"/>
      <c r="S56" s="13"/>
      <c r="T56" s="12" t="str">
        <f aca="true">IF(A56="","",IF(OR(AND(P56&lt;&gt;"",P56&lt;=TODAY()+Parâmetros!$B$13),AND(Q56&lt;&gt;"",Q56&lt;=TODAY()+Parâmetros!$B$13),AND(R56&lt;&gt;"",R56&lt;=TODAY()+Parâmetros!$B$13),AND(S56&lt;&gt;"",S56&lt;=TODAY()+Parâmetros!$B$13)),"RENOVAR","OK"))</f>
        <v/>
      </c>
      <c r="U56" s="12" t="str">
        <f aca="false">IF(A56="","",COUNTIF(Contratações!$I$5:$I$504,A56))</f>
        <v/>
      </c>
      <c r="V56" s="15" t="str">
        <f aca="false">IF(A56="","",SUMIF(Contratações!$I$5:$I$504,A56,Contratações!$N$5:$N$504))</f>
        <v/>
      </c>
      <c r="W56" s="16" t="str">
        <f aca="false">IF(A56="","",IFERROR(AVERAGEIFS(Contratações!$R$5:$R$504,Contratações!$I$5:$I$504,A56,Contratações!$R$5:$R$504,"&gt;0"),""))</f>
        <v/>
      </c>
      <c r="X56" s="14" t="str">
        <f aca="false">IF(A56="","",IF(U56=0,"nunca",_xlfn.MAXIFS(Contratações!$O$5:$O$504,Contratações!$I$5:$I$504,A56)))</f>
        <v/>
      </c>
      <c r="Y56" s="11"/>
    </row>
    <row r="57" customFormat="false" ht="15" hidden="false" customHeight="false" outlineLevel="0" collapsed="false">
      <c r="A57" s="11"/>
      <c r="B57" s="11"/>
      <c r="C57" s="11"/>
      <c r="D57" s="11"/>
      <c r="E57" s="12" t="str">
        <f aca="false">IF(D57="","",IF(OR(D57="MEI",D57="ME",D57="EPP",D57="Cooperativa",D57="PF autônoma"),"S","N"))</f>
        <v/>
      </c>
      <c r="F57" s="11"/>
      <c r="G57" s="11"/>
      <c r="H57" s="11"/>
      <c r="I57" s="11"/>
      <c r="J57" s="11"/>
      <c r="K57" s="11"/>
      <c r="L57" s="11"/>
      <c r="M57" s="13"/>
      <c r="N57" s="14" t="str">
        <f aca="false">IF(M57="","",EDATE(M57,Parâmetros!$B$12))</f>
        <v/>
      </c>
      <c r="O57" s="11"/>
      <c r="P57" s="13"/>
      <c r="Q57" s="13"/>
      <c r="R57" s="13"/>
      <c r="S57" s="13"/>
      <c r="T57" s="12" t="str">
        <f aca="true">IF(A57="","",IF(OR(AND(P57&lt;&gt;"",P57&lt;=TODAY()+Parâmetros!$B$13),AND(Q57&lt;&gt;"",Q57&lt;=TODAY()+Parâmetros!$B$13),AND(R57&lt;&gt;"",R57&lt;=TODAY()+Parâmetros!$B$13),AND(S57&lt;&gt;"",S57&lt;=TODAY()+Parâmetros!$B$13)),"RENOVAR","OK"))</f>
        <v/>
      </c>
      <c r="U57" s="12" t="str">
        <f aca="false">IF(A57="","",COUNTIF(Contratações!$I$5:$I$504,A57))</f>
        <v/>
      </c>
      <c r="V57" s="15" t="str">
        <f aca="false">IF(A57="","",SUMIF(Contratações!$I$5:$I$504,A57,Contratações!$N$5:$N$504))</f>
        <v/>
      </c>
      <c r="W57" s="16" t="str">
        <f aca="false">IF(A57="","",IFERROR(AVERAGEIFS(Contratações!$R$5:$R$504,Contratações!$I$5:$I$504,A57,Contratações!$R$5:$R$504,"&gt;0"),""))</f>
        <v/>
      </c>
      <c r="X57" s="14" t="str">
        <f aca="false">IF(A57="","",IF(U57=0,"nunca",_xlfn.MAXIFS(Contratações!$O$5:$O$504,Contratações!$I$5:$I$504,A57)))</f>
        <v/>
      </c>
      <c r="Y57" s="11"/>
    </row>
    <row r="58" customFormat="false" ht="15" hidden="false" customHeight="false" outlineLevel="0" collapsed="false">
      <c r="A58" s="11"/>
      <c r="B58" s="11"/>
      <c r="C58" s="11"/>
      <c r="D58" s="11"/>
      <c r="E58" s="12" t="str">
        <f aca="false">IF(D58="","",IF(OR(D58="MEI",D58="ME",D58="EPP",D58="Cooperativa",D58="PF autônoma"),"S","N"))</f>
        <v/>
      </c>
      <c r="F58" s="11"/>
      <c r="G58" s="11"/>
      <c r="H58" s="11"/>
      <c r="I58" s="11"/>
      <c r="J58" s="11"/>
      <c r="K58" s="11"/>
      <c r="L58" s="11"/>
      <c r="M58" s="13"/>
      <c r="N58" s="14" t="str">
        <f aca="false">IF(M58="","",EDATE(M58,Parâmetros!$B$12))</f>
        <v/>
      </c>
      <c r="O58" s="11"/>
      <c r="P58" s="13"/>
      <c r="Q58" s="13"/>
      <c r="R58" s="13"/>
      <c r="S58" s="13"/>
      <c r="T58" s="12" t="str">
        <f aca="true">IF(A58="","",IF(OR(AND(P58&lt;&gt;"",P58&lt;=TODAY()+Parâmetros!$B$13),AND(Q58&lt;&gt;"",Q58&lt;=TODAY()+Parâmetros!$B$13),AND(R58&lt;&gt;"",R58&lt;=TODAY()+Parâmetros!$B$13),AND(S58&lt;&gt;"",S58&lt;=TODAY()+Parâmetros!$B$13)),"RENOVAR","OK"))</f>
        <v/>
      </c>
      <c r="U58" s="12" t="str">
        <f aca="false">IF(A58="","",COUNTIF(Contratações!$I$5:$I$504,A58))</f>
        <v/>
      </c>
      <c r="V58" s="15" t="str">
        <f aca="false">IF(A58="","",SUMIF(Contratações!$I$5:$I$504,A58,Contratações!$N$5:$N$504))</f>
        <v/>
      </c>
      <c r="W58" s="16" t="str">
        <f aca="false">IF(A58="","",IFERROR(AVERAGEIFS(Contratações!$R$5:$R$504,Contratações!$I$5:$I$504,A58,Contratações!$R$5:$R$504,"&gt;0"),""))</f>
        <v/>
      </c>
      <c r="X58" s="14" t="str">
        <f aca="false">IF(A58="","",IF(U58=0,"nunca",_xlfn.MAXIFS(Contratações!$O$5:$O$504,Contratações!$I$5:$I$504,A58)))</f>
        <v/>
      </c>
      <c r="Y58" s="11"/>
    </row>
    <row r="59" customFormat="false" ht="15" hidden="false" customHeight="false" outlineLevel="0" collapsed="false">
      <c r="A59" s="11"/>
      <c r="B59" s="11"/>
      <c r="C59" s="11"/>
      <c r="D59" s="11"/>
      <c r="E59" s="12" t="str">
        <f aca="false">IF(D59="","",IF(OR(D59="MEI",D59="ME",D59="EPP",D59="Cooperativa",D59="PF autônoma"),"S","N"))</f>
        <v/>
      </c>
      <c r="F59" s="11"/>
      <c r="G59" s="11"/>
      <c r="H59" s="11"/>
      <c r="I59" s="11"/>
      <c r="J59" s="11"/>
      <c r="K59" s="11"/>
      <c r="L59" s="11"/>
      <c r="M59" s="13"/>
      <c r="N59" s="14" t="str">
        <f aca="false">IF(M59="","",EDATE(M59,Parâmetros!$B$12))</f>
        <v/>
      </c>
      <c r="O59" s="11"/>
      <c r="P59" s="13"/>
      <c r="Q59" s="13"/>
      <c r="R59" s="13"/>
      <c r="S59" s="13"/>
      <c r="T59" s="12" t="str">
        <f aca="true">IF(A59="","",IF(OR(AND(P59&lt;&gt;"",P59&lt;=TODAY()+Parâmetros!$B$13),AND(Q59&lt;&gt;"",Q59&lt;=TODAY()+Parâmetros!$B$13),AND(R59&lt;&gt;"",R59&lt;=TODAY()+Parâmetros!$B$13),AND(S59&lt;&gt;"",S59&lt;=TODAY()+Parâmetros!$B$13)),"RENOVAR","OK"))</f>
        <v/>
      </c>
      <c r="U59" s="12" t="str">
        <f aca="false">IF(A59="","",COUNTIF(Contratações!$I$5:$I$504,A59))</f>
        <v/>
      </c>
      <c r="V59" s="15" t="str">
        <f aca="false">IF(A59="","",SUMIF(Contratações!$I$5:$I$504,A59,Contratações!$N$5:$N$504))</f>
        <v/>
      </c>
      <c r="W59" s="16" t="str">
        <f aca="false">IF(A59="","",IFERROR(AVERAGEIFS(Contratações!$R$5:$R$504,Contratações!$I$5:$I$504,A59,Contratações!$R$5:$R$504,"&gt;0"),""))</f>
        <v/>
      </c>
      <c r="X59" s="14" t="str">
        <f aca="false">IF(A59="","",IF(U59=0,"nunca",_xlfn.MAXIFS(Contratações!$O$5:$O$504,Contratações!$I$5:$I$504,A59)))</f>
        <v/>
      </c>
      <c r="Y59" s="11"/>
    </row>
    <row r="60" customFormat="false" ht="15" hidden="false" customHeight="false" outlineLevel="0" collapsed="false">
      <c r="A60" s="11"/>
      <c r="B60" s="11"/>
      <c r="C60" s="11"/>
      <c r="D60" s="11"/>
      <c r="E60" s="12" t="str">
        <f aca="false">IF(D60="","",IF(OR(D60="MEI",D60="ME",D60="EPP",D60="Cooperativa",D60="PF autônoma"),"S","N"))</f>
        <v/>
      </c>
      <c r="F60" s="11"/>
      <c r="G60" s="11"/>
      <c r="H60" s="11"/>
      <c r="I60" s="11"/>
      <c r="J60" s="11"/>
      <c r="K60" s="11"/>
      <c r="L60" s="11"/>
      <c r="M60" s="13"/>
      <c r="N60" s="14" t="str">
        <f aca="false">IF(M60="","",EDATE(M60,Parâmetros!$B$12))</f>
        <v/>
      </c>
      <c r="O60" s="11"/>
      <c r="P60" s="13"/>
      <c r="Q60" s="13"/>
      <c r="R60" s="13"/>
      <c r="S60" s="13"/>
      <c r="T60" s="12" t="str">
        <f aca="true">IF(A60="","",IF(OR(AND(P60&lt;&gt;"",P60&lt;=TODAY()+Parâmetros!$B$13),AND(Q60&lt;&gt;"",Q60&lt;=TODAY()+Parâmetros!$B$13),AND(R60&lt;&gt;"",R60&lt;=TODAY()+Parâmetros!$B$13),AND(S60&lt;&gt;"",S60&lt;=TODAY()+Parâmetros!$B$13)),"RENOVAR","OK"))</f>
        <v/>
      </c>
      <c r="U60" s="12" t="str">
        <f aca="false">IF(A60="","",COUNTIF(Contratações!$I$5:$I$504,A60))</f>
        <v/>
      </c>
      <c r="V60" s="15" t="str">
        <f aca="false">IF(A60="","",SUMIF(Contratações!$I$5:$I$504,A60,Contratações!$N$5:$N$504))</f>
        <v/>
      </c>
      <c r="W60" s="16" t="str">
        <f aca="false">IF(A60="","",IFERROR(AVERAGEIFS(Contratações!$R$5:$R$504,Contratações!$I$5:$I$504,A60,Contratações!$R$5:$R$504,"&gt;0"),""))</f>
        <v/>
      </c>
      <c r="X60" s="14" t="str">
        <f aca="false">IF(A60="","",IF(U60=0,"nunca",_xlfn.MAXIFS(Contratações!$O$5:$O$504,Contratações!$I$5:$I$504,A60)))</f>
        <v/>
      </c>
      <c r="Y60" s="11"/>
    </row>
    <row r="61" customFormat="false" ht="15" hidden="false" customHeight="false" outlineLevel="0" collapsed="false">
      <c r="A61" s="11"/>
      <c r="B61" s="11"/>
      <c r="C61" s="11"/>
      <c r="D61" s="11"/>
      <c r="E61" s="12" t="str">
        <f aca="false">IF(D61="","",IF(OR(D61="MEI",D61="ME",D61="EPP",D61="Cooperativa",D61="PF autônoma"),"S","N"))</f>
        <v/>
      </c>
      <c r="F61" s="11"/>
      <c r="G61" s="11"/>
      <c r="H61" s="11"/>
      <c r="I61" s="11"/>
      <c r="J61" s="11"/>
      <c r="K61" s="11"/>
      <c r="L61" s="11"/>
      <c r="M61" s="13"/>
      <c r="N61" s="14" t="str">
        <f aca="false">IF(M61="","",EDATE(M61,Parâmetros!$B$12))</f>
        <v/>
      </c>
      <c r="O61" s="11"/>
      <c r="P61" s="13"/>
      <c r="Q61" s="13"/>
      <c r="R61" s="13"/>
      <c r="S61" s="13"/>
      <c r="T61" s="12" t="str">
        <f aca="true">IF(A61="","",IF(OR(AND(P61&lt;&gt;"",P61&lt;=TODAY()+Parâmetros!$B$13),AND(Q61&lt;&gt;"",Q61&lt;=TODAY()+Parâmetros!$B$13),AND(R61&lt;&gt;"",R61&lt;=TODAY()+Parâmetros!$B$13),AND(S61&lt;&gt;"",S61&lt;=TODAY()+Parâmetros!$B$13)),"RENOVAR","OK"))</f>
        <v/>
      </c>
      <c r="U61" s="12" t="str">
        <f aca="false">IF(A61="","",COUNTIF(Contratações!$I$5:$I$504,A61))</f>
        <v/>
      </c>
      <c r="V61" s="15" t="str">
        <f aca="false">IF(A61="","",SUMIF(Contratações!$I$5:$I$504,A61,Contratações!$N$5:$N$504))</f>
        <v/>
      </c>
      <c r="W61" s="16" t="str">
        <f aca="false">IF(A61="","",IFERROR(AVERAGEIFS(Contratações!$R$5:$R$504,Contratações!$I$5:$I$504,A61,Contratações!$R$5:$R$504,"&gt;0"),""))</f>
        <v/>
      </c>
      <c r="X61" s="14" t="str">
        <f aca="false">IF(A61="","",IF(U61=0,"nunca",_xlfn.MAXIFS(Contratações!$O$5:$O$504,Contratações!$I$5:$I$504,A61)))</f>
        <v/>
      </c>
      <c r="Y61" s="11"/>
    </row>
    <row r="62" customFormat="false" ht="15" hidden="false" customHeight="false" outlineLevel="0" collapsed="false">
      <c r="A62" s="11"/>
      <c r="B62" s="11"/>
      <c r="C62" s="11"/>
      <c r="D62" s="11"/>
      <c r="E62" s="12" t="str">
        <f aca="false">IF(D62="","",IF(OR(D62="MEI",D62="ME",D62="EPP",D62="Cooperativa",D62="PF autônoma"),"S","N"))</f>
        <v/>
      </c>
      <c r="F62" s="11"/>
      <c r="G62" s="11"/>
      <c r="H62" s="11"/>
      <c r="I62" s="11"/>
      <c r="J62" s="11"/>
      <c r="K62" s="11"/>
      <c r="L62" s="11"/>
      <c r="M62" s="13"/>
      <c r="N62" s="14" t="str">
        <f aca="false">IF(M62="","",EDATE(M62,Parâmetros!$B$12))</f>
        <v/>
      </c>
      <c r="O62" s="11"/>
      <c r="P62" s="13"/>
      <c r="Q62" s="13"/>
      <c r="R62" s="13"/>
      <c r="S62" s="13"/>
      <c r="T62" s="12" t="str">
        <f aca="true">IF(A62="","",IF(OR(AND(P62&lt;&gt;"",P62&lt;=TODAY()+Parâmetros!$B$13),AND(Q62&lt;&gt;"",Q62&lt;=TODAY()+Parâmetros!$B$13),AND(R62&lt;&gt;"",R62&lt;=TODAY()+Parâmetros!$B$13),AND(S62&lt;&gt;"",S62&lt;=TODAY()+Parâmetros!$B$13)),"RENOVAR","OK"))</f>
        <v/>
      </c>
      <c r="U62" s="12" t="str">
        <f aca="false">IF(A62="","",COUNTIF(Contratações!$I$5:$I$504,A62))</f>
        <v/>
      </c>
      <c r="V62" s="15" t="str">
        <f aca="false">IF(A62="","",SUMIF(Contratações!$I$5:$I$504,A62,Contratações!$N$5:$N$504))</f>
        <v/>
      </c>
      <c r="W62" s="16" t="str">
        <f aca="false">IF(A62="","",IFERROR(AVERAGEIFS(Contratações!$R$5:$R$504,Contratações!$I$5:$I$504,A62,Contratações!$R$5:$R$504,"&gt;0"),""))</f>
        <v/>
      </c>
      <c r="X62" s="14" t="str">
        <f aca="false">IF(A62="","",IF(U62=0,"nunca",_xlfn.MAXIFS(Contratações!$O$5:$O$504,Contratações!$I$5:$I$504,A62)))</f>
        <v/>
      </c>
      <c r="Y62" s="11"/>
    </row>
    <row r="63" customFormat="false" ht="15" hidden="false" customHeight="false" outlineLevel="0" collapsed="false">
      <c r="A63" s="11"/>
      <c r="B63" s="11"/>
      <c r="C63" s="11"/>
      <c r="D63" s="11"/>
      <c r="E63" s="12" t="str">
        <f aca="false">IF(D63="","",IF(OR(D63="MEI",D63="ME",D63="EPP",D63="Cooperativa",D63="PF autônoma"),"S","N"))</f>
        <v/>
      </c>
      <c r="F63" s="11"/>
      <c r="G63" s="11"/>
      <c r="H63" s="11"/>
      <c r="I63" s="11"/>
      <c r="J63" s="11"/>
      <c r="K63" s="11"/>
      <c r="L63" s="11"/>
      <c r="M63" s="13"/>
      <c r="N63" s="14" t="str">
        <f aca="false">IF(M63="","",EDATE(M63,Parâmetros!$B$12))</f>
        <v/>
      </c>
      <c r="O63" s="11"/>
      <c r="P63" s="13"/>
      <c r="Q63" s="13"/>
      <c r="R63" s="13"/>
      <c r="S63" s="13"/>
      <c r="T63" s="12" t="str">
        <f aca="true">IF(A63="","",IF(OR(AND(P63&lt;&gt;"",P63&lt;=TODAY()+Parâmetros!$B$13),AND(Q63&lt;&gt;"",Q63&lt;=TODAY()+Parâmetros!$B$13),AND(R63&lt;&gt;"",R63&lt;=TODAY()+Parâmetros!$B$13),AND(S63&lt;&gt;"",S63&lt;=TODAY()+Parâmetros!$B$13)),"RENOVAR","OK"))</f>
        <v/>
      </c>
      <c r="U63" s="12" t="str">
        <f aca="false">IF(A63="","",COUNTIF(Contratações!$I$5:$I$504,A63))</f>
        <v/>
      </c>
      <c r="V63" s="15" t="str">
        <f aca="false">IF(A63="","",SUMIF(Contratações!$I$5:$I$504,A63,Contratações!$N$5:$N$504))</f>
        <v/>
      </c>
      <c r="W63" s="16" t="str">
        <f aca="false">IF(A63="","",IFERROR(AVERAGEIFS(Contratações!$R$5:$R$504,Contratações!$I$5:$I$504,A63,Contratações!$R$5:$R$504,"&gt;0"),""))</f>
        <v/>
      </c>
      <c r="X63" s="14" t="str">
        <f aca="false">IF(A63="","",IF(U63=0,"nunca",_xlfn.MAXIFS(Contratações!$O$5:$O$504,Contratações!$I$5:$I$504,A63)))</f>
        <v/>
      </c>
      <c r="Y63" s="11"/>
    </row>
    <row r="64" customFormat="false" ht="15" hidden="false" customHeight="false" outlineLevel="0" collapsed="false">
      <c r="A64" s="11"/>
      <c r="B64" s="11"/>
      <c r="C64" s="11"/>
      <c r="D64" s="11"/>
      <c r="E64" s="12" t="str">
        <f aca="false">IF(D64="","",IF(OR(D64="MEI",D64="ME",D64="EPP",D64="Cooperativa",D64="PF autônoma"),"S","N"))</f>
        <v/>
      </c>
      <c r="F64" s="11"/>
      <c r="G64" s="11"/>
      <c r="H64" s="11"/>
      <c r="I64" s="11"/>
      <c r="J64" s="11"/>
      <c r="K64" s="11"/>
      <c r="L64" s="11"/>
      <c r="M64" s="13"/>
      <c r="N64" s="14" t="str">
        <f aca="false">IF(M64="","",EDATE(M64,Parâmetros!$B$12))</f>
        <v/>
      </c>
      <c r="O64" s="11"/>
      <c r="P64" s="13"/>
      <c r="Q64" s="13"/>
      <c r="R64" s="13"/>
      <c r="S64" s="13"/>
      <c r="T64" s="12" t="str">
        <f aca="true">IF(A64="","",IF(OR(AND(P64&lt;&gt;"",P64&lt;=TODAY()+Parâmetros!$B$13),AND(Q64&lt;&gt;"",Q64&lt;=TODAY()+Parâmetros!$B$13),AND(R64&lt;&gt;"",R64&lt;=TODAY()+Parâmetros!$B$13),AND(S64&lt;&gt;"",S64&lt;=TODAY()+Parâmetros!$B$13)),"RENOVAR","OK"))</f>
        <v/>
      </c>
      <c r="U64" s="12" t="str">
        <f aca="false">IF(A64="","",COUNTIF(Contratações!$I$5:$I$504,A64))</f>
        <v/>
      </c>
      <c r="V64" s="15" t="str">
        <f aca="false">IF(A64="","",SUMIF(Contratações!$I$5:$I$504,A64,Contratações!$N$5:$N$504))</f>
        <v/>
      </c>
      <c r="W64" s="16" t="str">
        <f aca="false">IF(A64="","",IFERROR(AVERAGEIFS(Contratações!$R$5:$R$504,Contratações!$I$5:$I$504,A64,Contratações!$R$5:$R$504,"&gt;0"),""))</f>
        <v/>
      </c>
      <c r="X64" s="14" t="str">
        <f aca="false">IF(A64="","",IF(U64=0,"nunca",_xlfn.MAXIFS(Contratações!$O$5:$O$504,Contratações!$I$5:$I$504,A64)))</f>
        <v/>
      </c>
      <c r="Y64" s="11"/>
    </row>
    <row r="65" customFormat="false" ht="15" hidden="false" customHeight="false" outlineLevel="0" collapsed="false">
      <c r="A65" s="11"/>
      <c r="B65" s="11"/>
      <c r="C65" s="11"/>
      <c r="D65" s="11"/>
      <c r="E65" s="12" t="str">
        <f aca="false">IF(D65="","",IF(OR(D65="MEI",D65="ME",D65="EPP",D65="Cooperativa",D65="PF autônoma"),"S","N"))</f>
        <v/>
      </c>
      <c r="F65" s="11"/>
      <c r="G65" s="11"/>
      <c r="H65" s="11"/>
      <c r="I65" s="11"/>
      <c r="J65" s="11"/>
      <c r="K65" s="11"/>
      <c r="L65" s="11"/>
      <c r="M65" s="13"/>
      <c r="N65" s="14" t="str">
        <f aca="false">IF(M65="","",EDATE(M65,Parâmetros!$B$12))</f>
        <v/>
      </c>
      <c r="O65" s="11"/>
      <c r="P65" s="13"/>
      <c r="Q65" s="13"/>
      <c r="R65" s="13"/>
      <c r="S65" s="13"/>
      <c r="T65" s="12" t="str">
        <f aca="true">IF(A65="","",IF(OR(AND(P65&lt;&gt;"",P65&lt;=TODAY()+Parâmetros!$B$13),AND(Q65&lt;&gt;"",Q65&lt;=TODAY()+Parâmetros!$B$13),AND(R65&lt;&gt;"",R65&lt;=TODAY()+Parâmetros!$B$13),AND(S65&lt;&gt;"",S65&lt;=TODAY()+Parâmetros!$B$13)),"RENOVAR","OK"))</f>
        <v/>
      </c>
      <c r="U65" s="12" t="str">
        <f aca="false">IF(A65="","",COUNTIF(Contratações!$I$5:$I$504,A65))</f>
        <v/>
      </c>
      <c r="V65" s="15" t="str">
        <f aca="false">IF(A65="","",SUMIF(Contratações!$I$5:$I$504,A65,Contratações!$N$5:$N$504))</f>
        <v/>
      </c>
      <c r="W65" s="16" t="str">
        <f aca="false">IF(A65="","",IFERROR(AVERAGEIFS(Contratações!$R$5:$R$504,Contratações!$I$5:$I$504,A65,Contratações!$R$5:$R$504,"&gt;0"),""))</f>
        <v/>
      </c>
      <c r="X65" s="14" t="str">
        <f aca="false">IF(A65="","",IF(U65=0,"nunca",_xlfn.MAXIFS(Contratações!$O$5:$O$504,Contratações!$I$5:$I$504,A65)))</f>
        <v/>
      </c>
      <c r="Y65" s="11"/>
    </row>
    <row r="66" customFormat="false" ht="15" hidden="false" customHeight="false" outlineLevel="0" collapsed="false">
      <c r="A66" s="11"/>
      <c r="B66" s="11"/>
      <c r="C66" s="11"/>
      <c r="D66" s="11"/>
      <c r="E66" s="12" t="str">
        <f aca="false">IF(D66="","",IF(OR(D66="MEI",D66="ME",D66="EPP",D66="Cooperativa",D66="PF autônoma"),"S","N"))</f>
        <v/>
      </c>
      <c r="F66" s="11"/>
      <c r="G66" s="11"/>
      <c r="H66" s="11"/>
      <c r="I66" s="11"/>
      <c r="J66" s="11"/>
      <c r="K66" s="11"/>
      <c r="L66" s="11"/>
      <c r="M66" s="13"/>
      <c r="N66" s="14" t="str">
        <f aca="false">IF(M66="","",EDATE(M66,Parâmetros!$B$12))</f>
        <v/>
      </c>
      <c r="O66" s="11"/>
      <c r="P66" s="13"/>
      <c r="Q66" s="13"/>
      <c r="R66" s="13"/>
      <c r="S66" s="13"/>
      <c r="T66" s="12" t="str">
        <f aca="true">IF(A66="","",IF(OR(AND(P66&lt;&gt;"",P66&lt;=TODAY()+Parâmetros!$B$13),AND(Q66&lt;&gt;"",Q66&lt;=TODAY()+Parâmetros!$B$13),AND(R66&lt;&gt;"",R66&lt;=TODAY()+Parâmetros!$B$13),AND(S66&lt;&gt;"",S66&lt;=TODAY()+Parâmetros!$B$13)),"RENOVAR","OK"))</f>
        <v/>
      </c>
      <c r="U66" s="12" t="str">
        <f aca="false">IF(A66="","",COUNTIF(Contratações!$I$5:$I$504,A66))</f>
        <v/>
      </c>
      <c r="V66" s="15" t="str">
        <f aca="false">IF(A66="","",SUMIF(Contratações!$I$5:$I$504,A66,Contratações!$N$5:$N$504))</f>
        <v/>
      </c>
      <c r="W66" s="16" t="str">
        <f aca="false">IF(A66="","",IFERROR(AVERAGEIFS(Contratações!$R$5:$R$504,Contratações!$I$5:$I$504,A66,Contratações!$R$5:$R$504,"&gt;0"),""))</f>
        <v/>
      </c>
      <c r="X66" s="14" t="str">
        <f aca="false">IF(A66="","",IF(U66=0,"nunca",_xlfn.MAXIFS(Contratações!$O$5:$O$504,Contratações!$I$5:$I$504,A66)))</f>
        <v/>
      </c>
      <c r="Y66" s="11"/>
    </row>
    <row r="67" customFormat="false" ht="15" hidden="false" customHeight="false" outlineLevel="0" collapsed="false">
      <c r="A67" s="11"/>
      <c r="B67" s="11"/>
      <c r="C67" s="11"/>
      <c r="D67" s="11"/>
      <c r="E67" s="12" t="str">
        <f aca="false">IF(D67="","",IF(OR(D67="MEI",D67="ME",D67="EPP",D67="Cooperativa",D67="PF autônoma"),"S","N"))</f>
        <v/>
      </c>
      <c r="F67" s="11"/>
      <c r="G67" s="11"/>
      <c r="H67" s="11"/>
      <c r="I67" s="11"/>
      <c r="J67" s="11"/>
      <c r="K67" s="11"/>
      <c r="L67" s="11"/>
      <c r="M67" s="13"/>
      <c r="N67" s="14" t="str">
        <f aca="false">IF(M67="","",EDATE(M67,Parâmetros!$B$12))</f>
        <v/>
      </c>
      <c r="O67" s="11"/>
      <c r="P67" s="13"/>
      <c r="Q67" s="13"/>
      <c r="R67" s="13"/>
      <c r="S67" s="13"/>
      <c r="T67" s="12" t="str">
        <f aca="true">IF(A67="","",IF(OR(AND(P67&lt;&gt;"",P67&lt;=TODAY()+Parâmetros!$B$13),AND(Q67&lt;&gt;"",Q67&lt;=TODAY()+Parâmetros!$B$13),AND(R67&lt;&gt;"",R67&lt;=TODAY()+Parâmetros!$B$13),AND(S67&lt;&gt;"",S67&lt;=TODAY()+Parâmetros!$B$13)),"RENOVAR","OK"))</f>
        <v/>
      </c>
      <c r="U67" s="12" t="str">
        <f aca="false">IF(A67="","",COUNTIF(Contratações!$I$5:$I$504,A67))</f>
        <v/>
      </c>
      <c r="V67" s="15" t="str">
        <f aca="false">IF(A67="","",SUMIF(Contratações!$I$5:$I$504,A67,Contratações!$N$5:$N$504))</f>
        <v/>
      </c>
      <c r="W67" s="16" t="str">
        <f aca="false">IF(A67="","",IFERROR(AVERAGEIFS(Contratações!$R$5:$R$504,Contratações!$I$5:$I$504,A67,Contratações!$R$5:$R$504,"&gt;0"),""))</f>
        <v/>
      </c>
      <c r="X67" s="14" t="str">
        <f aca="false">IF(A67="","",IF(U67=0,"nunca",_xlfn.MAXIFS(Contratações!$O$5:$O$504,Contratações!$I$5:$I$504,A67)))</f>
        <v/>
      </c>
      <c r="Y67" s="11"/>
    </row>
    <row r="68" customFormat="false" ht="15" hidden="false" customHeight="false" outlineLevel="0" collapsed="false">
      <c r="A68" s="11"/>
      <c r="B68" s="11"/>
      <c r="C68" s="11"/>
      <c r="D68" s="11"/>
      <c r="E68" s="12" t="str">
        <f aca="false">IF(D68="","",IF(OR(D68="MEI",D68="ME",D68="EPP",D68="Cooperativa",D68="PF autônoma"),"S","N"))</f>
        <v/>
      </c>
      <c r="F68" s="11"/>
      <c r="G68" s="11"/>
      <c r="H68" s="11"/>
      <c r="I68" s="11"/>
      <c r="J68" s="11"/>
      <c r="K68" s="11"/>
      <c r="L68" s="11"/>
      <c r="M68" s="13"/>
      <c r="N68" s="14" t="str">
        <f aca="false">IF(M68="","",EDATE(M68,Parâmetros!$B$12))</f>
        <v/>
      </c>
      <c r="O68" s="11"/>
      <c r="P68" s="13"/>
      <c r="Q68" s="13"/>
      <c r="R68" s="13"/>
      <c r="S68" s="13"/>
      <c r="T68" s="12" t="str">
        <f aca="true">IF(A68="","",IF(OR(AND(P68&lt;&gt;"",P68&lt;=TODAY()+Parâmetros!$B$13),AND(Q68&lt;&gt;"",Q68&lt;=TODAY()+Parâmetros!$B$13),AND(R68&lt;&gt;"",R68&lt;=TODAY()+Parâmetros!$B$13),AND(S68&lt;&gt;"",S68&lt;=TODAY()+Parâmetros!$B$13)),"RENOVAR","OK"))</f>
        <v/>
      </c>
      <c r="U68" s="12" t="str">
        <f aca="false">IF(A68="","",COUNTIF(Contratações!$I$5:$I$504,A68))</f>
        <v/>
      </c>
      <c r="V68" s="15" t="str">
        <f aca="false">IF(A68="","",SUMIF(Contratações!$I$5:$I$504,A68,Contratações!$N$5:$N$504))</f>
        <v/>
      </c>
      <c r="W68" s="16" t="str">
        <f aca="false">IF(A68="","",IFERROR(AVERAGEIFS(Contratações!$R$5:$R$504,Contratações!$I$5:$I$504,A68,Contratações!$R$5:$R$504,"&gt;0"),""))</f>
        <v/>
      </c>
      <c r="X68" s="14" t="str">
        <f aca="false">IF(A68="","",IF(U68=0,"nunca",_xlfn.MAXIFS(Contratações!$O$5:$O$504,Contratações!$I$5:$I$504,A68)))</f>
        <v/>
      </c>
      <c r="Y68" s="11"/>
    </row>
    <row r="69" customFormat="false" ht="15" hidden="false" customHeight="false" outlineLevel="0" collapsed="false">
      <c r="A69" s="11"/>
      <c r="B69" s="11"/>
      <c r="C69" s="11"/>
      <c r="D69" s="11"/>
      <c r="E69" s="12" t="str">
        <f aca="false">IF(D69="","",IF(OR(D69="MEI",D69="ME",D69="EPP",D69="Cooperativa",D69="PF autônoma"),"S","N"))</f>
        <v/>
      </c>
      <c r="F69" s="11"/>
      <c r="G69" s="11"/>
      <c r="H69" s="11"/>
      <c r="I69" s="11"/>
      <c r="J69" s="11"/>
      <c r="K69" s="11"/>
      <c r="L69" s="11"/>
      <c r="M69" s="13"/>
      <c r="N69" s="14" t="str">
        <f aca="false">IF(M69="","",EDATE(M69,Parâmetros!$B$12))</f>
        <v/>
      </c>
      <c r="O69" s="11"/>
      <c r="P69" s="13"/>
      <c r="Q69" s="13"/>
      <c r="R69" s="13"/>
      <c r="S69" s="13"/>
      <c r="T69" s="12" t="str">
        <f aca="true">IF(A69="","",IF(OR(AND(P69&lt;&gt;"",P69&lt;=TODAY()+Parâmetros!$B$13),AND(Q69&lt;&gt;"",Q69&lt;=TODAY()+Parâmetros!$B$13),AND(R69&lt;&gt;"",R69&lt;=TODAY()+Parâmetros!$B$13),AND(S69&lt;&gt;"",S69&lt;=TODAY()+Parâmetros!$B$13)),"RENOVAR","OK"))</f>
        <v/>
      </c>
      <c r="U69" s="12" t="str">
        <f aca="false">IF(A69="","",COUNTIF(Contratações!$I$5:$I$504,A69))</f>
        <v/>
      </c>
      <c r="V69" s="15" t="str">
        <f aca="false">IF(A69="","",SUMIF(Contratações!$I$5:$I$504,A69,Contratações!$N$5:$N$504))</f>
        <v/>
      </c>
      <c r="W69" s="16" t="str">
        <f aca="false">IF(A69="","",IFERROR(AVERAGEIFS(Contratações!$R$5:$R$504,Contratações!$I$5:$I$504,A69,Contratações!$R$5:$R$504,"&gt;0"),""))</f>
        <v/>
      </c>
      <c r="X69" s="14" t="str">
        <f aca="false">IF(A69="","",IF(U69=0,"nunca",_xlfn.MAXIFS(Contratações!$O$5:$O$504,Contratações!$I$5:$I$504,A69)))</f>
        <v/>
      </c>
      <c r="Y69" s="11"/>
    </row>
    <row r="70" customFormat="false" ht="15" hidden="false" customHeight="false" outlineLevel="0" collapsed="false">
      <c r="A70" s="11"/>
      <c r="B70" s="11"/>
      <c r="C70" s="11"/>
      <c r="D70" s="11"/>
      <c r="E70" s="12" t="str">
        <f aca="false">IF(D70="","",IF(OR(D70="MEI",D70="ME",D70="EPP",D70="Cooperativa",D70="PF autônoma"),"S","N"))</f>
        <v/>
      </c>
      <c r="F70" s="11"/>
      <c r="G70" s="11"/>
      <c r="H70" s="11"/>
      <c r="I70" s="11"/>
      <c r="J70" s="11"/>
      <c r="K70" s="11"/>
      <c r="L70" s="11"/>
      <c r="M70" s="13"/>
      <c r="N70" s="14" t="str">
        <f aca="false">IF(M70="","",EDATE(M70,Parâmetros!$B$12))</f>
        <v/>
      </c>
      <c r="O70" s="11"/>
      <c r="P70" s="13"/>
      <c r="Q70" s="13"/>
      <c r="R70" s="13"/>
      <c r="S70" s="13"/>
      <c r="T70" s="12" t="str">
        <f aca="true">IF(A70="","",IF(OR(AND(P70&lt;&gt;"",P70&lt;=TODAY()+Parâmetros!$B$13),AND(Q70&lt;&gt;"",Q70&lt;=TODAY()+Parâmetros!$B$13),AND(R70&lt;&gt;"",R70&lt;=TODAY()+Parâmetros!$B$13),AND(S70&lt;&gt;"",S70&lt;=TODAY()+Parâmetros!$B$13)),"RENOVAR","OK"))</f>
        <v/>
      </c>
      <c r="U70" s="12" t="str">
        <f aca="false">IF(A70="","",COUNTIF(Contratações!$I$5:$I$504,A70))</f>
        <v/>
      </c>
      <c r="V70" s="15" t="str">
        <f aca="false">IF(A70="","",SUMIF(Contratações!$I$5:$I$504,A70,Contratações!$N$5:$N$504))</f>
        <v/>
      </c>
      <c r="W70" s="16" t="str">
        <f aca="false">IF(A70="","",IFERROR(AVERAGEIFS(Contratações!$R$5:$R$504,Contratações!$I$5:$I$504,A70,Contratações!$R$5:$R$504,"&gt;0"),""))</f>
        <v/>
      </c>
      <c r="X70" s="14" t="str">
        <f aca="false">IF(A70="","",IF(U70=0,"nunca",_xlfn.MAXIFS(Contratações!$O$5:$O$504,Contratações!$I$5:$I$504,A70)))</f>
        <v/>
      </c>
      <c r="Y70" s="11"/>
    </row>
    <row r="71" customFormat="false" ht="15" hidden="false" customHeight="false" outlineLevel="0" collapsed="false">
      <c r="A71" s="11"/>
      <c r="B71" s="11"/>
      <c r="C71" s="11"/>
      <c r="D71" s="11"/>
      <c r="E71" s="12" t="str">
        <f aca="false">IF(D71="","",IF(OR(D71="MEI",D71="ME",D71="EPP",D71="Cooperativa",D71="PF autônoma"),"S","N"))</f>
        <v/>
      </c>
      <c r="F71" s="11"/>
      <c r="G71" s="11"/>
      <c r="H71" s="11"/>
      <c r="I71" s="11"/>
      <c r="J71" s="11"/>
      <c r="K71" s="11"/>
      <c r="L71" s="11"/>
      <c r="M71" s="13"/>
      <c r="N71" s="14" t="str">
        <f aca="false">IF(M71="","",EDATE(M71,Parâmetros!$B$12))</f>
        <v/>
      </c>
      <c r="O71" s="11"/>
      <c r="P71" s="13"/>
      <c r="Q71" s="13"/>
      <c r="R71" s="13"/>
      <c r="S71" s="13"/>
      <c r="T71" s="12" t="str">
        <f aca="true">IF(A71="","",IF(OR(AND(P71&lt;&gt;"",P71&lt;=TODAY()+Parâmetros!$B$13),AND(Q71&lt;&gt;"",Q71&lt;=TODAY()+Parâmetros!$B$13),AND(R71&lt;&gt;"",R71&lt;=TODAY()+Parâmetros!$B$13),AND(S71&lt;&gt;"",S71&lt;=TODAY()+Parâmetros!$B$13)),"RENOVAR","OK"))</f>
        <v/>
      </c>
      <c r="U71" s="12" t="str">
        <f aca="false">IF(A71="","",COUNTIF(Contratações!$I$5:$I$504,A71))</f>
        <v/>
      </c>
      <c r="V71" s="15" t="str">
        <f aca="false">IF(A71="","",SUMIF(Contratações!$I$5:$I$504,A71,Contratações!$N$5:$N$504))</f>
        <v/>
      </c>
      <c r="W71" s="16" t="str">
        <f aca="false">IF(A71="","",IFERROR(AVERAGEIFS(Contratações!$R$5:$R$504,Contratações!$I$5:$I$504,A71,Contratações!$R$5:$R$504,"&gt;0"),""))</f>
        <v/>
      </c>
      <c r="X71" s="14" t="str">
        <f aca="false">IF(A71="","",IF(U71=0,"nunca",_xlfn.MAXIFS(Contratações!$O$5:$O$504,Contratações!$I$5:$I$504,A71)))</f>
        <v/>
      </c>
      <c r="Y71" s="11"/>
    </row>
    <row r="72" customFormat="false" ht="15" hidden="false" customHeight="false" outlineLevel="0" collapsed="false">
      <c r="A72" s="11"/>
      <c r="B72" s="11"/>
      <c r="C72" s="11"/>
      <c r="D72" s="11"/>
      <c r="E72" s="12" t="str">
        <f aca="false">IF(D72="","",IF(OR(D72="MEI",D72="ME",D72="EPP",D72="Cooperativa",D72="PF autônoma"),"S","N"))</f>
        <v/>
      </c>
      <c r="F72" s="11"/>
      <c r="G72" s="11"/>
      <c r="H72" s="11"/>
      <c r="I72" s="11"/>
      <c r="J72" s="11"/>
      <c r="K72" s="11"/>
      <c r="L72" s="11"/>
      <c r="M72" s="13"/>
      <c r="N72" s="14" t="str">
        <f aca="false">IF(M72="","",EDATE(M72,Parâmetros!$B$12))</f>
        <v/>
      </c>
      <c r="O72" s="11"/>
      <c r="P72" s="13"/>
      <c r="Q72" s="13"/>
      <c r="R72" s="13"/>
      <c r="S72" s="13"/>
      <c r="T72" s="12" t="str">
        <f aca="true">IF(A72="","",IF(OR(AND(P72&lt;&gt;"",P72&lt;=TODAY()+Parâmetros!$B$13),AND(Q72&lt;&gt;"",Q72&lt;=TODAY()+Parâmetros!$B$13),AND(R72&lt;&gt;"",R72&lt;=TODAY()+Parâmetros!$B$13),AND(S72&lt;&gt;"",S72&lt;=TODAY()+Parâmetros!$B$13)),"RENOVAR","OK"))</f>
        <v/>
      </c>
      <c r="U72" s="12" t="str">
        <f aca="false">IF(A72="","",COUNTIF(Contratações!$I$5:$I$504,A72))</f>
        <v/>
      </c>
      <c r="V72" s="15" t="str">
        <f aca="false">IF(A72="","",SUMIF(Contratações!$I$5:$I$504,A72,Contratações!$N$5:$N$504))</f>
        <v/>
      </c>
      <c r="W72" s="16" t="str">
        <f aca="false">IF(A72="","",IFERROR(AVERAGEIFS(Contratações!$R$5:$R$504,Contratações!$I$5:$I$504,A72,Contratações!$R$5:$R$504,"&gt;0"),""))</f>
        <v/>
      </c>
      <c r="X72" s="14" t="str">
        <f aca="false">IF(A72="","",IF(U72=0,"nunca",_xlfn.MAXIFS(Contratações!$O$5:$O$504,Contratações!$I$5:$I$504,A72)))</f>
        <v/>
      </c>
      <c r="Y72" s="11"/>
    </row>
    <row r="73" customFormat="false" ht="15" hidden="false" customHeight="false" outlineLevel="0" collapsed="false">
      <c r="A73" s="11"/>
      <c r="B73" s="11"/>
      <c r="C73" s="11"/>
      <c r="D73" s="11"/>
      <c r="E73" s="12" t="str">
        <f aca="false">IF(D73="","",IF(OR(D73="MEI",D73="ME",D73="EPP",D73="Cooperativa",D73="PF autônoma"),"S","N"))</f>
        <v/>
      </c>
      <c r="F73" s="11"/>
      <c r="G73" s="11"/>
      <c r="H73" s="11"/>
      <c r="I73" s="11"/>
      <c r="J73" s="11"/>
      <c r="K73" s="11"/>
      <c r="L73" s="11"/>
      <c r="M73" s="13"/>
      <c r="N73" s="14" t="str">
        <f aca="false">IF(M73="","",EDATE(M73,Parâmetros!$B$12))</f>
        <v/>
      </c>
      <c r="O73" s="11"/>
      <c r="P73" s="13"/>
      <c r="Q73" s="13"/>
      <c r="R73" s="13"/>
      <c r="S73" s="13"/>
      <c r="T73" s="12" t="str">
        <f aca="true">IF(A73="","",IF(OR(AND(P73&lt;&gt;"",P73&lt;=TODAY()+Parâmetros!$B$13),AND(Q73&lt;&gt;"",Q73&lt;=TODAY()+Parâmetros!$B$13),AND(R73&lt;&gt;"",R73&lt;=TODAY()+Parâmetros!$B$13),AND(S73&lt;&gt;"",S73&lt;=TODAY()+Parâmetros!$B$13)),"RENOVAR","OK"))</f>
        <v/>
      </c>
      <c r="U73" s="12" t="str">
        <f aca="false">IF(A73="","",COUNTIF(Contratações!$I$5:$I$504,A73))</f>
        <v/>
      </c>
      <c r="V73" s="15" t="str">
        <f aca="false">IF(A73="","",SUMIF(Contratações!$I$5:$I$504,A73,Contratações!$N$5:$N$504))</f>
        <v/>
      </c>
      <c r="W73" s="16" t="str">
        <f aca="false">IF(A73="","",IFERROR(AVERAGEIFS(Contratações!$R$5:$R$504,Contratações!$I$5:$I$504,A73,Contratações!$R$5:$R$504,"&gt;0"),""))</f>
        <v/>
      </c>
      <c r="X73" s="14" t="str">
        <f aca="false">IF(A73="","",IF(U73=0,"nunca",_xlfn.MAXIFS(Contratações!$O$5:$O$504,Contratações!$I$5:$I$504,A73)))</f>
        <v/>
      </c>
      <c r="Y73" s="11"/>
    </row>
    <row r="74" customFormat="false" ht="15" hidden="false" customHeight="false" outlineLevel="0" collapsed="false">
      <c r="A74" s="11"/>
      <c r="B74" s="11"/>
      <c r="C74" s="11"/>
      <c r="D74" s="11"/>
      <c r="E74" s="12" t="str">
        <f aca="false">IF(D74="","",IF(OR(D74="MEI",D74="ME",D74="EPP",D74="Cooperativa",D74="PF autônoma"),"S","N"))</f>
        <v/>
      </c>
      <c r="F74" s="11"/>
      <c r="G74" s="11"/>
      <c r="H74" s="11"/>
      <c r="I74" s="11"/>
      <c r="J74" s="11"/>
      <c r="K74" s="11"/>
      <c r="L74" s="11"/>
      <c r="M74" s="13"/>
      <c r="N74" s="14" t="str">
        <f aca="false">IF(M74="","",EDATE(M74,Parâmetros!$B$12))</f>
        <v/>
      </c>
      <c r="O74" s="11"/>
      <c r="P74" s="13"/>
      <c r="Q74" s="13"/>
      <c r="R74" s="13"/>
      <c r="S74" s="13"/>
      <c r="T74" s="12" t="str">
        <f aca="true">IF(A74="","",IF(OR(AND(P74&lt;&gt;"",P74&lt;=TODAY()+Parâmetros!$B$13),AND(Q74&lt;&gt;"",Q74&lt;=TODAY()+Parâmetros!$B$13),AND(R74&lt;&gt;"",R74&lt;=TODAY()+Parâmetros!$B$13),AND(S74&lt;&gt;"",S74&lt;=TODAY()+Parâmetros!$B$13)),"RENOVAR","OK"))</f>
        <v/>
      </c>
      <c r="U74" s="12" t="str">
        <f aca="false">IF(A74="","",COUNTIF(Contratações!$I$5:$I$504,A74))</f>
        <v/>
      </c>
      <c r="V74" s="15" t="str">
        <f aca="false">IF(A74="","",SUMIF(Contratações!$I$5:$I$504,A74,Contratações!$N$5:$N$504))</f>
        <v/>
      </c>
      <c r="W74" s="16" t="str">
        <f aca="false">IF(A74="","",IFERROR(AVERAGEIFS(Contratações!$R$5:$R$504,Contratações!$I$5:$I$504,A74,Contratações!$R$5:$R$504,"&gt;0"),""))</f>
        <v/>
      </c>
      <c r="X74" s="14" t="str">
        <f aca="false">IF(A74="","",IF(U74=0,"nunca",_xlfn.MAXIFS(Contratações!$O$5:$O$504,Contratações!$I$5:$I$504,A74)))</f>
        <v/>
      </c>
      <c r="Y74" s="11"/>
    </row>
    <row r="75" customFormat="false" ht="15" hidden="false" customHeight="false" outlineLevel="0" collapsed="false">
      <c r="A75" s="11"/>
      <c r="B75" s="11"/>
      <c r="C75" s="11"/>
      <c r="D75" s="11"/>
      <c r="E75" s="12" t="str">
        <f aca="false">IF(D75="","",IF(OR(D75="MEI",D75="ME",D75="EPP",D75="Cooperativa",D75="PF autônoma"),"S","N"))</f>
        <v/>
      </c>
      <c r="F75" s="11"/>
      <c r="G75" s="11"/>
      <c r="H75" s="11"/>
      <c r="I75" s="11"/>
      <c r="J75" s="11"/>
      <c r="K75" s="11"/>
      <c r="L75" s="11"/>
      <c r="M75" s="13"/>
      <c r="N75" s="14" t="str">
        <f aca="false">IF(M75="","",EDATE(M75,Parâmetros!$B$12))</f>
        <v/>
      </c>
      <c r="O75" s="11"/>
      <c r="P75" s="13"/>
      <c r="Q75" s="13"/>
      <c r="R75" s="13"/>
      <c r="S75" s="13"/>
      <c r="T75" s="12" t="str">
        <f aca="true">IF(A75="","",IF(OR(AND(P75&lt;&gt;"",P75&lt;=TODAY()+Parâmetros!$B$13),AND(Q75&lt;&gt;"",Q75&lt;=TODAY()+Parâmetros!$B$13),AND(R75&lt;&gt;"",R75&lt;=TODAY()+Parâmetros!$B$13),AND(S75&lt;&gt;"",S75&lt;=TODAY()+Parâmetros!$B$13)),"RENOVAR","OK"))</f>
        <v/>
      </c>
      <c r="U75" s="12" t="str">
        <f aca="false">IF(A75="","",COUNTIF(Contratações!$I$5:$I$504,A75))</f>
        <v/>
      </c>
      <c r="V75" s="15" t="str">
        <f aca="false">IF(A75="","",SUMIF(Contratações!$I$5:$I$504,A75,Contratações!$N$5:$N$504))</f>
        <v/>
      </c>
      <c r="W75" s="16" t="str">
        <f aca="false">IF(A75="","",IFERROR(AVERAGEIFS(Contratações!$R$5:$R$504,Contratações!$I$5:$I$504,A75,Contratações!$R$5:$R$504,"&gt;0"),""))</f>
        <v/>
      </c>
      <c r="X75" s="14" t="str">
        <f aca="false">IF(A75="","",IF(U75=0,"nunca",_xlfn.MAXIFS(Contratações!$O$5:$O$504,Contratações!$I$5:$I$504,A75)))</f>
        <v/>
      </c>
      <c r="Y75" s="11"/>
    </row>
    <row r="76" customFormat="false" ht="15" hidden="false" customHeight="false" outlineLevel="0" collapsed="false">
      <c r="A76" s="11"/>
      <c r="B76" s="11"/>
      <c r="C76" s="11"/>
      <c r="D76" s="11"/>
      <c r="E76" s="12" t="str">
        <f aca="false">IF(D76="","",IF(OR(D76="MEI",D76="ME",D76="EPP",D76="Cooperativa",D76="PF autônoma"),"S","N"))</f>
        <v/>
      </c>
      <c r="F76" s="11"/>
      <c r="G76" s="11"/>
      <c r="H76" s="11"/>
      <c r="I76" s="11"/>
      <c r="J76" s="11"/>
      <c r="K76" s="11"/>
      <c r="L76" s="11"/>
      <c r="M76" s="13"/>
      <c r="N76" s="14" t="str">
        <f aca="false">IF(M76="","",EDATE(M76,Parâmetros!$B$12))</f>
        <v/>
      </c>
      <c r="O76" s="11"/>
      <c r="P76" s="13"/>
      <c r="Q76" s="13"/>
      <c r="R76" s="13"/>
      <c r="S76" s="13"/>
      <c r="T76" s="12" t="str">
        <f aca="true">IF(A76="","",IF(OR(AND(P76&lt;&gt;"",P76&lt;=TODAY()+Parâmetros!$B$13),AND(Q76&lt;&gt;"",Q76&lt;=TODAY()+Parâmetros!$B$13),AND(R76&lt;&gt;"",R76&lt;=TODAY()+Parâmetros!$B$13),AND(S76&lt;&gt;"",S76&lt;=TODAY()+Parâmetros!$B$13)),"RENOVAR","OK"))</f>
        <v/>
      </c>
      <c r="U76" s="12" t="str">
        <f aca="false">IF(A76="","",COUNTIF(Contratações!$I$5:$I$504,A76))</f>
        <v/>
      </c>
      <c r="V76" s="15" t="str">
        <f aca="false">IF(A76="","",SUMIF(Contratações!$I$5:$I$504,A76,Contratações!$N$5:$N$504))</f>
        <v/>
      </c>
      <c r="W76" s="16" t="str">
        <f aca="false">IF(A76="","",IFERROR(AVERAGEIFS(Contratações!$R$5:$R$504,Contratações!$I$5:$I$504,A76,Contratações!$R$5:$R$504,"&gt;0"),""))</f>
        <v/>
      </c>
      <c r="X76" s="14" t="str">
        <f aca="false">IF(A76="","",IF(U76=0,"nunca",_xlfn.MAXIFS(Contratações!$O$5:$O$504,Contratações!$I$5:$I$504,A76)))</f>
        <v/>
      </c>
      <c r="Y76" s="11"/>
    </row>
    <row r="77" customFormat="false" ht="15" hidden="false" customHeight="false" outlineLevel="0" collapsed="false">
      <c r="A77" s="11"/>
      <c r="B77" s="11"/>
      <c r="C77" s="11"/>
      <c r="D77" s="11"/>
      <c r="E77" s="12" t="str">
        <f aca="false">IF(D77="","",IF(OR(D77="MEI",D77="ME",D77="EPP",D77="Cooperativa",D77="PF autônoma"),"S","N"))</f>
        <v/>
      </c>
      <c r="F77" s="11"/>
      <c r="G77" s="11"/>
      <c r="H77" s="11"/>
      <c r="I77" s="11"/>
      <c r="J77" s="11"/>
      <c r="K77" s="11"/>
      <c r="L77" s="11"/>
      <c r="M77" s="13"/>
      <c r="N77" s="14" t="str">
        <f aca="false">IF(M77="","",EDATE(M77,Parâmetros!$B$12))</f>
        <v/>
      </c>
      <c r="O77" s="11"/>
      <c r="P77" s="13"/>
      <c r="Q77" s="13"/>
      <c r="R77" s="13"/>
      <c r="S77" s="13"/>
      <c r="T77" s="12" t="str">
        <f aca="true">IF(A77="","",IF(OR(AND(P77&lt;&gt;"",P77&lt;=TODAY()+Parâmetros!$B$13),AND(Q77&lt;&gt;"",Q77&lt;=TODAY()+Parâmetros!$B$13),AND(R77&lt;&gt;"",R77&lt;=TODAY()+Parâmetros!$B$13),AND(S77&lt;&gt;"",S77&lt;=TODAY()+Parâmetros!$B$13)),"RENOVAR","OK"))</f>
        <v/>
      </c>
      <c r="U77" s="12" t="str">
        <f aca="false">IF(A77="","",COUNTIF(Contratações!$I$5:$I$504,A77))</f>
        <v/>
      </c>
      <c r="V77" s="15" t="str">
        <f aca="false">IF(A77="","",SUMIF(Contratações!$I$5:$I$504,A77,Contratações!$N$5:$N$504))</f>
        <v/>
      </c>
      <c r="W77" s="16" t="str">
        <f aca="false">IF(A77="","",IFERROR(AVERAGEIFS(Contratações!$R$5:$R$504,Contratações!$I$5:$I$504,A77,Contratações!$R$5:$R$504,"&gt;0"),""))</f>
        <v/>
      </c>
      <c r="X77" s="14" t="str">
        <f aca="false">IF(A77="","",IF(U77=0,"nunca",_xlfn.MAXIFS(Contratações!$O$5:$O$504,Contratações!$I$5:$I$504,A77)))</f>
        <v/>
      </c>
      <c r="Y77" s="11"/>
    </row>
    <row r="78" customFormat="false" ht="15" hidden="false" customHeight="false" outlineLevel="0" collapsed="false">
      <c r="A78" s="11"/>
      <c r="B78" s="11"/>
      <c r="C78" s="11"/>
      <c r="D78" s="11"/>
      <c r="E78" s="12" t="str">
        <f aca="false">IF(D78="","",IF(OR(D78="MEI",D78="ME",D78="EPP",D78="Cooperativa",D78="PF autônoma"),"S","N"))</f>
        <v/>
      </c>
      <c r="F78" s="11"/>
      <c r="G78" s="11"/>
      <c r="H78" s="11"/>
      <c r="I78" s="11"/>
      <c r="J78" s="11"/>
      <c r="K78" s="11"/>
      <c r="L78" s="11"/>
      <c r="M78" s="13"/>
      <c r="N78" s="14" t="str">
        <f aca="false">IF(M78="","",EDATE(M78,Parâmetros!$B$12))</f>
        <v/>
      </c>
      <c r="O78" s="11"/>
      <c r="P78" s="13"/>
      <c r="Q78" s="13"/>
      <c r="R78" s="13"/>
      <c r="S78" s="13"/>
      <c r="T78" s="12" t="str">
        <f aca="true">IF(A78="","",IF(OR(AND(P78&lt;&gt;"",P78&lt;=TODAY()+Parâmetros!$B$13),AND(Q78&lt;&gt;"",Q78&lt;=TODAY()+Parâmetros!$B$13),AND(R78&lt;&gt;"",R78&lt;=TODAY()+Parâmetros!$B$13),AND(S78&lt;&gt;"",S78&lt;=TODAY()+Parâmetros!$B$13)),"RENOVAR","OK"))</f>
        <v/>
      </c>
      <c r="U78" s="12" t="str">
        <f aca="false">IF(A78="","",COUNTIF(Contratações!$I$5:$I$504,A78))</f>
        <v/>
      </c>
      <c r="V78" s="15" t="str">
        <f aca="false">IF(A78="","",SUMIF(Contratações!$I$5:$I$504,A78,Contratações!$N$5:$N$504))</f>
        <v/>
      </c>
      <c r="W78" s="16" t="str">
        <f aca="false">IF(A78="","",IFERROR(AVERAGEIFS(Contratações!$R$5:$R$504,Contratações!$I$5:$I$504,A78,Contratações!$R$5:$R$504,"&gt;0"),""))</f>
        <v/>
      </c>
      <c r="X78" s="14" t="str">
        <f aca="false">IF(A78="","",IF(U78=0,"nunca",_xlfn.MAXIFS(Contratações!$O$5:$O$504,Contratações!$I$5:$I$504,A78)))</f>
        <v/>
      </c>
      <c r="Y78" s="11"/>
    </row>
    <row r="79" customFormat="false" ht="15" hidden="false" customHeight="false" outlineLevel="0" collapsed="false">
      <c r="A79" s="11"/>
      <c r="B79" s="11"/>
      <c r="C79" s="11"/>
      <c r="D79" s="11"/>
      <c r="E79" s="12" t="str">
        <f aca="false">IF(D79="","",IF(OR(D79="MEI",D79="ME",D79="EPP",D79="Cooperativa",D79="PF autônoma"),"S","N"))</f>
        <v/>
      </c>
      <c r="F79" s="11"/>
      <c r="G79" s="11"/>
      <c r="H79" s="11"/>
      <c r="I79" s="11"/>
      <c r="J79" s="11"/>
      <c r="K79" s="11"/>
      <c r="L79" s="11"/>
      <c r="M79" s="13"/>
      <c r="N79" s="14" t="str">
        <f aca="false">IF(M79="","",EDATE(M79,Parâmetros!$B$12))</f>
        <v/>
      </c>
      <c r="O79" s="11"/>
      <c r="P79" s="13"/>
      <c r="Q79" s="13"/>
      <c r="R79" s="13"/>
      <c r="S79" s="13"/>
      <c r="T79" s="12" t="str">
        <f aca="true">IF(A79="","",IF(OR(AND(P79&lt;&gt;"",P79&lt;=TODAY()+Parâmetros!$B$13),AND(Q79&lt;&gt;"",Q79&lt;=TODAY()+Parâmetros!$B$13),AND(R79&lt;&gt;"",R79&lt;=TODAY()+Parâmetros!$B$13),AND(S79&lt;&gt;"",S79&lt;=TODAY()+Parâmetros!$B$13)),"RENOVAR","OK"))</f>
        <v/>
      </c>
      <c r="U79" s="12" t="str">
        <f aca="false">IF(A79="","",COUNTIF(Contratações!$I$5:$I$504,A79))</f>
        <v/>
      </c>
      <c r="V79" s="15" t="str">
        <f aca="false">IF(A79="","",SUMIF(Contratações!$I$5:$I$504,A79,Contratações!$N$5:$N$504))</f>
        <v/>
      </c>
      <c r="W79" s="16" t="str">
        <f aca="false">IF(A79="","",IFERROR(AVERAGEIFS(Contratações!$R$5:$R$504,Contratações!$I$5:$I$504,A79,Contratações!$R$5:$R$504,"&gt;0"),""))</f>
        <v/>
      </c>
      <c r="X79" s="14" t="str">
        <f aca="false">IF(A79="","",IF(U79=0,"nunca",_xlfn.MAXIFS(Contratações!$O$5:$O$504,Contratações!$I$5:$I$504,A79)))</f>
        <v/>
      </c>
      <c r="Y79" s="11"/>
    </row>
    <row r="80" customFormat="false" ht="15" hidden="false" customHeight="false" outlineLevel="0" collapsed="false">
      <c r="A80" s="11"/>
      <c r="B80" s="11"/>
      <c r="C80" s="11"/>
      <c r="D80" s="11"/>
      <c r="E80" s="12" t="str">
        <f aca="false">IF(D80="","",IF(OR(D80="MEI",D80="ME",D80="EPP",D80="Cooperativa",D80="PF autônoma"),"S","N"))</f>
        <v/>
      </c>
      <c r="F80" s="11"/>
      <c r="G80" s="11"/>
      <c r="H80" s="11"/>
      <c r="I80" s="11"/>
      <c r="J80" s="11"/>
      <c r="K80" s="11"/>
      <c r="L80" s="11"/>
      <c r="M80" s="13"/>
      <c r="N80" s="14" t="str">
        <f aca="false">IF(M80="","",EDATE(M80,Parâmetros!$B$12))</f>
        <v/>
      </c>
      <c r="O80" s="11"/>
      <c r="P80" s="13"/>
      <c r="Q80" s="13"/>
      <c r="R80" s="13"/>
      <c r="S80" s="13"/>
      <c r="T80" s="12" t="str">
        <f aca="true">IF(A80="","",IF(OR(AND(P80&lt;&gt;"",P80&lt;=TODAY()+Parâmetros!$B$13),AND(Q80&lt;&gt;"",Q80&lt;=TODAY()+Parâmetros!$B$13),AND(R80&lt;&gt;"",R80&lt;=TODAY()+Parâmetros!$B$13),AND(S80&lt;&gt;"",S80&lt;=TODAY()+Parâmetros!$B$13)),"RENOVAR","OK"))</f>
        <v/>
      </c>
      <c r="U80" s="12" t="str">
        <f aca="false">IF(A80="","",COUNTIF(Contratações!$I$5:$I$504,A80))</f>
        <v/>
      </c>
      <c r="V80" s="15" t="str">
        <f aca="false">IF(A80="","",SUMIF(Contratações!$I$5:$I$504,A80,Contratações!$N$5:$N$504))</f>
        <v/>
      </c>
      <c r="W80" s="16" t="str">
        <f aca="false">IF(A80="","",IFERROR(AVERAGEIFS(Contratações!$R$5:$R$504,Contratações!$I$5:$I$504,A80,Contratações!$R$5:$R$504,"&gt;0"),""))</f>
        <v/>
      </c>
      <c r="X80" s="14" t="str">
        <f aca="false">IF(A80="","",IF(U80=0,"nunca",_xlfn.MAXIFS(Contratações!$O$5:$O$504,Contratações!$I$5:$I$504,A80)))</f>
        <v/>
      </c>
      <c r="Y80" s="11"/>
    </row>
    <row r="81" customFormat="false" ht="15" hidden="false" customHeight="false" outlineLevel="0" collapsed="false">
      <c r="A81" s="11"/>
      <c r="B81" s="11"/>
      <c r="C81" s="11"/>
      <c r="D81" s="11"/>
      <c r="E81" s="12" t="str">
        <f aca="false">IF(D81="","",IF(OR(D81="MEI",D81="ME",D81="EPP",D81="Cooperativa",D81="PF autônoma"),"S","N"))</f>
        <v/>
      </c>
      <c r="F81" s="11"/>
      <c r="G81" s="11"/>
      <c r="H81" s="11"/>
      <c r="I81" s="11"/>
      <c r="J81" s="11"/>
      <c r="K81" s="11"/>
      <c r="L81" s="11"/>
      <c r="M81" s="13"/>
      <c r="N81" s="14" t="str">
        <f aca="false">IF(M81="","",EDATE(M81,Parâmetros!$B$12))</f>
        <v/>
      </c>
      <c r="O81" s="11"/>
      <c r="P81" s="13"/>
      <c r="Q81" s="13"/>
      <c r="R81" s="13"/>
      <c r="S81" s="13"/>
      <c r="T81" s="12" t="str">
        <f aca="true">IF(A81="","",IF(OR(AND(P81&lt;&gt;"",P81&lt;=TODAY()+Parâmetros!$B$13),AND(Q81&lt;&gt;"",Q81&lt;=TODAY()+Parâmetros!$B$13),AND(R81&lt;&gt;"",R81&lt;=TODAY()+Parâmetros!$B$13),AND(S81&lt;&gt;"",S81&lt;=TODAY()+Parâmetros!$B$13)),"RENOVAR","OK"))</f>
        <v/>
      </c>
      <c r="U81" s="12" t="str">
        <f aca="false">IF(A81="","",COUNTIF(Contratações!$I$5:$I$504,A81))</f>
        <v/>
      </c>
      <c r="V81" s="15" t="str">
        <f aca="false">IF(A81="","",SUMIF(Contratações!$I$5:$I$504,A81,Contratações!$N$5:$N$504))</f>
        <v/>
      </c>
      <c r="W81" s="16" t="str">
        <f aca="false">IF(A81="","",IFERROR(AVERAGEIFS(Contratações!$R$5:$R$504,Contratações!$I$5:$I$504,A81,Contratações!$R$5:$R$504,"&gt;0"),""))</f>
        <v/>
      </c>
      <c r="X81" s="14" t="str">
        <f aca="false">IF(A81="","",IF(U81=0,"nunca",_xlfn.MAXIFS(Contratações!$O$5:$O$504,Contratações!$I$5:$I$504,A81)))</f>
        <v/>
      </c>
      <c r="Y81" s="11"/>
    </row>
    <row r="82" customFormat="false" ht="15" hidden="false" customHeight="false" outlineLevel="0" collapsed="false">
      <c r="A82" s="11"/>
      <c r="B82" s="11"/>
      <c r="C82" s="11"/>
      <c r="D82" s="11"/>
      <c r="E82" s="12" t="str">
        <f aca="false">IF(D82="","",IF(OR(D82="MEI",D82="ME",D82="EPP",D82="Cooperativa",D82="PF autônoma"),"S","N"))</f>
        <v/>
      </c>
      <c r="F82" s="11"/>
      <c r="G82" s="11"/>
      <c r="H82" s="11"/>
      <c r="I82" s="11"/>
      <c r="J82" s="11"/>
      <c r="K82" s="11"/>
      <c r="L82" s="11"/>
      <c r="M82" s="13"/>
      <c r="N82" s="14" t="str">
        <f aca="false">IF(M82="","",EDATE(M82,Parâmetros!$B$12))</f>
        <v/>
      </c>
      <c r="O82" s="11"/>
      <c r="P82" s="13"/>
      <c r="Q82" s="13"/>
      <c r="R82" s="13"/>
      <c r="S82" s="13"/>
      <c r="T82" s="12" t="str">
        <f aca="true">IF(A82="","",IF(OR(AND(P82&lt;&gt;"",P82&lt;=TODAY()+Parâmetros!$B$13),AND(Q82&lt;&gt;"",Q82&lt;=TODAY()+Parâmetros!$B$13),AND(R82&lt;&gt;"",R82&lt;=TODAY()+Parâmetros!$B$13),AND(S82&lt;&gt;"",S82&lt;=TODAY()+Parâmetros!$B$13)),"RENOVAR","OK"))</f>
        <v/>
      </c>
      <c r="U82" s="12" t="str">
        <f aca="false">IF(A82="","",COUNTIF(Contratações!$I$5:$I$504,A82))</f>
        <v/>
      </c>
      <c r="V82" s="15" t="str">
        <f aca="false">IF(A82="","",SUMIF(Contratações!$I$5:$I$504,A82,Contratações!$N$5:$N$504))</f>
        <v/>
      </c>
      <c r="W82" s="16" t="str">
        <f aca="false">IF(A82="","",IFERROR(AVERAGEIFS(Contratações!$R$5:$R$504,Contratações!$I$5:$I$504,A82,Contratações!$R$5:$R$504,"&gt;0"),""))</f>
        <v/>
      </c>
      <c r="X82" s="14" t="str">
        <f aca="false">IF(A82="","",IF(U82=0,"nunca",_xlfn.MAXIFS(Contratações!$O$5:$O$504,Contratações!$I$5:$I$504,A82)))</f>
        <v/>
      </c>
      <c r="Y82" s="11"/>
    </row>
    <row r="83" customFormat="false" ht="15" hidden="false" customHeight="false" outlineLevel="0" collapsed="false">
      <c r="A83" s="11"/>
      <c r="B83" s="11"/>
      <c r="C83" s="11"/>
      <c r="D83" s="11"/>
      <c r="E83" s="12" t="str">
        <f aca="false">IF(D83="","",IF(OR(D83="MEI",D83="ME",D83="EPP",D83="Cooperativa",D83="PF autônoma"),"S","N"))</f>
        <v/>
      </c>
      <c r="F83" s="11"/>
      <c r="G83" s="11"/>
      <c r="H83" s="11"/>
      <c r="I83" s="11"/>
      <c r="J83" s="11"/>
      <c r="K83" s="11"/>
      <c r="L83" s="11"/>
      <c r="M83" s="13"/>
      <c r="N83" s="14" t="str">
        <f aca="false">IF(M83="","",EDATE(M83,Parâmetros!$B$12))</f>
        <v/>
      </c>
      <c r="O83" s="11"/>
      <c r="P83" s="13"/>
      <c r="Q83" s="13"/>
      <c r="R83" s="13"/>
      <c r="S83" s="13"/>
      <c r="T83" s="12" t="str">
        <f aca="true">IF(A83="","",IF(OR(AND(P83&lt;&gt;"",P83&lt;=TODAY()+Parâmetros!$B$13),AND(Q83&lt;&gt;"",Q83&lt;=TODAY()+Parâmetros!$B$13),AND(R83&lt;&gt;"",R83&lt;=TODAY()+Parâmetros!$B$13),AND(S83&lt;&gt;"",S83&lt;=TODAY()+Parâmetros!$B$13)),"RENOVAR","OK"))</f>
        <v/>
      </c>
      <c r="U83" s="12" t="str">
        <f aca="false">IF(A83="","",COUNTIF(Contratações!$I$5:$I$504,A83))</f>
        <v/>
      </c>
      <c r="V83" s="15" t="str">
        <f aca="false">IF(A83="","",SUMIF(Contratações!$I$5:$I$504,A83,Contratações!$N$5:$N$504))</f>
        <v/>
      </c>
      <c r="W83" s="16" t="str">
        <f aca="false">IF(A83="","",IFERROR(AVERAGEIFS(Contratações!$R$5:$R$504,Contratações!$I$5:$I$504,A83,Contratações!$R$5:$R$504,"&gt;0"),""))</f>
        <v/>
      </c>
      <c r="X83" s="14" t="str">
        <f aca="false">IF(A83="","",IF(U83=0,"nunca",_xlfn.MAXIFS(Contratações!$O$5:$O$504,Contratações!$I$5:$I$504,A83)))</f>
        <v/>
      </c>
      <c r="Y83" s="11"/>
    </row>
    <row r="84" customFormat="false" ht="15" hidden="false" customHeight="false" outlineLevel="0" collapsed="false">
      <c r="A84" s="11"/>
      <c r="B84" s="11"/>
      <c r="C84" s="11"/>
      <c r="D84" s="11"/>
      <c r="E84" s="12" t="str">
        <f aca="false">IF(D84="","",IF(OR(D84="MEI",D84="ME",D84="EPP",D84="Cooperativa",D84="PF autônoma"),"S","N"))</f>
        <v/>
      </c>
      <c r="F84" s="11"/>
      <c r="G84" s="11"/>
      <c r="H84" s="11"/>
      <c r="I84" s="11"/>
      <c r="J84" s="11"/>
      <c r="K84" s="11"/>
      <c r="L84" s="11"/>
      <c r="M84" s="13"/>
      <c r="N84" s="14" t="str">
        <f aca="false">IF(M84="","",EDATE(M84,Parâmetros!$B$12))</f>
        <v/>
      </c>
      <c r="O84" s="11"/>
      <c r="P84" s="13"/>
      <c r="Q84" s="13"/>
      <c r="R84" s="13"/>
      <c r="S84" s="13"/>
      <c r="T84" s="12" t="str">
        <f aca="true">IF(A84="","",IF(OR(AND(P84&lt;&gt;"",P84&lt;=TODAY()+Parâmetros!$B$13),AND(Q84&lt;&gt;"",Q84&lt;=TODAY()+Parâmetros!$B$13),AND(R84&lt;&gt;"",R84&lt;=TODAY()+Parâmetros!$B$13),AND(S84&lt;&gt;"",S84&lt;=TODAY()+Parâmetros!$B$13)),"RENOVAR","OK"))</f>
        <v/>
      </c>
      <c r="U84" s="12" t="str">
        <f aca="false">IF(A84="","",COUNTIF(Contratações!$I$5:$I$504,A84))</f>
        <v/>
      </c>
      <c r="V84" s="15" t="str">
        <f aca="false">IF(A84="","",SUMIF(Contratações!$I$5:$I$504,A84,Contratações!$N$5:$N$504))</f>
        <v/>
      </c>
      <c r="W84" s="16" t="str">
        <f aca="false">IF(A84="","",IFERROR(AVERAGEIFS(Contratações!$R$5:$R$504,Contratações!$I$5:$I$504,A84,Contratações!$R$5:$R$504,"&gt;0"),""))</f>
        <v/>
      </c>
      <c r="X84" s="14" t="str">
        <f aca="false">IF(A84="","",IF(U84=0,"nunca",_xlfn.MAXIFS(Contratações!$O$5:$O$504,Contratações!$I$5:$I$504,A84)))</f>
        <v/>
      </c>
      <c r="Y84" s="11"/>
    </row>
    <row r="85" customFormat="false" ht="15" hidden="false" customHeight="false" outlineLevel="0" collapsed="false">
      <c r="A85" s="11"/>
      <c r="B85" s="11"/>
      <c r="C85" s="11"/>
      <c r="D85" s="11"/>
      <c r="E85" s="12" t="str">
        <f aca="false">IF(D85="","",IF(OR(D85="MEI",D85="ME",D85="EPP",D85="Cooperativa",D85="PF autônoma"),"S","N"))</f>
        <v/>
      </c>
      <c r="F85" s="11"/>
      <c r="G85" s="11"/>
      <c r="H85" s="11"/>
      <c r="I85" s="11"/>
      <c r="J85" s="11"/>
      <c r="K85" s="11"/>
      <c r="L85" s="11"/>
      <c r="M85" s="13"/>
      <c r="N85" s="14" t="str">
        <f aca="false">IF(M85="","",EDATE(M85,Parâmetros!$B$12))</f>
        <v/>
      </c>
      <c r="O85" s="11"/>
      <c r="P85" s="13"/>
      <c r="Q85" s="13"/>
      <c r="R85" s="13"/>
      <c r="S85" s="13"/>
      <c r="T85" s="12" t="str">
        <f aca="true">IF(A85="","",IF(OR(AND(P85&lt;&gt;"",P85&lt;=TODAY()+Parâmetros!$B$13),AND(Q85&lt;&gt;"",Q85&lt;=TODAY()+Parâmetros!$B$13),AND(R85&lt;&gt;"",R85&lt;=TODAY()+Parâmetros!$B$13),AND(S85&lt;&gt;"",S85&lt;=TODAY()+Parâmetros!$B$13)),"RENOVAR","OK"))</f>
        <v/>
      </c>
      <c r="U85" s="12" t="str">
        <f aca="false">IF(A85="","",COUNTIF(Contratações!$I$5:$I$504,A85))</f>
        <v/>
      </c>
      <c r="V85" s="15" t="str">
        <f aca="false">IF(A85="","",SUMIF(Contratações!$I$5:$I$504,A85,Contratações!$N$5:$N$504))</f>
        <v/>
      </c>
      <c r="W85" s="16" t="str">
        <f aca="false">IF(A85="","",IFERROR(AVERAGEIFS(Contratações!$R$5:$R$504,Contratações!$I$5:$I$504,A85,Contratações!$R$5:$R$504,"&gt;0"),""))</f>
        <v/>
      </c>
      <c r="X85" s="14" t="str">
        <f aca="false">IF(A85="","",IF(U85=0,"nunca",_xlfn.MAXIFS(Contratações!$O$5:$O$504,Contratações!$I$5:$I$504,A85)))</f>
        <v/>
      </c>
      <c r="Y85" s="11"/>
    </row>
    <row r="86" customFormat="false" ht="15" hidden="false" customHeight="false" outlineLevel="0" collapsed="false">
      <c r="A86" s="11"/>
      <c r="B86" s="11"/>
      <c r="C86" s="11"/>
      <c r="D86" s="11"/>
      <c r="E86" s="12" t="str">
        <f aca="false">IF(D86="","",IF(OR(D86="MEI",D86="ME",D86="EPP",D86="Cooperativa",D86="PF autônoma"),"S","N"))</f>
        <v/>
      </c>
      <c r="F86" s="11"/>
      <c r="G86" s="11"/>
      <c r="H86" s="11"/>
      <c r="I86" s="11"/>
      <c r="J86" s="11"/>
      <c r="K86" s="11"/>
      <c r="L86" s="11"/>
      <c r="M86" s="13"/>
      <c r="N86" s="14" t="str">
        <f aca="false">IF(M86="","",EDATE(M86,Parâmetros!$B$12))</f>
        <v/>
      </c>
      <c r="O86" s="11"/>
      <c r="P86" s="13"/>
      <c r="Q86" s="13"/>
      <c r="R86" s="13"/>
      <c r="S86" s="13"/>
      <c r="T86" s="12" t="str">
        <f aca="true">IF(A86="","",IF(OR(AND(P86&lt;&gt;"",P86&lt;=TODAY()+Parâmetros!$B$13),AND(Q86&lt;&gt;"",Q86&lt;=TODAY()+Parâmetros!$B$13),AND(R86&lt;&gt;"",R86&lt;=TODAY()+Parâmetros!$B$13),AND(S86&lt;&gt;"",S86&lt;=TODAY()+Parâmetros!$B$13)),"RENOVAR","OK"))</f>
        <v/>
      </c>
      <c r="U86" s="12" t="str">
        <f aca="false">IF(A86="","",COUNTIF(Contratações!$I$5:$I$504,A86))</f>
        <v/>
      </c>
      <c r="V86" s="15" t="str">
        <f aca="false">IF(A86="","",SUMIF(Contratações!$I$5:$I$504,A86,Contratações!$N$5:$N$504))</f>
        <v/>
      </c>
      <c r="W86" s="16" t="str">
        <f aca="false">IF(A86="","",IFERROR(AVERAGEIFS(Contratações!$R$5:$R$504,Contratações!$I$5:$I$504,A86,Contratações!$R$5:$R$504,"&gt;0"),""))</f>
        <v/>
      </c>
      <c r="X86" s="14" t="str">
        <f aca="false">IF(A86="","",IF(U86=0,"nunca",_xlfn.MAXIFS(Contratações!$O$5:$O$504,Contratações!$I$5:$I$504,A86)))</f>
        <v/>
      </c>
      <c r="Y86" s="11"/>
    </row>
    <row r="87" customFormat="false" ht="15" hidden="false" customHeight="false" outlineLevel="0" collapsed="false">
      <c r="A87" s="11"/>
      <c r="B87" s="11"/>
      <c r="C87" s="11"/>
      <c r="D87" s="11"/>
      <c r="E87" s="12" t="str">
        <f aca="false">IF(D87="","",IF(OR(D87="MEI",D87="ME",D87="EPP",D87="Cooperativa",D87="PF autônoma"),"S","N"))</f>
        <v/>
      </c>
      <c r="F87" s="11"/>
      <c r="G87" s="11"/>
      <c r="H87" s="11"/>
      <c r="I87" s="11"/>
      <c r="J87" s="11"/>
      <c r="K87" s="11"/>
      <c r="L87" s="11"/>
      <c r="M87" s="13"/>
      <c r="N87" s="14" t="str">
        <f aca="false">IF(M87="","",EDATE(M87,Parâmetros!$B$12))</f>
        <v/>
      </c>
      <c r="O87" s="11"/>
      <c r="P87" s="13"/>
      <c r="Q87" s="13"/>
      <c r="R87" s="13"/>
      <c r="S87" s="13"/>
      <c r="T87" s="12" t="str">
        <f aca="true">IF(A87="","",IF(OR(AND(P87&lt;&gt;"",P87&lt;=TODAY()+Parâmetros!$B$13),AND(Q87&lt;&gt;"",Q87&lt;=TODAY()+Parâmetros!$B$13),AND(R87&lt;&gt;"",R87&lt;=TODAY()+Parâmetros!$B$13),AND(S87&lt;&gt;"",S87&lt;=TODAY()+Parâmetros!$B$13)),"RENOVAR","OK"))</f>
        <v/>
      </c>
      <c r="U87" s="12" t="str">
        <f aca="false">IF(A87="","",COUNTIF(Contratações!$I$5:$I$504,A87))</f>
        <v/>
      </c>
      <c r="V87" s="15" t="str">
        <f aca="false">IF(A87="","",SUMIF(Contratações!$I$5:$I$504,A87,Contratações!$N$5:$N$504))</f>
        <v/>
      </c>
      <c r="W87" s="16" t="str">
        <f aca="false">IF(A87="","",IFERROR(AVERAGEIFS(Contratações!$R$5:$R$504,Contratações!$I$5:$I$504,A87,Contratações!$R$5:$R$504,"&gt;0"),""))</f>
        <v/>
      </c>
      <c r="X87" s="14" t="str">
        <f aca="false">IF(A87="","",IF(U87=0,"nunca",_xlfn.MAXIFS(Contratações!$O$5:$O$504,Contratações!$I$5:$I$504,A87)))</f>
        <v/>
      </c>
      <c r="Y87" s="11"/>
    </row>
    <row r="88" customFormat="false" ht="15" hidden="false" customHeight="false" outlineLevel="0" collapsed="false">
      <c r="A88" s="11"/>
      <c r="B88" s="11"/>
      <c r="C88" s="11"/>
      <c r="D88" s="11"/>
      <c r="E88" s="12" t="str">
        <f aca="false">IF(D88="","",IF(OR(D88="MEI",D88="ME",D88="EPP",D88="Cooperativa",D88="PF autônoma"),"S","N"))</f>
        <v/>
      </c>
      <c r="F88" s="11"/>
      <c r="G88" s="11"/>
      <c r="H88" s="11"/>
      <c r="I88" s="11"/>
      <c r="J88" s="11"/>
      <c r="K88" s="11"/>
      <c r="L88" s="11"/>
      <c r="M88" s="13"/>
      <c r="N88" s="14" t="str">
        <f aca="false">IF(M88="","",EDATE(M88,Parâmetros!$B$12))</f>
        <v/>
      </c>
      <c r="O88" s="11"/>
      <c r="P88" s="13"/>
      <c r="Q88" s="13"/>
      <c r="R88" s="13"/>
      <c r="S88" s="13"/>
      <c r="T88" s="12" t="str">
        <f aca="true">IF(A88="","",IF(OR(AND(P88&lt;&gt;"",P88&lt;=TODAY()+Parâmetros!$B$13),AND(Q88&lt;&gt;"",Q88&lt;=TODAY()+Parâmetros!$B$13),AND(R88&lt;&gt;"",R88&lt;=TODAY()+Parâmetros!$B$13),AND(S88&lt;&gt;"",S88&lt;=TODAY()+Parâmetros!$B$13)),"RENOVAR","OK"))</f>
        <v/>
      </c>
      <c r="U88" s="12" t="str">
        <f aca="false">IF(A88="","",COUNTIF(Contratações!$I$5:$I$504,A88))</f>
        <v/>
      </c>
      <c r="V88" s="15" t="str">
        <f aca="false">IF(A88="","",SUMIF(Contratações!$I$5:$I$504,A88,Contratações!$N$5:$N$504))</f>
        <v/>
      </c>
      <c r="W88" s="16" t="str">
        <f aca="false">IF(A88="","",IFERROR(AVERAGEIFS(Contratações!$R$5:$R$504,Contratações!$I$5:$I$504,A88,Contratações!$R$5:$R$504,"&gt;0"),""))</f>
        <v/>
      </c>
      <c r="X88" s="14" t="str">
        <f aca="false">IF(A88="","",IF(U88=0,"nunca",_xlfn.MAXIFS(Contratações!$O$5:$O$504,Contratações!$I$5:$I$504,A88)))</f>
        <v/>
      </c>
      <c r="Y88" s="11"/>
    </row>
    <row r="89" customFormat="false" ht="15" hidden="false" customHeight="false" outlineLevel="0" collapsed="false">
      <c r="A89" s="11"/>
      <c r="B89" s="11"/>
      <c r="C89" s="11"/>
      <c r="D89" s="11"/>
      <c r="E89" s="12" t="str">
        <f aca="false">IF(D89="","",IF(OR(D89="MEI",D89="ME",D89="EPP",D89="Cooperativa",D89="PF autônoma"),"S","N"))</f>
        <v/>
      </c>
      <c r="F89" s="11"/>
      <c r="G89" s="11"/>
      <c r="H89" s="11"/>
      <c r="I89" s="11"/>
      <c r="J89" s="11"/>
      <c r="K89" s="11"/>
      <c r="L89" s="11"/>
      <c r="M89" s="13"/>
      <c r="N89" s="14" t="str">
        <f aca="false">IF(M89="","",EDATE(M89,Parâmetros!$B$12))</f>
        <v/>
      </c>
      <c r="O89" s="11"/>
      <c r="P89" s="13"/>
      <c r="Q89" s="13"/>
      <c r="R89" s="13"/>
      <c r="S89" s="13"/>
      <c r="T89" s="12" t="str">
        <f aca="true">IF(A89="","",IF(OR(AND(P89&lt;&gt;"",P89&lt;=TODAY()+Parâmetros!$B$13),AND(Q89&lt;&gt;"",Q89&lt;=TODAY()+Parâmetros!$B$13),AND(R89&lt;&gt;"",R89&lt;=TODAY()+Parâmetros!$B$13),AND(S89&lt;&gt;"",S89&lt;=TODAY()+Parâmetros!$B$13)),"RENOVAR","OK"))</f>
        <v/>
      </c>
      <c r="U89" s="12" t="str">
        <f aca="false">IF(A89="","",COUNTIF(Contratações!$I$5:$I$504,A89))</f>
        <v/>
      </c>
      <c r="V89" s="15" t="str">
        <f aca="false">IF(A89="","",SUMIF(Contratações!$I$5:$I$504,A89,Contratações!$N$5:$N$504))</f>
        <v/>
      </c>
      <c r="W89" s="16" t="str">
        <f aca="false">IF(A89="","",IFERROR(AVERAGEIFS(Contratações!$R$5:$R$504,Contratações!$I$5:$I$504,A89,Contratações!$R$5:$R$504,"&gt;0"),""))</f>
        <v/>
      </c>
      <c r="X89" s="14" t="str">
        <f aca="false">IF(A89="","",IF(U89=0,"nunca",_xlfn.MAXIFS(Contratações!$O$5:$O$504,Contratações!$I$5:$I$504,A89)))</f>
        <v/>
      </c>
      <c r="Y89" s="11"/>
    </row>
    <row r="90" customFormat="false" ht="15" hidden="false" customHeight="false" outlineLevel="0" collapsed="false">
      <c r="A90" s="11"/>
      <c r="B90" s="11"/>
      <c r="C90" s="11"/>
      <c r="D90" s="11"/>
      <c r="E90" s="12" t="str">
        <f aca="false">IF(D90="","",IF(OR(D90="MEI",D90="ME",D90="EPP",D90="Cooperativa",D90="PF autônoma"),"S","N"))</f>
        <v/>
      </c>
      <c r="F90" s="11"/>
      <c r="G90" s="11"/>
      <c r="H90" s="11"/>
      <c r="I90" s="11"/>
      <c r="J90" s="11"/>
      <c r="K90" s="11"/>
      <c r="L90" s="11"/>
      <c r="M90" s="13"/>
      <c r="N90" s="14" t="str">
        <f aca="false">IF(M90="","",EDATE(M90,Parâmetros!$B$12))</f>
        <v/>
      </c>
      <c r="O90" s="11"/>
      <c r="P90" s="13"/>
      <c r="Q90" s="13"/>
      <c r="R90" s="13"/>
      <c r="S90" s="13"/>
      <c r="T90" s="12" t="str">
        <f aca="true">IF(A90="","",IF(OR(AND(P90&lt;&gt;"",P90&lt;=TODAY()+Parâmetros!$B$13),AND(Q90&lt;&gt;"",Q90&lt;=TODAY()+Parâmetros!$B$13),AND(R90&lt;&gt;"",R90&lt;=TODAY()+Parâmetros!$B$13),AND(S90&lt;&gt;"",S90&lt;=TODAY()+Parâmetros!$B$13)),"RENOVAR","OK"))</f>
        <v/>
      </c>
      <c r="U90" s="12" t="str">
        <f aca="false">IF(A90="","",COUNTIF(Contratações!$I$5:$I$504,A90))</f>
        <v/>
      </c>
      <c r="V90" s="15" t="str">
        <f aca="false">IF(A90="","",SUMIF(Contratações!$I$5:$I$504,A90,Contratações!$N$5:$N$504))</f>
        <v/>
      </c>
      <c r="W90" s="16" t="str">
        <f aca="false">IF(A90="","",IFERROR(AVERAGEIFS(Contratações!$R$5:$R$504,Contratações!$I$5:$I$504,A90,Contratações!$R$5:$R$504,"&gt;0"),""))</f>
        <v/>
      </c>
      <c r="X90" s="14" t="str">
        <f aca="false">IF(A90="","",IF(U90=0,"nunca",_xlfn.MAXIFS(Contratações!$O$5:$O$504,Contratações!$I$5:$I$504,A90)))</f>
        <v/>
      </c>
      <c r="Y90" s="11"/>
    </row>
    <row r="91" customFormat="false" ht="15" hidden="false" customHeight="false" outlineLevel="0" collapsed="false">
      <c r="A91" s="11"/>
      <c r="B91" s="11"/>
      <c r="C91" s="11"/>
      <c r="D91" s="11"/>
      <c r="E91" s="12" t="str">
        <f aca="false">IF(D91="","",IF(OR(D91="MEI",D91="ME",D91="EPP",D91="Cooperativa",D91="PF autônoma"),"S","N"))</f>
        <v/>
      </c>
      <c r="F91" s="11"/>
      <c r="G91" s="11"/>
      <c r="H91" s="11"/>
      <c r="I91" s="11"/>
      <c r="J91" s="11"/>
      <c r="K91" s="11"/>
      <c r="L91" s="11"/>
      <c r="M91" s="13"/>
      <c r="N91" s="14" t="str">
        <f aca="false">IF(M91="","",EDATE(M91,Parâmetros!$B$12))</f>
        <v/>
      </c>
      <c r="O91" s="11"/>
      <c r="P91" s="13"/>
      <c r="Q91" s="13"/>
      <c r="R91" s="13"/>
      <c r="S91" s="13"/>
      <c r="T91" s="12" t="str">
        <f aca="true">IF(A91="","",IF(OR(AND(P91&lt;&gt;"",P91&lt;=TODAY()+Parâmetros!$B$13),AND(Q91&lt;&gt;"",Q91&lt;=TODAY()+Parâmetros!$B$13),AND(R91&lt;&gt;"",R91&lt;=TODAY()+Parâmetros!$B$13),AND(S91&lt;&gt;"",S91&lt;=TODAY()+Parâmetros!$B$13)),"RENOVAR","OK"))</f>
        <v/>
      </c>
      <c r="U91" s="12" t="str">
        <f aca="false">IF(A91="","",COUNTIF(Contratações!$I$5:$I$504,A91))</f>
        <v/>
      </c>
      <c r="V91" s="15" t="str">
        <f aca="false">IF(A91="","",SUMIF(Contratações!$I$5:$I$504,A91,Contratações!$N$5:$N$504))</f>
        <v/>
      </c>
      <c r="W91" s="16" t="str">
        <f aca="false">IF(A91="","",IFERROR(AVERAGEIFS(Contratações!$R$5:$R$504,Contratações!$I$5:$I$504,A91,Contratações!$R$5:$R$504,"&gt;0"),""))</f>
        <v/>
      </c>
      <c r="X91" s="14" t="str">
        <f aca="false">IF(A91="","",IF(U91=0,"nunca",_xlfn.MAXIFS(Contratações!$O$5:$O$504,Contratações!$I$5:$I$504,A91)))</f>
        <v/>
      </c>
      <c r="Y91" s="11"/>
    </row>
    <row r="92" customFormat="false" ht="15" hidden="false" customHeight="false" outlineLevel="0" collapsed="false">
      <c r="A92" s="11"/>
      <c r="B92" s="11"/>
      <c r="C92" s="11"/>
      <c r="D92" s="11"/>
      <c r="E92" s="12" t="str">
        <f aca="false">IF(D92="","",IF(OR(D92="MEI",D92="ME",D92="EPP",D92="Cooperativa",D92="PF autônoma"),"S","N"))</f>
        <v/>
      </c>
      <c r="F92" s="11"/>
      <c r="G92" s="11"/>
      <c r="H92" s="11"/>
      <c r="I92" s="11"/>
      <c r="J92" s="11"/>
      <c r="K92" s="11"/>
      <c r="L92" s="11"/>
      <c r="M92" s="13"/>
      <c r="N92" s="14" t="str">
        <f aca="false">IF(M92="","",EDATE(M92,Parâmetros!$B$12))</f>
        <v/>
      </c>
      <c r="O92" s="11"/>
      <c r="P92" s="13"/>
      <c r="Q92" s="13"/>
      <c r="R92" s="13"/>
      <c r="S92" s="13"/>
      <c r="T92" s="12" t="str">
        <f aca="true">IF(A92="","",IF(OR(AND(P92&lt;&gt;"",P92&lt;=TODAY()+Parâmetros!$B$13),AND(Q92&lt;&gt;"",Q92&lt;=TODAY()+Parâmetros!$B$13),AND(R92&lt;&gt;"",R92&lt;=TODAY()+Parâmetros!$B$13),AND(S92&lt;&gt;"",S92&lt;=TODAY()+Parâmetros!$B$13)),"RENOVAR","OK"))</f>
        <v/>
      </c>
      <c r="U92" s="12" t="str">
        <f aca="false">IF(A92="","",COUNTIF(Contratações!$I$5:$I$504,A92))</f>
        <v/>
      </c>
      <c r="V92" s="15" t="str">
        <f aca="false">IF(A92="","",SUMIF(Contratações!$I$5:$I$504,A92,Contratações!$N$5:$N$504))</f>
        <v/>
      </c>
      <c r="W92" s="16" t="str">
        <f aca="false">IF(A92="","",IFERROR(AVERAGEIFS(Contratações!$R$5:$R$504,Contratações!$I$5:$I$504,A92,Contratações!$R$5:$R$504,"&gt;0"),""))</f>
        <v/>
      </c>
      <c r="X92" s="14" t="str">
        <f aca="false">IF(A92="","",IF(U92=0,"nunca",_xlfn.MAXIFS(Contratações!$O$5:$O$504,Contratações!$I$5:$I$504,A92)))</f>
        <v/>
      </c>
      <c r="Y92" s="11"/>
    </row>
    <row r="93" customFormat="false" ht="15" hidden="false" customHeight="false" outlineLevel="0" collapsed="false">
      <c r="A93" s="11"/>
      <c r="B93" s="11"/>
      <c r="C93" s="11"/>
      <c r="D93" s="11"/>
      <c r="E93" s="12" t="str">
        <f aca="false">IF(D93="","",IF(OR(D93="MEI",D93="ME",D93="EPP",D93="Cooperativa",D93="PF autônoma"),"S","N"))</f>
        <v/>
      </c>
      <c r="F93" s="11"/>
      <c r="G93" s="11"/>
      <c r="H93" s="11"/>
      <c r="I93" s="11"/>
      <c r="J93" s="11"/>
      <c r="K93" s="11"/>
      <c r="L93" s="11"/>
      <c r="M93" s="13"/>
      <c r="N93" s="14" t="str">
        <f aca="false">IF(M93="","",EDATE(M93,Parâmetros!$B$12))</f>
        <v/>
      </c>
      <c r="O93" s="11"/>
      <c r="P93" s="13"/>
      <c r="Q93" s="13"/>
      <c r="R93" s="13"/>
      <c r="S93" s="13"/>
      <c r="T93" s="12" t="str">
        <f aca="true">IF(A93="","",IF(OR(AND(P93&lt;&gt;"",P93&lt;=TODAY()+Parâmetros!$B$13),AND(Q93&lt;&gt;"",Q93&lt;=TODAY()+Parâmetros!$B$13),AND(R93&lt;&gt;"",R93&lt;=TODAY()+Parâmetros!$B$13),AND(S93&lt;&gt;"",S93&lt;=TODAY()+Parâmetros!$B$13)),"RENOVAR","OK"))</f>
        <v/>
      </c>
      <c r="U93" s="12" t="str">
        <f aca="false">IF(A93="","",COUNTIF(Contratações!$I$5:$I$504,A93))</f>
        <v/>
      </c>
      <c r="V93" s="15" t="str">
        <f aca="false">IF(A93="","",SUMIF(Contratações!$I$5:$I$504,A93,Contratações!$N$5:$N$504))</f>
        <v/>
      </c>
      <c r="W93" s="16" t="str">
        <f aca="false">IF(A93="","",IFERROR(AVERAGEIFS(Contratações!$R$5:$R$504,Contratações!$I$5:$I$504,A93,Contratações!$R$5:$R$504,"&gt;0"),""))</f>
        <v/>
      </c>
      <c r="X93" s="14" t="str">
        <f aca="false">IF(A93="","",IF(U93=0,"nunca",_xlfn.MAXIFS(Contratações!$O$5:$O$504,Contratações!$I$5:$I$504,A93)))</f>
        <v/>
      </c>
      <c r="Y93" s="11"/>
    </row>
    <row r="94" customFormat="false" ht="15" hidden="false" customHeight="false" outlineLevel="0" collapsed="false">
      <c r="A94" s="11"/>
      <c r="B94" s="11"/>
      <c r="C94" s="11"/>
      <c r="D94" s="11"/>
      <c r="E94" s="12" t="str">
        <f aca="false">IF(D94="","",IF(OR(D94="MEI",D94="ME",D94="EPP",D94="Cooperativa",D94="PF autônoma"),"S","N"))</f>
        <v/>
      </c>
      <c r="F94" s="11"/>
      <c r="G94" s="11"/>
      <c r="H94" s="11"/>
      <c r="I94" s="11"/>
      <c r="J94" s="11"/>
      <c r="K94" s="11"/>
      <c r="L94" s="11"/>
      <c r="M94" s="13"/>
      <c r="N94" s="14" t="str">
        <f aca="false">IF(M94="","",EDATE(M94,Parâmetros!$B$12))</f>
        <v/>
      </c>
      <c r="O94" s="11"/>
      <c r="P94" s="13"/>
      <c r="Q94" s="13"/>
      <c r="R94" s="13"/>
      <c r="S94" s="13"/>
      <c r="T94" s="12" t="str">
        <f aca="true">IF(A94="","",IF(OR(AND(P94&lt;&gt;"",P94&lt;=TODAY()+Parâmetros!$B$13),AND(Q94&lt;&gt;"",Q94&lt;=TODAY()+Parâmetros!$B$13),AND(R94&lt;&gt;"",R94&lt;=TODAY()+Parâmetros!$B$13),AND(S94&lt;&gt;"",S94&lt;=TODAY()+Parâmetros!$B$13)),"RENOVAR","OK"))</f>
        <v/>
      </c>
      <c r="U94" s="12" t="str">
        <f aca="false">IF(A94="","",COUNTIF(Contratações!$I$5:$I$504,A94))</f>
        <v/>
      </c>
      <c r="V94" s="15" t="str">
        <f aca="false">IF(A94="","",SUMIF(Contratações!$I$5:$I$504,A94,Contratações!$N$5:$N$504))</f>
        <v/>
      </c>
      <c r="W94" s="16" t="str">
        <f aca="false">IF(A94="","",IFERROR(AVERAGEIFS(Contratações!$R$5:$R$504,Contratações!$I$5:$I$504,A94,Contratações!$R$5:$R$504,"&gt;0"),""))</f>
        <v/>
      </c>
      <c r="X94" s="14" t="str">
        <f aca="false">IF(A94="","",IF(U94=0,"nunca",_xlfn.MAXIFS(Contratações!$O$5:$O$504,Contratações!$I$5:$I$504,A94)))</f>
        <v/>
      </c>
      <c r="Y94" s="11"/>
    </row>
    <row r="95" customFormat="false" ht="15" hidden="false" customHeight="false" outlineLevel="0" collapsed="false">
      <c r="A95" s="11"/>
      <c r="B95" s="11"/>
      <c r="C95" s="11"/>
      <c r="D95" s="11"/>
      <c r="E95" s="12" t="str">
        <f aca="false">IF(D95="","",IF(OR(D95="MEI",D95="ME",D95="EPP",D95="Cooperativa",D95="PF autônoma"),"S","N"))</f>
        <v/>
      </c>
      <c r="F95" s="11"/>
      <c r="G95" s="11"/>
      <c r="H95" s="11"/>
      <c r="I95" s="11"/>
      <c r="J95" s="11"/>
      <c r="K95" s="11"/>
      <c r="L95" s="11"/>
      <c r="M95" s="13"/>
      <c r="N95" s="14" t="str">
        <f aca="false">IF(M95="","",EDATE(M95,Parâmetros!$B$12))</f>
        <v/>
      </c>
      <c r="O95" s="11"/>
      <c r="P95" s="13"/>
      <c r="Q95" s="13"/>
      <c r="R95" s="13"/>
      <c r="S95" s="13"/>
      <c r="T95" s="12" t="str">
        <f aca="true">IF(A95="","",IF(OR(AND(P95&lt;&gt;"",P95&lt;=TODAY()+Parâmetros!$B$13),AND(Q95&lt;&gt;"",Q95&lt;=TODAY()+Parâmetros!$B$13),AND(R95&lt;&gt;"",R95&lt;=TODAY()+Parâmetros!$B$13),AND(S95&lt;&gt;"",S95&lt;=TODAY()+Parâmetros!$B$13)),"RENOVAR","OK"))</f>
        <v/>
      </c>
      <c r="U95" s="12" t="str">
        <f aca="false">IF(A95="","",COUNTIF(Contratações!$I$5:$I$504,A95))</f>
        <v/>
      </c>
      <c r="V95" s="15" t="str">
        <f aca="false">IF(A95="","",SUMIF(Contratações!$I$5:$I$504,A95,Contratações!$N$5:$N$504))</f>
        <v/>
      </c>
      <c r="W95" s="16" t="str">
        <f aca="false">IF(A95="","",IFERROR(AVERAGEIFS(Contratações!$R$5:$R$504,Contratações!$I$5:$I$504,A95,Contratações!$R$5:$R$504,"&gt;0"),""))</f>
        <v/>
      </c>
      <c r="X95" s="14" t="str">
        <f aca="false">IF(A95="","",IF(U95=0,"nunca",_xlfn.MAXIFS(Contratações!$O$5:$O$504,Contratações!$I$5:$I$504,A95)))</f>
        <v/>
      </c>
      <c r="Y95" s="11"/>
    </row>
    <row r="96" customFormat="false" ht="15" hidden="false" customHeight="false" outlineLevel="0" collapsed="false">
      <c r="A96" s="11"/>
      <c r="B96" s="11"/>
      <c r="C96" s="11"/>
      <c r="D96" s="11"/>
      <c r="E96" s="12" t="str">
        <f aca="false">IF(D96="","",IF(OR(D96="MEI",D96="ME",D96="EPP",D96="Cooperativa",D96="PF autônoma"),"S","N"))</f>
        <v/>
      </c>
      <c r="F96" s="11"/>
      <c r="G96" s="11"/>
      <c r="H96" s="11"/>
      <c r="I96" s="11"/>
      <c r="J96" s="11"/>
      <c r="K96" s="11"/>
      <c r="L96" s="11"/>
      <c r="M96" s="13"/>
      <c r="N96" s="14" t="str">
        <f aca="false">IF(M96="","",EDATE(M96,Parâmetros!$B$12))</f>
        <v/>
      </c>
      <c r="O96" s="11"/>
      <c r="P96" s="13"/>
      <c r="Q96" s="13"/>
      <c r="R96" s="13"/>
      <c r="S96" s="13"/>
      <c r="T96" s="12" t="str">
        <f aca="true">IF(A96="","",IF(OR(AND(P96&lt;&gt;"",P96&lt;=TODAY()+Parâmetros!$B$13),AND(Q96&lt;&gt;"",Q96&lt;=TODAY()+Parâmetros!$B$13),AND(R96&lt;&gt;"",R96&lt;=TODAY()+Parâmetros!$B$13),AND(S96&lt;&gt;"",S96&lt;=TODAY()+Parâmetros!$B$13)),"RENOVAR","OK"))</f>
        <v/>
      </c>
      <c r="U96" s="12" t="str">
        <f aca="false">IF(A96="","",COUNTIF(Contratações!$I$5:$I$504,A96))</f>
        <v/>
      </c>
      <c r="V96" s="15" t="str">
        <f aca="false">IF(A96="","",SUMIF(Contratações!$I$5:$I$504,A96,Contratações!$N$5:$N$504))</f>
        <v/>
      </c>
      <c r="W96" s="16" t="str">
        <f aca="false">IF(A96="","",IFERROR(AVERAGEIFS(Contratações!$R$5:$R$504,Contratações!$I$5:$I$504,A96,Contratações!$R$5:$R$504,"&gt;0"),""))</f>
        <v/>
      </c>
      <c r="X96" s="14" t="str">
        <f aca="false">IF(A96="","",IF(U96=0,"nunca",_xlfn.MAXIFS(Contratações!$O$5:$O$504,Contratações!$I$5:$I$504,A96)))</f>
        <v/>
      </c>
      <c r="Y96" s="11"/>
    </row>
    <row r="97" customFormat="false" ht="15" hidden="false" customHeight="false" outlineLevel="0" collapsed="false">
      <c r="A97" s="11"/>
      <c r="B97" s="11"/>
      <c r="C97" s="11"/>
      <c r="D97" s="11"/>
      <c r="E97" s="12" t="str">
        <f aca="false">IF(D97="","",IF(OR(D97="MEI",D97="ME",D97="EPP",D97="Cooperativa",D97="PF autônoma"),"S","N"))</f>
        <v/>
      </c>
      <c r="F97" s="11"/>
      <c r="G97" s="11"/>
      <c r="H97" s="11"/>
      <c r="I97" s="11"/>
      <c r="J97" s="11"/>
      <c r="K97" s="11"/>
      <c r="L97" s="11"/>
      <c r="M97" s="13"/>
      <c r="N97" s="14" t="str">
        <f aca="false">IF(M97="","",EDATE(M97,Parâmetros!$B$12))</f>
        <v/>
      </c>
      <c r="O97" s="11"/>
      <c r="P97" s="13"/>
      <c r="Q97" s="13"/>
      <c r="R97" s="13"/>
      <c r="S97" s="13"/>
      <c r="T97" s="12" t="str">
        <f aca="true">IF(A97="","",IF(OR(AND(P97&lt;&gt;"",P97&lt;=TODAY()+Parâmetros!$B$13),AND(Q97&lt;&gt;"",Q97&lt;=TODAY()+Parâmetros!$B$13),AND(R97&lt;&gt;"",R97&lt;=TODAY()+Parâmetros!$B$13),AND(S97&lt;&gt;"",S97&lt;=TODAY()+Parâmetros!$B$13)),"RENOVAR","OK"))</f>
        <v/>
      </c>
      <c r="U97" s="12" t="str">
        <f aca="false">IF(A97="","",COUNTIF(Contratações!$I$5:$I$504,A97))</f>
        <v/>
      </c>
      <c r="V97" s="15" t="str">
        <f aca="false">IF(A97="","",SUMIF(Contratações!$I$5:$I$504,A97,Contratações!$N$5:$N$504))</f>
        <v/>
      </c>
      <c r="W97" s="16" t="str">
        <f aca="false">IF(A97="","",IFERROR(AVERAGEIFS(Contratações!$R$5:$R$504,Contratações!$I$5:$I$504,A97,Contratações!$R$5:$R$504,"&gt;0"),""))</f>
        <v/>
      </c>
      <c r="X97" s="14" t="str">
        <f aca="false">IF(A97="","",IF(U97=0,"nunca",_xlfn.MAXIFS(Contratações!$O$5:$O$504,Contratações!$I$5:$I$504,A97)))</f>
        <v/>
      </c>
      <c r="Y97" s="11"/>
    </row>
    <row r="98" customFormat="false" ht="15" hidden="false" customHeight="false" outlineLevel="0" collapsed="false">
      <c r="A98" s="11"/>
      <c r="B98" s="11"/>
      <c r="C98" s="11"/>
      <c r="D98" s="11"/>
      <c r="E98" s="12" t="str">
        <f aca="false">IF(D98="","",IF(OR(D98="MEI",D98="ME",D98="EPP",D98="Cooperativa",D98="PF autônoma"),"S","N"))</f>
        <v/>
      </c>
      <c r="F98" s="11"/>
      <c r="G98" s="11"/>
      <c r="H98" s="11"/>
      <c r="I98" s="11"/>
      <c r="J98" s="11"/>
      <c r="K98" s="11"/>
      <c r="L98" s="11"/>
      <c r="M98" s="13"/>
      <c r="N98" s="14" t="str">
        <f aca="false">IF(M98="","",EDATE(M98,Parâmetros!$B$12))</f>
        <v/>
      </c>
      <c r="O98" s="11"/>
      <c r="P98" s="13"/>
      <c r="Q98" s="13"/>
      <c r="R98" s="13"/>
      <c r="S98" s="13"/>
      <c r="T98" s="12" t="str">
        <f aca="true">IF(A98="","",IF(OR(AND(P98&lt;&gt;"",P98&lt;=TODAY()+Parâmetros!$B$13),AND(Q98&lt;&gt;"",Q98&lt;=TODAY()+Parâmetros!$B$13),AND(R98&lt;&gt;"",R98&lt;=TODAY()+Parâmetros!$B$13),AND(S98&lt;&gt;"",S98&lt;=TODAY()+Parâmetros!$B$13)),"RENOVAR","OK"))</f>
        <v/>
      </c>
      <c r="U98" s="12" t="str">
        <f aca="false">IF(A98="","",COUNTIF(Contratações!$I$5:$I$504,A98))</f>
        <v/>
      </c>
      <c r="V98" s="15" t="str">
        <f aca="false">IF(A98="","",SUMIF(Contratações!$I$5:$I$504,A98,Contratações!$N$5:$N$504))</f>
        <v/>
      </c>
      <c r="W98" s="16" t="str">
        <f aca="false">IF(A98="","",IFERROR(AVERAGEIFS(Contratações!$R$5:$R$504,Contratações!$I$5:$I$504,A98,Contratações!$R$5:$R$504,"&gt;0"),""))</f>
        <v/>
      </c>
      <c r="X98" s="14" t="str">
        <f aca="false">IF(A98="","",IF(U98=0,"nunca",_xlfn.MAXIFS(Contratações!$O$5:$O$504,Contratações!$I$5:$I$504,A98)))</f>
        <v/>
      </c>
      <c r="Y98" s="11"/>
    </row>
    <row r="99" customFormat="false" ht="15" hidden="false" customHeight="false" outlineLevel="0" collapsed="false">
      <c r="A99" s="11"/>
      <c r="B99" s="11"/>
      <c r="C99" s="11"/>
      <c r="D99" s="11"/>
      <c r="E99" s="12" t="str">
        <f aca="false">IF(D99="","",IF(OR(D99="MEI",D99="ME",D99="EPP",D99="Cooperativa",D99="PF autônoma"),"S","N"))</f>
        <v/>
      </c>
      <c r="F99" s="11"/>
      <c r="G99" s="11"/>
      <c r="H99" s="11"/>
      <c r="I99" s="11"/>
      <c r="J99" s="11"/>
      <c r="K99" s="11"/>
      <c r="L99" s="11"/>
      <c r="M99" s="13"/>
      <c r="N99" s="14" t="str">
        <f aca="false">IF(M99="","",EDATE(M99,Parâmetros!$B$12))</f>
        <v/>
      </c>
      <c r="O99" s="11"/>
      <c r="P99" s="13"/>
      <c r="Q99" s="13"/>
      <c r="R99" s="13"/>
      <c r="S99" s="13"/>
      <c r="T99" s="12" t="str">
        <f aca="true">IF(A99="","",IF(OR(AND(P99&lt;&gt;"",P99&lt;=TODAY()+Parâmetros!$B$13),AND(Q99&lt;&gt;"",Q99&lt;=TODAY()+Parâmetros!$B$13),AND(R99&lt;&gt;"",R99&lt;=TODAY()+Parâmetros!$B$13),AND(S99&lt;&gt;"",S99&lt;=TODAY()+Parâmetros!$B$13)),"RENOVAR","OK"))</f>
        <v/>
      </c>
      <c r="U99" s="12" t="str">
        <f aca="false">IF(A99="","",COUNTIF(Contratações!$I$5:$I$504,A99))</f>
        <v/>
      </c>
      <c r="V99" s="15" t="str">
        <f aca="false">IF(A99="","",SUMIF(Contratações!$I$5:$I$504,A99,Contratações!$N$5:$N$504))</f>
        <v/>
      </c>
      <c r="W99" s="16" t="str">
        <f aca="false">IF(A99="","",IFERROR(AVERAGEIFS(Contratações!$R$5:$R$504,Contratações!$I$5:$I$504,A99,Contratações!$R$5:$R$504,"&gt;0"),""))</f>
        <v/>
      </c>
      <c r="X99" s="14" t="str">
        <f aca="false">IF(A99="","",IF(U99=0,"nunca",_xlfn.MAXIFS(Contratações!$O$5:$O$504,Contratações!$I$5:$I$504,A99)))</f>
        <v/>
      </c>
      <c r="Y99" s="11"/>
    </row>
    <row r="100" customFormat="false" ht="15" hidden="false" customHeight="false" outlineLevel="0" collapsed="false">
      <c r="A100" s="11"/>
      <c r="B100" s="11"/>
      <c r="C100" s="11"/>
      <c r="D100" s="11"/>
      <c r="E100" s="12" t="str">
        <f aca="false">IF(D100="","",IF(OR(D100="MEI",D100="ME",D100="EPP",D100="Cooperativa",D100="PF autônoma"),"S","N"))</f>
        <v/>
      </c>
      <c r="F100" s="11"/>
      <c r="G100" s="11"/>
      <c r="H100" s="11"/>
      <c r="I100" s="11"/>
      <c r="J100" s="11"/>
      <c r="K100" s="11"/>
      <c r="L100" s="11"/>
      <c r="M100" s="13"/>
      <c r="N100" s="14" t="str">
        <f aca="false">IF(M100="","",EDATE(M100,Parâmetros!$B$12))</f>
        <v/>
      </c>
      <c r="O100" s="11"/>
      <c r="P100" s="13"/>
      <c r="Q100" s="13"/>
      <c r="R100" s="13"/>
      <c r="S100" s="13"/>
      <c r="T100" s="12" t="str">
        <f aca="true">IF(A100="","",IF(OR(AND(P100&lt;&gt;"",P100&lt;=TODAY()+Parâmetros!$B$13),AND(Q100&lt;&gt;"",Q100&lt;=TODAY()+Parâmetros!$B$13),AND(R100&lt;&gt;"",R100&lt;=TODAY()+Parâmetros!$B$13),AND(S100&lt;&gt;"",S100&lt;=TODAY()+Parâmetros!$B$13)),"RENOVAR","OK"))</f>
        <v/>
      </c>
      <c r="U100" s="12" t="str">
        <f aca="false">IF(A100="","",COUNTIF(Contratações!$I$5:$I$504,A100))</f>
        <v/>
      </c>
      <c r="V100" s="15" t="str">
        <f aca="false">IF(A100="","",SUMIF(Contratações!$I$5:$I$504,A100,Contratações!$N$5:$N$504))</f>
        <v/>
      </c>
      <c r="W100" s="16" t="str">
        <f aca="false">IF(A100="","",IFERROR(AVERAGEIFS(Contratações!$R$5:$R$504,Contratações!$I$5:$I$504,A100,Contratações!$R$5:$R$504,"&gt;0"),""))</f>
        <v/>
      </c>
      <c r="X100" s="14" t="str">
        <f aca="false">IF(A100="","",IF(U100=0,"nunca",_xlfn.MAXIFS(Contratações!$O$5:$O$504,Contratações!$I$5:$I$504,A100)))</f>
        <v/>
      </c>
      <c r="Y100" s="11"/>
    </row>
    <row r="101" customFormat="false" ht="15" hidden="false" customHeight="false" outlineLevel="0" collapsed="false">
      <c r="A101" s="11"/>
      <c r="B101" s="11"/>
      <c r="C101" s="11"/>
      <c r="D101" s="11"/>
      <c r="E101" s="12" t="str">
        <f aca="false">IF(D101="","",IF(OR(D101="MEI",D101="ME",D101="EPP",D101="Cooperativa",D101="PF autônoma"),"S","N"))</f>
        <v/>
      </c>
      <c r="F101" s="11"/>
      <c r="G101" s="11"/>
      <c r="H101" s="11"/>
      <c r="I101" s="11"/>
      <c r="J101" s="11"/>
      <c r="K101" s="11"/>
      <c r="L101" s="11"/>
      <c r="M101" s="13"/>
      <c r="N101" s="14" t="str">
        <f aca="false">IF(M101="","",EDATE(M101,Parâmetros!$B$12))</f>
        <v/>
      </c>
      <c r="O101" s="11"/>
      <c r="P101" s="13"/>
      <c r="Q101" s="13"/>
      <c r="R101" s="13"/>
      <c r="S101" s="13"/>
      <c r="T101" s="12" t="str">
        <f aca="true">IF(A101="","",IF(OR(AND(P101&lt;&gt;"",P101&lt;=TODAY()+Parâmetros!$B$13),AND(Q101&lt;&gt;"",Q101&lt;=TODAY()+Parâmetros!$B$13),AND(R101&lt;&gt;"",R101&lt;=TODAY()+Parâmetros!$B$13),AND(S101&lt;&gt;"",S101&lt;=TODAY()+Parâmetros!$B$13)),"RENOVAR","OK"))</f>
        <v/>
      </c>
      <c r="U101" s="12" t="str">
        <f aca="false">IF(A101="","",COUNTIF(Contratações!$I$5:$I$504,A101))</f>
        <v/>
      </c>
      <c r="V101" s="15" t="str">
        <f aca="false">IF(A101="","",SUMIF(Contratações!$I$5:$I$504,A101,Contratações!$N$5:$N$504))</f>
        <v/>
      </c>
      <c r="W101" s="16" t="str">
        <f aca="false">IF(A101="","",IFERROR(AVERAGEIFS(Contratações!$R$5:$R$504,Contratações!$I$5:$I$504,A101,Contratações!$R$5:$R$504,"&gt;0"),""))</f>
        <v/>
      </c>
      <c r="X101" s="14" t="str">
        <f aca="false">IF(A101="","",IF(U101=0,"nunca",_xlfn.MAXIFS(Contratações!$O$5:$O$504,Contratações!$I$5:$I$504,A101)))</f>
        <v/>
      </c>
      <c r="Y101" s="11"/>
    </row>
    <row r="102" customFormat="false" ht="15" hidden="false" customHeight="false" outlineLevel="0" collapsed="false">
      <c r="A102" s="11"/>
      <c r="B102" s="11"/>
      <c r="C102" s="11"/>
      <c r="D102" s="11"/>
      <c r="E102" s="12" t="str">
        <f aca="false">IF(D102="","",IF(OR(D102="MEI",D102="ME",D102="EPP",D102="Cooperativa",D102="PF autônoma"),"S","N"))</f>
        <v/>
      </c>
      <c r="F102" s="11"/>
      <c r="G102" s="11"/>
      <c r="H102" s="11"/>
      <c r="I102" s="11"/>
      <c r="J102" s="11"/>
      <c r="K102" s="11"/>
      <c r="L102" s="11"/>
      <c r="M102" s="13"/>
      <c r="N102" s="14" t="str">
        <f aca="false">IF(M102="","",EDATE(M102,Parâmetros!$B$12))</f>
        <v/>
      </c>
      <c r="O102" s="11"/>
      <c r="P102" s="13"/>
      <c r="Q102" s="13"/>
      <c r="R102" s="13"/>
      <c r="S102" s="13"/>
      <c r="T102" s="12" t="str">
        <f aca="true">IF(A102="","",IF(OR(AND(P102&lt;&gt;"",P102&lt;=TODAY()+Parâmetros!$B$13),AND(Q102&lt;&gt;"",Q102&lt;=TODAY()+Parâmetros!$B$13),AND(R102&lt;&gt;"",R102&lt;=TODAY()+Parâmetros!$B$13),AND(S102&lt;&gt;"",S102&lt;=TODAY()+Parâmetros!$B$13)),"RENOVAR","OK"))</f>
        <v/>
      </c>
      <c r="U102" s="12" t="str">
        <f aca="false">IF(A102="","",COUNTIF(Contratações!$I$5:$I$504,A102))</f>
        <v/>
      </c>
      <c r="V102" s="15" t="str">
        <f aca="false">IF(A102="","",SUMIF(Contratações!$I$5:$I$504,A102,Contratações!$N$5:$N$504))</f>
        <v/>
      </c>
      <c r="W102" s="16" t="str">
        <f aca="false">IF(A102="","",IFERROR(AVERAGEIFS(Contratações!$R$5:$R$504,Contratações!$I$5:$I$504,A102,Contratações!$R$5:$R$504,"&gt;0"),""))</f>
        <v/>
      </c>
      <c r="X102" s="14" t="str">
        <f aca="false">IF(A102="","",IF(U102=0,"nunca",_xlfn.MAXIFS(Contratações!$O$5:$O$504,Contratações!$I$5:$I$504,A102)))</f>
        <v/>
      </c>
      <c r="Y102" s="11"/>
    </row>
    <row r="103" customFormat="false" ht="15" hidden="false" customHeight="false" outlineLevel="0" collapsed="false">
      <c r="A103" s="11"/>
      <c r="B103" s="11"/>
      <c r="C103" s="11"/>
      <c r="D103" s="11"/>
      <c r="E103" s="12" t="str">
        <f aca="false">IF(D103="","",IF(OR(D103="MEI",D103="ME",D103="EPP",D103="Cooperativa",D103="PF autônoma"),"S","N"))</f>
        <v/>
      </c>
      <c r="F103" s="11"/>
      <c r="G103" s="11"/>
      <c r="H103" s="11"/>
      <c r="I103" s="11"/>
      <c r="J103" s="11"/>
      <c r="K103" s="11"/>
      <c r="L103" s="11"/>
      <c r="M103" s="13"/>
      <c r="N103" s="14" t="str">
        <f aca="false">IF(M103="","",EDATE(M103,Parâmetros!$B$12))</f>
        <v/>
      </c>
      <c r="O103" s="11"/>
      <c r="P103" s="13"/>
      <c r="Q103" s="13"/>
      <c r="R103" s="13"/>
      <c r="S103" s="13"/>
      <c r="T103" s="12" t="str">
        <f aca="true">IF(A103="","",IF(OR(AND(P103&lt;&gt;"",P103&lt;=TODAY()+Parâmetros!$B$13),AND(Q103&lt;&gt;"",Q103&lt;=TODAY()+Parâmetros!$B$13),AND(R103&lt;&gt;"",R103&lt;=TODAY()+Parâmetros!$B$13),AND(S103&lt;&gt;"",S103&lt;=TODAY()+Parâmetros!$B$13)),"RENOVAR","OK"))</f>
        <v/>
      </c>
      <c r="U103" s="12" t="str">
        <f aca="false">IF(A103="","",COUNTIF(Contratações!$I$5:$I$504,A103))</f>
        <v/>
      </c>
      <c r="V103" s="15" t="str">
        <f aca="false">IF(A103="","",SUMIF(Contratações!$I$5:$I$504,A103,Contratações!$N$5:$N$504))</f>
        <v/>
      </c>
      <c r="W103" s="16" t="str">
        <f aca="false">IF(A103="","",IFERROR(AVERAGEIFS(Contratações!$R$5:$R$504,Contratações!$I$5:$I$504,A103,Contratações!$R$5:$R$504,"&gt;0"),""))</f>
        <v/>
      </c>
      <c r="X103" s="14" t="str">
        <f aca="false">IF(A103="","",IF(U103=0,"nunca",_xlfn.MAXIFS(Contratações!$O$5:$O$504,Contratações!$I$5:$I$504,A103)))</f>
        <v/>
      </c>
      <c r="Y103" s="11"/>
    </row>
    <row r="104" customFormat="false" ht="15" hidden="false" customHeight="false" outlineLevel="0" collapsed="false">
      <c r="A104" s="11"/>
      <c r="B104" s="11"/>
      <c r="C104" s="11"/>
      <c r="D104" s="11"/>
      <c r="E104" s="12" t="str">
        <f aca="false">IF(D104="","",IF(OR(D104="MEI",D104="ME",D104="EPP",D104="Cooperativa",D104="PF autônoma"),"S","N"))</f>
        <v/>
      </c>
      <c r="F104" s="11"/>
      <c r="G104" s="11"/>
      <c r="H104" s="11"/>
      <c r="I104" s="11"/>
      <c r="J104" s="11"/>
      <c r="K104" s="11"/>
      <c r="L104" s="11"/>
      <c r="M104" s="13"/>
      <c r="N104" s="14" t="str">
        <f aca="false">IF(M104="","",EDATE(M104,Parâmetros!$B$12))</f>
        <v/>
      </c>
      <c r="O104" s="11"/>
      <c r="P104" s="13"/>
      <c r="Q104" s="13"/>
      <c r="R104" s="13"/>
      <c r="S104" s="13"/>
      <c r="T104" s="12" t="str">
        <f aca="true">IF(A104="","",IF(OR(AND(P104&lt;&gt;"",P104&lt;=TODAY()+Parâmetros!$B$13),AND(Q104&lt;&gt;"",Q104&lt;=TODAY()+Parâmetros!$B$13),AND(R104&lt;&gt;"",R104&lt;=TODAY()+Parâmetros!$B$13),AND(S104&lt;&gt;"",S104&lt;=TODAY()+Parâmetros!$B$13)),"RENOVAR","OK"))</f>
        <v/>
      </c>
      <c r="U104" s="12" t="str">
        <f aca="false">IF(A104="","",COUNTIF(Contratações!$I$5:$I$504,A104))</f>
        <v/>
      </c>
      <c r="V104" s="15" t="str">
        <f aca="false">IF(A104="","",SUMIF(Contratações!$I$5:$I$504,A104,Contratações!$N$5:$N$504))</f>
        <v/>
      </c>
      <c r="W104" s="16" t="str">
        <f aca="false">IF(A104="","",IFERROR(AVERAGEIFS(Contratações!$R$5:$R$504,Contratações!$I$5:$I$504,A104,Contratações!$R$5:$R$504,"&gt;0"),""))</f>
        <v/>
      </c>
      <c r="X104" s="14" t="str">
        <f aca="false">IF(A104="","",IF(U104=0,"nunca",_xlfn.MAXIFS(Contratações!$O$5:$O$504,Contratações!$I$5:$I$504,A104)))</f>
        <v/>
      </c>
      <c r="Y104" s="11"/>
    </row>
    <row r="105" customFormat="false" ht="15" hidden="false" customHeight="false" outlineLevel="0" collapsed="false">
      <c r="A105" s="11"/>
      <c r="B105" s="11"/>
      <c r="C105" s="11"/>
      <c r="D105" s="11"/>
      <c r="E105" s="12" t="str">
        <f aca="false">IF(D105="","",IF(OR(D105="MEI",D105="ME",D105="EPP",D105="Cooperativa",D105="PF autônoma"),"S","N"))</f>
        <v/>
      </c>
      <c r="F105" s="11"/>
      <c r="G105" s="11"/>
      <c r="H105" s="11"/>
      <c r="I105" s="11"/>
      <c r="J105" s="11"/>
      <c r="K105" s="11"/>
      <c r="L105" s="11"/>
      <c r="M105" s="13"/>
      <c r="N105" s="14" t="str">
        <f aca="false">IF(M105="","",EDATE(M105,Parâmetros!$B$12))</f>
        <v/>
      </c>
      <c r="O105" s="11"/>
      <c r="P105" s="13"/>
      <c r="Q105" s="13"/>
      <c r="R105" s="13"/>
      <c r="S105" s="13"/>
      <c r="T105" s="12" t="str">
        <f aca="true">IF(A105="","",IF(OR(AND(P105&lt;&gt;"",P105&lt;=TODAY()+Parâmetros!$B$13),AND(Q105&lt;&gt;"",Q105&lt;=TODAY()+Parâmetros!$B$13),AND(R105&lt;&gt;"",R105&lt;=TODAY()+Parâmetros!$B$13),AND(S105&lt;&gt;"",S105&lt;=TODAY()+Parâmetros!$B$13)),"RENOVAR","OK"))</f>
        <v/>
      </c>
      <c r="U105" s="12" t="str">
        <f aca="false">IF(A105="","",COUNTIF(Contratações!$I$5:$I$504,A105))</f>
        <v/>
      </c>
      <c r="V105" s="15" t="str">
        <f aca="false">IF(A105="","",SUMIF(Contratações!$I$5:$I$504,A105,Contratações!$N$5:$N$504))</f>
        <v/>
      </c>
      <c r="W105" s="16" t="str">
        <f aca="false">IF(A105="","",IFERROR(AVERAGEIFS(Contratações!$R$5:$R$504,Contratações!$I$5:$I$504,A105,Contratações!$R$5:$R$504,"&gt;0"),""))</f>
        <v/>
      </c>
      <c r="X105" s="14" t="str">
        <f aca="false">IF(A105="","",IF(U105=0,"nunca",_xlfn.MAXIFS(Contratações!$O$5:$O$504,Contratações!$I$5:$I$504,A105)))</f>
        <v/>
      </c>
      <c r="Y105" s="11"/>
    </row>
    <row r="106" customFormat="false" ht="15" hidden="false" customHeight="false" outlineLevel="0" collapsed="false">
      <c r="A106" s="11"/>
      <c r="B106" s="11"/>
      <c r="C106" s="11"/>
      <c r="D106" s="11"/>
      <c r="E106" s="12" t="str">
        <f aca="false">IF(D106="","",IF(OR(D106="MEI",D106="ME",D106="EPP",D106="Cooperativa",D106="PF autônoma"),"S","N"))</f>
        <v/>
      </c>
      <c r="F106" s="11"/>
      <c r="G106" s="11"/>
      <c r="H106" s="11"/>
      <c r="I106" s="11"/>
      <c r="J106" s="11"/>
      <c r="K106" s="11"/>
      <c r="L106" s="11"/>
      <c r="M106" s="13"/>
      <c r="N106" s="14" t="str">
        <f aca="false">IF(M106="","",EDATE(M106,Parâmetros!$B$12))</f>
        <v/>
      </c>
      <c r="O106" s="11"/>
      <c r="P106" s="13"/>
      <c r="Q106" s="13"/>
      <c r="R106" s="13"/>
      <c r="S106" s="13"/>
      <c r="T106" s="12" t="str">
        <f aca="true">IF(A106="","",IF(OR(AND(P106&lt;&gt;"",P106&lt;=TODAY()+Parâmetros!$B$13),AND(Q106&lt;&gt;"",Q106&lt;=TODAY()+Parâmetros!$B$13),AND(R106&lt;&gt;"",R106&lt;=TODAY()+Parâmetros!$B$13),AND(S106&lt;&gt;"",S106&lt;=TODAY()+Parâmetros!$B$13)),"RENOVAR","OK"))</f>
        <v/>
      </c>
      <c r="U106" s="12" t="str">
        <f aca="false">IF(A106="","",COUNTIF(Contratações!$I$5:$I$504,A106))</f>
        <v/>
      </c>
      <c r="V106" s="15" t="str">
        <f aca="false">IF(A106="","",SUMIF(Contratações!$I$5:$I$504,A106,Contratações!$N$5:$N$504))</f>
        <v/>
      </c>
      <c r="W106" s="16" t="str">
        <f aca="false">IF(A106="","",IFERROR(AVERAGEIFS(Contratações!$R$5:$R$504,Contratações!$I$5:$I$504,A106,Contratações!$R$5:$R$504,"&gt;0"),""))</f>
        <v/>
      </c>
      <c r="X106" s="14" t="str">
        <f aca="false">IF(A106="","",IF(U106=0,"nunca",_xlfn.MAXIFS(Contratações!$O$5:$O$504,Contratações!$I$5:$I$504,A106)))</f>
        <v/>
      </c>
      <c r="Y106" s="11"/>
    </row>
    <row r="107" customFormat="false" ht="15" hidden="false" customHeight="false" outlineLevel="0" collapsed="false">
      <c r="A107" s="11"/>
      <c r="B107" s="11"/>
      <c r="C107" s="11"/>
      <c r="D107" s="11"/>
      <c r="E107" s="12" t="str">
        <f aca="false">IF(D107="","",IF(OR(D107="MEI",D107="ME",D107="EPP",D107="Cooperativa",D107="PF autônoma"),"S","N"))</f>
        <v/>
      </c>
      <c r="F107" s="11"/>
      <c r="G107" s="11"/>
      <c r="H107" s="11"/>
      <c r="I107" s="11"/>
      <c r="J107" s="11"/>
      <c r="K107" s="11"/>
      <c r="L107" s="11"/>
      <c r="M107" s="13"/>
      <c r="N107" s="14" t="str">
        <f aca="false">IF(M107="","",EDATE(M107,Parâmetros!$B$12))</f>
        <v/>
      </c>
      <c r="O107" s="11"/>
      <c r="P107" s="13"/>
      <c r="Q107" s="13"/>
      <c r="R107" s="13"/>
      <c r="S107" s="13"/>
      <c r="T107" s="12" t="str">
        <f aca="true">IF(A107="","",IF(OR(AND(P107&lt;&gt;"",P107&lt;=TODAY()+Parâmetros!$B$13),AND(Q107&lt;&gt;"",Q107&lt;=TODAY()+Parâmetros!$B$13),AND(R107&lt;&gt;"",R107&lt;=TODAY()+Parâmetros!$B$13),AND(S107&lt;&gt;"",S107&lt;=TODAY()+Parâmetros!$B$13)),"RENOVAR","OK"))</f>
        <v/>
      </c>
      <c r="U107" s="12" t="str">
        <f aca="false">IF(A107="","",COUNTIF(Contratações!$I$5:$I$504,A107))</f>
        <v/>
      </c>
      <c r="V107" s="15" t="str">
        <f aca="false">IF(A107="","",SUMIF(Contratações!$I$5:$I$504,A107,Contratações!$N$5:$N$504))</f>
        <v/>
      </c>
      <c r="W107" s="16" t="str">
        <f aca="false">IF(A107="","",IFERROR(AVERAGEIFS(Contratações!$R$5:$R$504,Contratações!$I$5:$I$504,A107,Contratações!$R$5:$R$504,"&gt;0"),""))</f>
        <v/>
      </c>
      <c r="X107" s="14" t="str">
        <f aca="false">IF(A107="","",IF(U107=0,"nunca",_xlfn.MAXIFS(Contratações!$O$5:$O$504,Contratações!$I$5:$I$504,A107)))</f>
        <v/>
      </c>
      <c r="Y107" s="11"/>
    </row>
    <row r="108" customFormat="false" ht="15" hidden="false" customHeight="false" outlineLevel="0" collapsed="false">
      <c r="A108" s="11"/>
      <c r="B108" s="11"/>
      <c r="C108" s="11"/>
      <c r="D108" s="11"/>
      <c r="E108" s="12" t="str">
        <f aca="false">IF(D108="","",IF(OR(D108="MEI",D108="ME",D108="EPP",D108="Cooperativa",D108="PF autônoma"),"S","N"))</f>
        <v/>
      </c>
      <c r="F108" s="11"/>
      <c r="G108" s="11"/>
      <c r="H108" s="11"/>
      <c r="I108" s="11"/>
      <c r="J108" s="11"/>
      <c r="K108" s="11"/>
      <c r="L108" s="11"/>
      <c r="M108" s="13"/>
      <c r="N108" s="14" t="str">
        <f aca="false">IF(M108="","",EDATE(M108,Parâmetros!$B$12))</f>
        <v/>
      </c>
      <c r="O108" s="11"/>
      <c r="P108" s="13"/>
      <c r="Q108" s="13"/>
      <c r="R108" s="13"/>
      <c r="S108" s="13"/>
      <c r="T108" s="12" t="str">
        <f aca="true">IF(A108="","",IF(OR(AND(P108&lt;&gt;"",P108&lt;=TODAY()+Parâmetros!$B$13),AND(Q108&lt;&gt;"",Q108&lt;=TODAY()+Parâmetros!$B$13),AND(R108&lt;&gt;"",R108&lt;=TODAY()+Parâmetros!$B$13),AND(S108&lt;&gt;"",S108&lt;=TODAY()+Parâmetros!$B$13)),"RENOVAR","OK"))</f>
        <v/>
      </c>
      <c r="U108" s="12" t="str">
        <f aca="false">IF(A108="","",COUNTIF(Contratações!$I$5:$I$504,A108))</f>
        <v/>
      </c>
      <c r="V108" s="15" t="str">
        <f aca="false">IF(A108="","",SUMIF(Contratações!$I$5:$I$504,A108,Contratações!$N$5:$N$504))</f>
        <v/>
      </c>
      <c r="W108" s="16" t="str">
        <f aca="false">IF(A108="","",IFERROR(AVERAGEIFS(Contratações!$R$5:$R$504,Contratações!$I$5:$I$504,A108,Contratações!$R$5:$R$504,"&gt;0"),""))</f>
        <v/>
      </c>
      <c r="X108" s="14" t="str">
        <f aca="false">IF(A108="","",IF(U108=0,"nunca",_xlfn.MAXIFS(Contratações!$O$5:$O$504,Contratações!$I$5:$I$504,A108)))</f>
        <v/>
      </c>
      <c r="Y108" s="11"/>
    </row>
    <row r="109" customFormat="false" ht="15" hidden="false" customHeight="false" outlineLevel="0" collapsed="false">
      <c r="A109" s="11"/>
      <c r="B109" s="11"/>
      <c r="C109" s="11"/>
      <c r="D109" s="11"/>
      <c r="E109" s="12" t="str">
        <f aca="false">IF(D109="","",IF(OR(D109="MEI",D109="ME",D109="EPP",D109="Cooperativa",D109="PF autônoma"),"S","N"))</f>
        <v/>
      </c>
      <c r="F109" s="11"/>
      <c r="G109" s="11"/>
      <c r="H109" s="11"/>
      <c r="I109" s="11"/>
      <c r="J109" s="11"/>
      <c r="K109" s="11"/>
      <c r="L109" s="11"/>
      <c r="M109" s="13"/>
      <c r="N109" s="14" t="str">
        <f aca="false">IF(M109="","",EDATE(M109,Parâmetros!$B$12))</f>
        <v/>
      </c>
      <c r="O109" s="11"/>
      <c r="P109" s="13"/>
      <c r="Q109" s="13"/>
      <c r="R109" s="13"/>
      <c r="S109" s="13"/>
      <c r="T109" s="12" t="str">
        <f aca="true">IF(A109="","",IF(OR(AND(P109&lt;&gt;"",P109&lt;=TODAY()+Parâmetros!$B$13),AND(Q109&lt;&gt;"",Q109&lt;=TODAY()+Parâmetros!$B$13),AND(R109&lt;&gt;"",R109&lt;=TODAY()+Parâmetros!$B$13),AND(S109&lt;&gt;"",S109&lt;=TODAY()+Parâmetros!$B$13)),"RENOVAR","OK"))</f>
        <v/>
      </c>
      <c r="U109" s="12" t="str">
        <f aca="false">IF(A109="","",COUNTIF(Contratações!$I$5:$I$504,A109))</f>
        <v/>
      </c>
      <c r="V109" s="15" t="str">
        <f aca="false">IF(A109="","",SUMIF(Contratações!$I$5:$I$504,A109,Contratações!$N$5:$N$504))</f>
        <v/>
      </c>
      <c r="W109" s="16" t="str">
        <f aca="false">IF(A109="","",IFERROR(AVERAGEIFS(Contratações!$R$5:$R$504,Contratações!$I$5:$I$504,A109,Contratações!$R$5:$R$504,"&gt;0"),""))</f>
        <v/>
      </c>
      <c r="X109" s="14" t="str">
        <f aca="false">IF(A109="","",IF(U109=0,"nunca",_xlfn.MAXIFS(Contratações!$O$5:$O$504,Contratações!$I$5:$I$504,A109)))</f>
        <v/>
      </c>
      <c r="Y109" s="11"/>
    </row>
    <row r="110" customFormat="false" ht="15" hidden="false" customHeight="false" outlineLevel="0" collapsed="false">
      <c r="A110" s="11"/>
      <c r="B110" s="11"/>
      <c r="C110" s="11"/>
      <c r="D110" s="11"/>
      <c r="E110" s="12" t="str">
        <f aca="false">IF(D110="","",IF(OR(D110="MEI",D110="ME",D110="EPP",D110="Cooperativa",D110="PF autônoma"),"S","N"))</f>
        <v/>
      </c>
      <c r="F110" s="11"/>
      <c r="G110" s="11"/>
      <c r="H110" s="11"/>
      <c r="I110" s="11"/>
      <c r="J110" s="11"/>
      <c r="K110" s="11"/>
      <c r="L110" s="11"/>
      <c r="M110" s="13"/>
      <c r="N110" s="14" t="str">
        <f aca="false">IF(M110="","",EDATE(M110,Parâmetros!$B$12))</f>
        <v/>
      </c>
      <c r="O110" s="11"/>
      <c r="P110" s="13"/>
      <c r="Q110" s="13"/>
      <c r="R110" s="13"/>
      <c r="S110" s="13"/>
      <c r="T110" s="12" t="str">
        <f aca="true">IF(A110="","",IF(OR(AND(P110&lt;&gt;"",P110&lt;=TODAY()+Parâmetros!$B$13),AND(Q110&lt;&gt;"",Q110&lt;=TODAY()+Parâmetros!$B$13),AND(R110&lt;&gt;"",R110&lt;=TODAY()+Parâmetros!$B$13),AND(S110&lt;&gt;"",S110&lt;=TODAY()+Parâmetros!$B$13)),"RENOVAR","OK"))</f>
        <v/>
      </c>
      <c r="U110" s="12" t="str">
        <f aca="false">IF(A110="","",COUNTIF(Contratações!$I$5:$I$504,A110))</f>
        <v/>
      </c>
      <c r="V110" s="15" t="str">
        <f aca="false">IF(A110="","",SUMIF(Contratações!$I$5:$I$504,A110,Contratações!$N$5:$N$504))</f>
        <v/>
      </c>
      <c r="W110" s="16" t="str">
        <f aca="false">IF(A110="","",IFERROR(AVERAGEIFS(Contratações!$R$5:$R$504,Contratações!$I$5:$I$504,A110,Contratações!$R$5:$R$504,"&gt;0"),""))</f>
        <v/>
      </c>
      <c r="X110" s="14" t="str">
        <f aca="false">IF(A110="","",IF(U110=0,"nunca",_xlfn.MAXIFS(Contratações!$O$5:$O$504,Contratações!$I$5:$I$504,A110)))</f>
        <v/>
      </c>
      <c r="Y110" s="11"/>
    </row>
    <row r="111" customFormat="false" ht="15" hidden="false" customHeight="false" outlineLevel="0" collapsed="false">
      <c r="A111" s="11"/>
      <c r="B111" s="11"/>
      <c r="C111" s="11"/>
      <c r="D111" s="11"/>
      <c r="E111" s="12" t="str">
        <f aca="false">IF(D111="","",IF(OR(D111="MEI",D111="ME",D111="EPP",D111="Cooperativa",D111="PF autônoma"),"S","N"))</f>
        <v/>
      </c>
      <c r="F111" s="11"/>
      <c r="G111" s="11"/>
      <c r="H111" s="11"/>
      <c r="I111" s="11"/>
      <c r="J111" s="11"/>
      <c r="K111" s="11"/>
      <c r="L111" s="11"/>
      <c r="M111" s="13"/>
      <c r="N111" s="14" t="str">
        <f aca="false">IF(M111="","",EDATE(M111,Parâmetros!$B$12))</f>
        <v/>
      </c>
      <c r="O111" s="11"/>
      <c r="P111" s="13"/>
      <c r="Q111" s="13"/>
      <c r="R111" s="13"/>
      <c r="S111" s="13"/>
      <c r="T111" s="12" t="str">
        <f aca="true">IF(A111="","",IF(OR(AND(P111&lt;&gt;"",P111&lt;=TODAY()+Parâmetros!$B$13),AND(Q111&lt;&gt;"",Q111&lt;=TODAY()+Parâmetros!$B$13),AND(R111&lt;&gt;"",R111&lt;=TODAY()+Parâmetros!$B$13),AND(S111&lt;&gt;"",S111&lt;=TODAY()+Parâmetros!$B$13)),"RENOVAR","OK"))</f>
        <v/>
      </c>
      <c r="U111" s="12" t="str">
        <f aca="false">IF(A111="","",COUNTIF(Contratações!$I$5:$I$504,A111))</f>
        <v/>
      </c>
      <c r="V111" s="15" t="str">
        <f aca="false">IF(A111="","",SUMIF(Contratações!$I$5:$I$504,A111,Contratações!$N$5:$N$504))</f>
        <v/>
      </c>
      <c r="W111" s="16" t="str">
        <f aca="false">IF(A111="","",IFERROR(AVERAGEIFS(Contratações!$R$5:$R$504,Contratações!$I$5:$I$504,A111,Contratações!$R$5:$R$504,"&gt;0"),""))</f>
        <v/>
      </c>
      <c r="X111" s="14" t="str">
        <f aca="false">IF(A111="","",IF(U111=0,"nunca",_xlfn.MAXIFS(Contratações!$O$5:$O$504,Contratações!$I$5:$I$504,A111)))</f>
        <v/>
      </c>
      <c r="Y111" s="11"/>
    </row>
    <row r="112" customFormat="false" ht="15" hidden="false" customHeight="false" outlineLevel="0" collapsed="false">
      <c r="A112" s="11"/>
      <c r="B112" s="11"/>
      <c r="C112" s="11"/>
      <c r="D112" s="11"/>
      <c r="E112" s="12" t="str">
        <f aca="false">IF(D112="","",IF(OR(D112="MEI",D112="ME",D112="EPP",D112="Cooperativa",D112="PF autônoma"),"S","N"))</f>
        <v/>
      </c>
      <c r="F112" s="11"/>
      <c r="G112" s="11"/>
      <c r="H112" s="11"/>
      <c r="I112" s="11"/>
      <c r="J112" s="11"/>
      <c r="K112" s="11"/>
      <c r="L112" s="11"/>
      <c r="M112" s="13"/>
      <c r="N112" s="14" t="str">
        <f aca="false">IF(M112="","",EDATE(M112,Parâmetros!$B$12))</f>
        <v/>
      </c>
      <c r="O112" s="11"/>
      <c r="P112" s="13"/>
      <c r="Q112" s="13"/>
      <c r="R112" s="13"/>
      <c r="S112" s="13"/>
      <c r="T112" s="12" t="str">
        <f aca="true">IF(A112="","",IF(OR(AND(P112&lt;&gt;"",P112&lt;=TODAY()+Parâmetros!$B$13),AND(Q112&lt;&gt;"",Q112&lt;=TODAY()+Parâmetros!$B$13),AND(R112&lt;&gt;"",R112&lt;=TODAY()+Parâmetros!$B$13),AND(S112&lt;&gt;"",S112&lt;=TODAY()+Parâmetros!$B$13)),"RENOVAR","OK"))</f>
        <v/>
      </c>
      <c r="U112" s="12" t="str">
        <f aca="false">IF(A112="","",COUNTIF(Contratações!$I$5:$I$504,A112))</f>
        <v/>
      </c>
      <c r="V112" s="15" t="str">
        <f aca="false">IF(A112="","",SUMIF(Contratações!$I$5:$I$504,A112,Contratações!$N$5:$N$504))</f>
        <v/>
      </c>
      <c r="W112" s="16" t="str">
        <f aca="false">IF(A112="","",IFERROR(AVERAGEIFS(Contratações!$R$5:$R$504,Contratações!$I$5:$I$504,A112,Contratações!$R$5:$R$504,"&gt;0"),""))</f>
        <v/>
      </c>
      <c r="X112" s="14" t="str">
        <f aca="false">IF(A112="","",IF(U112=0,"nunca",_xlfn.MAXIFS(Contratações!$O$5:$O$504,Contratações!$I$5:$I$504,A112)))</f>
        <v/>
      </c>
      <c r="Y112" s="11"/>
    </row>
    <row r="113" customFormat="false" ht="15" hidden="false" customHeight="false" outlineLevel="0" collapsed="false">
      <c r="A113" s="11"/>
      <c r="B113" s="11"/>
      <c r="C113" s="11"/>
      <c r="D113" s="11"/>
      <c r="E113" s="12" t="str">
        <f aca="false">IF(D113="","",IF(OR(D113="MEI",D113="ME",D113="EPP",D113="Cooperativa",D113="PF autônoma"),"S","N"))</f>
        <v/>
      </c>
      <c r="F113" s="11"/>
      <c r="G113" s="11"/>
      <c r="H113" s="11"/>
      <c r="I113" s="11"/>
      <c r="J113" s="11"/>
      <c r="K113" s="11"/>
      <c r="L113" s="11"/>
      <c r="M113" s="13"/>
      <c r="N113" s="14" t="str">
        <f aca="false">IF(M113="","",EDATE(M113,Parâmetros!$B$12))</f>
        <v/>
      </c>
      <c r="O113" s="11"/>
      <c r="P113" s="13"/>
      <c r="Q113" s="13"/>
      <c r="R113" s="13"/>
      <c r="S113" s="13"/>
      <c r="T113" s="12" t="str">
        <f aca="true">IF(A113="","",IF(OR(AND(P113&lt;&gt;"",P113&lt;=TODAY()+Parâmetros!$B$13),AND(Q113&lt;&gt;"",Q113&lt;=TODAY()+Parâmetros!$B$13),AND(R113&lt;&gt;"",R113&lt;=TODAY()+Parâmetros!$B$13),AND(S113&lt;&gt;"",S113&lt;=TODAY()+Parâmetros!$B$13)),"RENOVAR","OK"))</f>
        <v/>
      </c>
      <c r="U113" s="12" t="str">
        <f aca="false">IF(A113="","",COUNTIF(Contratações!$I$5:$I$504,A113))</f>
        <v/>
      </c>
      <c r="V113" s="15" t="str">
        <f aca="false">IF(A113="","",SUMIF(Contratações!$I$5:$I$504,A113,Contratações!$N$5:$N$504))</f>
        <v/>
      </c>
      <c r="W113" s="16" t="str">
        <f aca="false">IF(A113="","",IFERROR(AVERAGEIFS(Contratações!$R$5:$R$504,Contratações!$I$5:$I$504,A113,Contratações!$R$5:$R$504,"&gt;0"),""))</f>
        <v/>
      </c>
      <c r="X113" s="14" t="str">
        <f aca="false">IF(A113="","",IF(U113=0,"nunca",_xlfn.MAXIFS(Contratações!$O$5:$O$504,Contratações!$I$5:$I$504,A113)))</f>
        <v/>
      </c>
      <c r="Y113" s="11"/>
    </row>
    <row r="114" customFormat="false" ht="15" hidden="false" customHeight="false" outlineLevel="0" collapsed="false">
      <c r="A114" s="11"/>
      <c r="B114" s="11"/>
      <c r="C114" s="11"/>
      <c r="D114" s="11"/>
      <c r="E114" s="12" t="str">
        <f aca="false">IF(D114="","",IF(OR(D114="MEI",D114="ME",D114="EPP",D114="Cooperativa",D114="PF autônoma"),"S","N"))</f>
        <v/>
      </c>
      <c r="F114" s="11"/>
      <c r="G114" s="11"/>
      <c r="H114" s="11"/>
      <c r="I114" s="11"/>
      <c r="J114" s="11"/>
      <c r="K114" s="11"/>
      <c r="L114" s="11"/>
      <c r="M114" s="13"/>
      <c r="N114" s="14" t="str">
        <f aca="false">IF(M114="","",EDATE(M114,Parâmetros!$B$12))</f>
        <v/>
      </c>
      <c r="O114" s="11"/>
      <c r="P114" s="13"/>
      <c r="Q114" s="13"/>
      <c r="R114" s="13"/>
      <c r="S114" s="13"/>
      <c r="T114" s="12" t="str">
        <f aca="true">IF(A114="","",IF(OR(AND(P114&lt;&gt;"",P114&lt;=TODAY()+Parâmetros!$B$13),AND(Q114&lt;&gt;"",Q114&lt;=TODAY()+Parâmetros!$B$13),AND(R114&lt;&gt;"",R114&lt;=TODAY()+Parâmetros!$B$13),AND(S114&lt;&gt;"",S114&lt;=TODAY()+Parâmetros!$B$13)),"RENOVAR","OK"))</f>
        <v/>
      </c>
      <c r="U114" s="12" t="str">
        <f aca="false">IF(A114="","",COUNTIF(Contratações!$I$5:$I$504,A114))</f>
        <v/>
      </c>
      <c r="V114" s="15" t="str">
        <f aca="false">IF(A114="","",SUMIF(Contratações!$I$5:$I$504,A114,Contratações!$N$5:$N$504))</f>
        <v/>
      </c>
      <c r="W114" s="16" t="str">
        <f aca="false">IF(A114="","",IFERROR(AVERAGEIFS(Contratações!$R$5:$R$504,Contratações!$I$5:$I$504,A114,Contratações!$R$5:$R$504,"&gt;0"),""))</f>
        <v/>
      </c>
      <c r="X114" s="14" t="str">
        <f aca="false">IF(A114="","",IF(U114=0,"nunca",_xlfn.MAXIFS(Contratações!$O$5:$O$504,Contratações!$I$5:$I$504,A114)))</f>
        <v/>
      </c>
      <c r="Y114" s="11"/>
    </row>
    <row r="115" customFormat="false" ht="15" hidden="false" customHeight="false" outlineLevel="0" collapsed="false">
      <c r="A115" s="11"/>
      <c r="B115" s="11"/>
      <c r="C115" s="11"/>
      <c r="D115" s="11"/>
      <c r="E115" s="12" t="str">
        <f aca="false">IF(D115="","",IF(OR(D115="MEI",D115="ME",D115="EPP",D115="Cooperativa",D115="PF autônoma"),"S","N"))</f>
        <v/>
      </c>
      <c r="F115" s="11"/>
      <c r="G115" s="11"/>
      <c r="H115" s="11"/>
      <c r="I115" s="11"/>
      <c r="J115" s="11"/>
      <c r="K115" s="11"/>
      <c r="L115" s="11"/>
      <c r="M115" s="13"/>
      <c r="N115" s="14" t="str">
        <f aca="false">IF(M115="","",EDATE(M115,Parâmetros!$B$12))</f>
        <v/>
      </c>
      <c r="O115" s="11"/>
      <c r="P115" s="13"/>
      <c r="Q115" s="13"/>
      <c r="R115" s="13"/>
      <c r="S115" s="13"/>
      <c r="T115" s="12" t="str">
        <f aca="true">IF(A115="","",IF(OR(AND(P115&lt;&gt;"",P115&lt;=TODAY()+Parâmetros!$B$13),AND(Q115&lt;&gt;"",Q115&lt;=TODAY()+Parâmetros!$B$13),AND(R115&lt;&gt;"",R115&lt;=TODAY()+Parâmetros!$B$13),AND(S115&lt;&gt;"",S115&lt;=TODAY()+Parâmetros!$B$13)),"RENOVAR","OK"))</f>
        <v/>
      </c>
      <c r="U115" s="12" t="str">
        <f aca="false">IF(A115="","",COUNTIF(Contratações!$I$5:$I$504,A115))</f>
        <v/>
      </c>
      <c r="V115" s="15" t="str">
        <f aca="false">IF(A115="","",SUMIF(Contratações!$I$5:$I$504,A115,Contratações!$N$5:$N$504))</f>
        <v/>
      </c>
      <c r="W115" s="16" t="str">
        <f aca="false">IF(A115="","",IFERROR(AVERAGEIFS(Contratações!$R$5:$R$504,Contratações!$I$5:$I$504,A115,Contratações!$R$5:$R$504,"&gt;0"),""))</f>
        <v/>
      </c>
      <c r="X115" s="14" t="str">
        <f aca="false">IF(A115="","",IF(U115=0,"nunca",_xlfn.MAXIFS(Contratações!$O$5:$O$504,Contratações!$I$5:$I$504,A115)))</f>
        <v/>
      </c>
      <c r="Y115" s="11"/>
    </row>
    <row r="116" customFormat="false" ht="15" hidden="false" customHeight="false" outlineLevel="0" collapsed="false">
      <c r="A116" s="11"/>
      <c r="B116" s="11"/>
      <c r="C116" s="11"/>
      <c r="D116" s="11"/>
      <c r="E116" s="12" t="str">
        <f aca="false">IF(D116="","",IF(OR(D116="MEI",D116="ME",D116="EPP",D116="Cooperativa",D116="PF autônoma"),"S","N"))</f>
        <v/>
      </c>
      <c r="F116" s="11"/>
      <c r="G116" s="11"/>
      <c r="H116" s="11"/>
      <c r="I116" s="11"/>
      <c r="J116" s="11"/>
      <c r="K116" s="11"/>
      <c r="L116" s="11"/>
      <c r="M116" s="13"/>
      <c r="N116" s="14" t="str">
        <f aca="false">IF(M116="","",EDATE(M116,Parâmetros!$B$12))</f>
        <v/>
      </c>
      <c r="O116" s="11"/>
      <c r="P116" s="13"/>
      <c r="Q116" s="13"/>
      <c r="R116" s="13"/>
      <c r="S116" s="13"/>
      <c r="T116" s="12" t="str">
        <f aca="true">IF(A116="","",IF(OR(AND(P116&lt;&gt;"",P116&lt;=TODAY()+Parâmetros!$B$13),AND(Q116&lt;&gt;"",Q116&lt;=TODAY()+Parâmetros!$B$13),AND(R116&lt;&gt;"",R116&lt;=TODAY()+Parâmetros!$B$13),AND(S116&lt;&gt;"",S116&lt;=TODAY()+Parâmetros!$B$13)),"RENOVAR","OK"))</f>
        <v/>
      </c>
      <c r="U116" s="12" t="str">
        <f aca="false">IF(A116="","",COUNTIF(Contratações!$I$5:$I$504,A116))</f>
        <v/>
      </c>
      <c r="V116" s="15" t="str">
        <f aca="false">IF(A116="","",SUMIF(Contratações!$I$5:$I$504,A116,Contratações!$N$5:$N$504))</f>
        <v/>
      </c>
      <c r="W116" s="16" t="str">
        <f aca="false">IF(A116="","",IFERROR(AVERAGEIFS(Contratações!$R$5:$R$504,Contratações!$I$5:$I$504,A116,Contratações!$R$5:$R$504,"&gt;0"),""))</f>
        <v/>
      </c>
      <c r="X116" s="14" t="str">
        <f aca="false">IF(A116="","",IF(U116=0,"nunca",_xlfn.MAXIFS(Contratações!$O$5:$O$504,Contratações!$I$5:$I$504,A116)))</f>
        <v/>
      </c>
      <c r="Y116" s="11"/>
    </row>
    <row r="117" customFormat="false" ht="15" hidden="false" customHeight="false" outlineLevel="0" collapsed="false">
      <c r="A117" s="11"/>
      <c r="B117" s="11"/>
      <c r="C117" s="11"/>
      <c r="D117" s="11"/>
      <c r="E117" s="12" t="str">
        <f aca="false">IF(D117="","",IF(OR(D117="MEI",D117="ME",D117="EPP",D117="Cooperativa",D117="PF autônoma"),"S","N"))</f>
        <v/>
      </c>
      <c r="F117" s="11"/>
      <c r="G117" s="11"/>
      <c r="H117" s="11"/>
      <c r="I117" s="11"/>
      <c r="J117" s="11"/>
      <c r="K117" s="11"/>
      <c r="L117" s="11"/>
      <c r="M117" s="13"/>
      <c r="N117" s="14" t="str">
        <f aca="false">IF(M117="","",EDATE(M117,Parâmetros!$B$12))</f>
        <v/>
      </c>
      <c r="O117" s="11"/>
      <c r="P117" s="13"/>
      <c r="Q117" s="13"/>
      <c r="R117" s="13"/>
      <c r="S117" s="13"/>
      <c r="T117" s="12" t="str">
        <f aca="true">IF(A117="","",IF(OR(AND(P117&lt;&gt;"",P117&lt;=TODAY()+Parâmetros!$B$13),AND(Q117&lt;&gt;"",Q117&lt;=TODAY()+Parâmetros!$B$13),AND(R117&lt;&gt;"",R117&lt;=TODAY()+Parâmetros!$B$13),AND(S117&lt;&gt;"",S117&lt;=TODAY()+Parâmetros!$B$13)),"RENOVAR","OK"))</f>
        <v/>
      </c>
      <c r="U117" s="12" t="str">
        <f aca="false">IF(A117="","",COUNTIF(Contratações!$I$5:$I$504,A117))</f>
        <v/>
      </c>
      <c r="V117" s="15" t="str">
        <f aca="false">IF(A117="","",SUMIF(Contratações!$I$5:$I$504,A117,Contratações!$N$5:$N$504))</f>
        <v/>
      </c>
      <c r="W117" s="16" t="str">
        <f aca="false">IF(A117="","",IFERROR(AVERAGEIFS(Contratações!$R$5:$R$504,Contratações!$I$5:$I$504,A117,Contratações!$R$5:$R$504,"&gt;0"),""))</f>
        <v/>
      </c>
      <c r="X117" s="14" t="str">
        <f aca="false">IF(A117="","",IF(U117=0,"nunca",_xlfn.MAXIFS(Contratações!$O$5:$O$504,Contratações!$I$5:$I$504,A117)))</f>
        <v/>
      </c>
      <c r="Y117" s="11"/>
    </row>
    <row r="118" customFormat="false" ht="15" hidden="false" customHeight="false" outlineLevel="0" collapsed="false">
      <c r="A118" s="11"/>
      <c r="B118" s="11"/>
      <c r="C118" s="11"/>
      <c r="D118" s="11"/>
      <c r="E118" s="12" t="str">
        <f aca="false">IF(D118="","",IF(OR(D118="MEI",D118="ME",D118="EPP",D118="Cooperativa",D118="PF autônoma"),"S","N"))</f>
        <v/>
      </c>
      <c r="F118" s="11"/>
      <c r="G118" s="11"/>
      <c r="H118" s="11"/>
      <c r="I118" s="11"/>
      <c r="J118" s="11"/>
      <c r="K118" s="11"/>
      <c r="L118" s="11"/>
      <c r="M118" s="13"/>
      <c r="N118" s="14" t="str">
        <f aca="false">IF(M118="","",EDATE(M118,Parâmetros!$B$12))</f>
        <v/>
      </c>
      <c r="O118" s="11"/>
      <c r="P118" s="13"/>
      <c r="Q118" s="13"/>
      <c r="R118" s="13"/>
      <c r="S118" s="13"/>
      <c r="T118" s="12" t="str">
        <f aca="true">IF(A118="","",IF(OR(AND(P118&lt;&gt;"",P118&lt;=TODAY()+Parâmetros!$B$13),AND(Q118&lt;&gt;"",Q118&lt;=TODAY()+Parâmetros!$B$13),AND(R118&lt;&gt;"",R118&lt;=TODAY()+Parâmetros!$B$13),AND(S118&lt;&gt;"",S118&lt;=TODAY()+Parâmetros!$B$13)),"RENOVAR","OK"))</f>
        <v/>
      </c>
      <c r="U118" s="12" t="str">
        <f aca="false">IF(A118="","",COUNTIF(Contratações!$I$5:$I$504,A118))</f>
        <v/>
      </c>
      <c r="V118" s="15" t="str">
        <f aca="false">IF(A118="","",SUMIF(Contratações!$I$5:$I$504,A118,Contratações!$N$5:$N$504))</f>
        <v/>
      </c>
      <c r="W118" s="16" t="str">
        <f aca="false">IF(A118="","",IFERROR(AVERAGEIFS(Contratações!$R$5:$R$504,Contratações!$I$5:$I$504,A118,Contratações!$R$5:$R$504,"&gt;0"),""))</f>
        <v/>
      </c>
      <c r="X118" s="14" t="str">
        <f aca="false">IF(A118="","",IF(U118=0,"nunca",_xlfn.MAXIFS(Contratações!$O$5:$O$504,Contratações!$I$5:$I$504,A118)))</f>
        <v/>
      </c>
      <c r="Y118" s="11"/>
    </row>
    <row r="119" customFormat="false" ht="15" hidden="false" customHeight="false" outlineLevel="0" collapsed="false">
      <c r="A119" s="11"/>
      <c r="B119" s="11"/>
      <c r="C119" s="11"/>
      <c r="D119" s="11"/>
      <c r="E119" s="12" t="str">
        <f aca="false">IF(D119="","",IF(OR(D119="MEI",D119="ME",D119="EPP",D119="Cooperativa",D119="PF autônoma"),"S","N"))</f>
        <v/>
      </c>
      <c r="F119" s="11"/>
      <c r="G119" s="11"/>
      <c r="H119" s="11"/>
      <c r="I119" s="11"/>
      <c r="J119" s="11"/>
      <c r="K119" s="11"/>
      <c r="L119" s="11"/>
      <c r="M119" s="13"/>
      <c r="N119" s="14" t="str">
        <f aca="false">IF(M119="","",EDATE(M119,Parâmetros!$B$12))</f>
        <v/>
      </c>
      <c r="O119" s="11"/>
      <c r="P119" s="13"/>
      <c r="Q119" s="13"/>
      <c r="R119" s="13"/>
      <c r="S119" s="13"/>
      <c r="T119" s="12" t="str">
        <f aca="true">IF(A119="","",IF(OR(AND(P119&lt;&gt;"",P119&lt;=TODAY()+Parâmetros!$B$13),AND(Q119&lt;&gt;"",Q119&lt;=TODAY()+Parâmetros!$B$13),AND(R119&lt;&gt;"",R119&lt;=TODAY()+Parâmetros!$B$13),AND(S119&lt;&gt;"",S119&lt;=TODAY()+Parâmetros!$B$13)),"RENOVAR","OK"))</f>
        <v/>
      </c>
      <c r="U119" s="12" t="str">
        <f aca="false">IF(A119="","",COUNTIF(Contratações!$I$5:$I$504,A119))</f>
        <v/>
      </c>
      <c r="V119" s="15" t="str">
        <f aca="false">IF(A119="","",SUMIF(Contratações!$I$5:$I$504,A119,Contratações!$N$5:$N$504))</f>
        <v/>
      </c>
      <c r="W119" s="16" t="str">
        <f aca="false">IF(A119="","",IFERROR(AVERAGEIFS(Contratações!$R$5:$R$504,Contratações!$I$5:$I$504,A119,Contratações!$R$5:$R$504,"&gt;0"),""))</f>
        <v/>
      </c>
      <c r="X119" s="14" t="str">
        <f aca="false">IF(A119="","",IF(U119=0,"nunca",_xlfn.MAXIFS(Contratações!$O$5:$O$504,Contratações!$I$5:$I$504,A119)))</f>
        <v/>
      </c>
      <c r="Y119" s="11"/>
    </row>
    <row r="120" customFormat="false" ht="15" hidden="false" customHeight="false" outlineLevel="0" collapsed="false">
      <c r="A120" s="11"/>
      <c r="B120" s="11"/>
      <c r="C120" s="11"/>
      <c r="D120" s="11"/>
      <c r="E120" s="12" t="str">
        <f aca="false">IF(D120="","",IF(OR(D120="MEI",D120="ME",D120="EPP",D120="Cooperativa",D120="PF autônoma"),"S","N"))</f>
        <v/>
      </c>
      <c r="F120" s="11"/>
      <c r="G120" s="11"/>
      <c r="H120" s="11"/>
      <c r="I120" s="11"/>
      <c r="J120" s="11"/>
      <c r="K120" s="11"/>
      <c r="L120" s="11"/>
      <c r="M120" s="13"/>
      <c r="N120" s="14" t="str">
        <f aca="false">IF(M120="","",EDATE(M120,Parâmetros!$B$12))</f>
        <v/>
      </c>
      <c r="O120" s="11"/>
      <c r="P120" s="13"/>
      <c r="Q120" s="13"/>
      <c r="R120" s="13"/>
      <c r="S120" s="13"/>
      <c r="T120" s="12" t="str">
        <f aca="true">IF(A120="","",IF(OR(AND(P120&lt;&gt;"",P120&lt;=TODAY()+Parâmetros!$B$13),AND(Q120&lt;&gt;"",Q120&lt;=TODAY()+Parâmetros!$B$13),AND(R120&lt;&gt;"",R120&lt;=TODAY()+Parâmetros!$B$13),AND(S120&lt;&gt;"",S120&lt;=TODAY()+Parâmetros!$B$13)),"RENOVAR","OK"))</f>
        <v/>
      </c>
      <c r="U120" s="12" t="str">
        <f aca="false">IF(A120="","",COUNTIF(Contratações!$I$5:$I$504,A120))</f>
        <v/>
      </c>
      <c r="V120" s="15" t="str">
        <f aca="false">IF(A120="","",SUMIF(Contratações!$I$5:$I$504,A120,Contratações!$N$5:$N$504))</f>
        <v/>
      </c>
      <c r="W120" s="16" t="str">
        <f aca="false">IF(A120="","",IFERROR(AVERAGEIFS(Contratações!$R$5:$R$504,Contratações!$I$5:$I$504,A120,Contratações!$R$5:$R$504,"&gt;0"),""))</f>
        <v/>
      </c>
      <c r="X120" s="14" t="str">
        <f aca="false">IF(A120="","",IF(U120=0,"nunca",_xlfn.MAXIFS(Contratações!$O$5:$O$504,Contratações!$I$5:$I$504,A120)))</f>
        <v/>
      </c>
      <c r="Y120" s="11"/>
    </row>
    <row r="121" customFormat="false" ht="15" hidden="false" customHeight="false" outlineLevel="0" collapsed="false">
      <c r="A121" s="11"/>
      <c r="B121" s="11"/>
      <c r="C121" s="11"/>
      <c r="D121" s="11"/>
      <c r="E121" s="12" t="str">
        <f aca="false">IF(D121="","",IF(OR(D121="MEI",D121="ME",D121="EPP",D121="Cooperativa",D121="PF autônoma"),"S","N"))</f>
        <v/>
      </c>
      <c r="F121" s="11"/>
      <c r="G121" s="11"/>
      <c r="H121" s="11"/>
      <c r="I121" s="11"/>
      <c r="J121" s="11"/>
      <c r="K121" s="11"/>
      <c r="L121" s="11"/>
      <c r="M121" s="13"/>
      <c r="N121" s="14" t="str">
        <f aca="false">IF(M121="","",EDATE(M121,Parâmetros!$B$12))</f>
        <v/>
      </c>
      <c r="O121" s="11"/>
      <c r="P121" s="13"/>
      <c r="Q121" s="13"/>
      <c r="R121" s="13"/>
      <c r="S121" s="13"/>
      <c r="T121" s="12" t="str">
        <f aca="true">IF(A121="","",IF(OR(AND(P121&lt;&gt;"",P121&lt;=TODAY()+Parâmetros!$B$13),AND(Q121&lt;&gt;"",Q121&lt;=TODAY()+Parâmetros!$B$13),AND(R121&lt;&gt;"",R121&lt;=TODAY()+Parâmetros!$B$13),AND(S121&lt;&gt;"",S121&lt;=TODAY()+Parâmetros!$B$13)),"RENOVAR","OK"))</f>
        <v/>
      </c>
      <c r="U121" s="12" t="str">
        <f aca="false">IF(A121="","",COUNTIF(Contratações!$I$5:$I$504,A121))</f>
        <v/>
      </c>
      <c r="V121" s="15" t="str">
        <f aca="false">IF(A121="","",SUMIF(Contratações!$I$5:$I$504,A121,Contratações!$N$5:$N$504))</f>
        <v/>
      </c>
      <c r="W121" s="16" t="str">
        <f aca="false">IF(A121="","",IFERROR(AVERAGEIFS(Contratações!$R$5:$R$504,Contratações!$I$5:$I$504,A121,Contratações!$R$5:$R$504,"&gt;0"),""))</f>
        <v/>
      </c>
      <c r="X121" s="14" t="str">
        <f aca="false">IF(A121="","",IF(U121=0,"nunca",_xlfn.MAXIFS(Contratações!$O$5:$O$504,Contratações!$I$5:$I$504,A121)))</f>
        <v/>
      </c>
      <c r="Y121" s="11"/>
    </row>
    <row r="122" customFormat="false" ht="15" hidden="false" customHeight="false" outlineLevel="0" collapsed="false">
      <c r="A122" s="11"/>
      <c r="B122" s="11"/>
      <c r="C122" s="11"/>
      <c r="D122" s="11"/>
      <c r="E122" s="12" t="str">
        <f aca="false">IF(D122="","",IF(OR(D122="MEI",D122="ME",D122="EPP",D122="Cooperativa",D122="PF autônoma"),"S","N"))</f>
        <v/>
      </c>
      <c r="F122" s="11"/>
      <c r="G122" s="11"/>
      <c r="H122" s="11"/>
      <c r="I122" s="11"/>
      <c r="J122" s="11"/>
      <c r="K122" s="11"/>
      <c r="L122" s="11"/>
      <c r="M122" s="13"/>
      <c r="N122" s="14" t="str">
        <f aca="false">IF(M122="","",EDATE(M122,Parâmetros!$B$12))</f>
        <v/>
      </c>
      <c r="O122" s="11"/>
      <c r="P122" s="13"/>
      <c r="Q122" s="13"/>
      <c r="R122" s="13"/>
      <c r="S122" s="13"/>
      <c r="T122" s="12" t="str">
        <f aca="true">IF(A122="","",IF(OR(AND(P122&lt;&gt;"",P122&lt;=TODAY()+Parâmetros!$B$13),AND(Q122&lt;&gt;"",Q122&lt;=TODAY()+Parâmetros!$B$13),AND(R122&lt;&gt;"",R122&lt;=TODAY()+Parâmetros!$B$13),AND(S122&lt;&gt;"",S122&lt;=TODAY()+Parâmetros!$B$13)),"RENOVAR","OK"))</f>
        <v/>
      </c>
      <c r="U122" s="12" t="str">
        <f aca="false">IF(A122="","",COUNTIF(Contratações!$I$5:$I$504,A122))</f>
        <v/>
      </c>
      <c r="V122" s="15" t="str">
        <f aca="false">IF(A122="","",SUMIF(Contratações!$I$5:$I$504,A122,Contratações!$N$5:$N$504))</f>
        <v/>
      </c>
      <c r="W122" s="16" t="str">
        <f aca="false">IF(A122="","",IFERROR(AVERAGEIFS(Contratações!$R$5:$R$504,Contratações!$I$5:$I$504,A122,Contratações!$R$5:$R$504,"&gt;0"),""))</f>
        <v/>
      </c>
      <c r="X122" s="14" t="str">
        <f aca="false">IF(A122="","",IF(U122=0,"nunca",_xlfn.MAXIFS(Contratações!$O$5:$O$504,Contratações!$I$5:$I$504,A122)))</f>
        <v/>
      </c>
      <c r="Y122" s="11"/>
    </row>
    <row r="123" customFormat="false" ht="15" hidden="false" customHeight="false" outlineLevel="0" collapsed="false">
      <c r="A123" s="11"/>
      <c r="B123" s="11"/>
      <c r="C123" s="11"/>
      <c r="D123" s="11"/>
      <c r="E123" s="12" t="str">
        <f aca="false">IF(D123="","",IF(OR(D123="MEI",D123="ME",D123="EPP",D123="Cooperativa",D123="PF autônoma"),"S","N"))</f>
        <v/>
      </c>
      <c r="F123" s="11"/>
      <c r="G123" s="11"/>
      <c r="H123" s="11"/>
      <c r="I123" s="11"/>
      <c r="J123" s="11"/>
      <c r="K123" s="11"/>
      <c r="L123" s="11"/>
      <c r="M123" s="13"/>
      <c r="N123" s="14" t="str">
        <f aca="false">IF(M123="","",EDATE(M123,Parâmetros!$B$12))</f>
        <v/>
      </c>
      <c r="O123" s="11"/>
      <c r="P123" s="13"/>
      <c r="Q123" s="13"/>
      <c r="R123" s="13"/>
      <c r="S123" s="13"/>
      <c r="T123" s="12" t="str">
        <f aca="true">IF(A123="","",IF(OR(AND(P123&lt;&gt;"",P123&lt;=TODAY()+Parâmetros!$B$13),AND(Q123&lt;&gt;"",Q123&lt;=TODAY()+Parâmetros!$B$13),AND(R123&lt;&gt;"",R123&lt;=TODAY()+Parâmetros!$B$13),AND(S123&lt;&gt;"",S123&lt;=TODAY()+Parâmetros!$B$13)),"RENOVAR","OK"))</f>
        <v/>
      </c>
      <c r="U123" s="12" t="str">
        <f aca="false">IF(A123="","",COUNTIF(Contratações!$I$5:$I$504,A123))</f>
        <v/>
      </c>
      <c r="V123" s="15" t="str">
        <f aca="false">IF(A123="","",SUMIF(Contratações!$I$5:$I$504,A123,Contratações!$N$5:$N$504))</f>
        <v/>
      </c>
      <c r="W123" s="16" t="str">
        <f aca="false">IF(A123="","",IFERROR(AVERAGEIFS(Contratações!$R$5:$R$504,Contratações!$I$5:$I$504,A123,Contratações!$R$5:$R$504,"&gt;0"),""))</f>
        <v/>
      </c>
      <c r="X123" s="14" t="str">
        <f aca="false">IF(A123="","",IF(U123=0,"nunca",_xlfn.MAXIFS(Contratações!$O$5:$O$504,Contratações!$I$5:$I$504,A123)))</f>
        <v/>
      </c>
      <c r="Y123" s="11"/>
    </row>
    <row r="124" customFormat="false" ht="15" hidden="false" customHeight="false" outlineLevel="0" collapsed="false">
      <c r="A124" s="11"/>
      <c r="B124" s="11"/>
      <c r="C124" s="11"/>
      <c r="D124" s="11"/>
      <c r="E124" s="12" t="str">
        <f aca="false">IF(D124="","",IF(OR(D124="MEI",D124="ME",D124="EPP",D124="Cooperativa",D124="PF autônoma"),"S","N"))</f>
        <v/>
      </c>
      <c r="F124" s="11"/>
      <c r="G124" s="11"/>
      <c r="H124" s="11"/>
      <c r="I124" s="11"/>
      <c r="J124" s="11"/>
      <c r="K124" s="11"/>
      <c r="L124" s="11"/>
      <c r="M124" s="13"/>
      <c r="N124" s="14" t="str">
        <f aca="false">IF(M124="","",EDATE(M124,Parâmetros!$B$12))</f>
        <v/>
      </c>
      <c r="O124" s="11"/>
      <c r="P124" s="13"/>
      <c r="Q124" s="13"/>
      <c r="R124" s="13"/>
      <c r="S124" s="13"/>
      <c r="T124" s="12" t="str">
        <f aca="true">IF(A124="","",IF(OR(AND(P124&lt;&gt;"",P124&lt;=TODAY()+Parâmetros!$B$13),AND(Q124&lt;&gt;"",Q124&lt;=TODAY()+Parâmetros!$B$13),AND(R124&lt;&gt;"",R124&lt;=TODAY()+Parâmetros!$B$13),AND(S124&lt;&gt;"",S124&lt;=TODAY()+Parâmetros!$B$13)),"RENOVAR","OK"))</f>
        <v/>
      </c>
      <c r="U124" s="12" t="str">
        <f aca="false">IF(A124="","",COUNTIF(Contratações!$I$5:$I$504,A124))</f>
        <v/>
      </c>
      <c r="V124" s="15" t="str">
        <f aca="false">IF(A124="","",SUMIF(Contratações!$I$5:$I$504,A124,Contratações!$N$5:$N$504))</f>
        <v/>
      </c>
      <c r="W124" s="16" t="str">
        <f aca="false">IF(A124="","",IFERROR(AVERAGEIFS(Contratações!$R$5:$R$504,Contratações!$I$5:$I$504,A124,Contratações!$R$5:$R$504,"&gt;0"),""))</f>
        <v/>
      </c>
      <c r="X124" s="14" t="str">
        <f aca="false">IF(A124="","",IF(U124=0,"nunca",_xlfn.MAXIFS(Contratações!$O$5:$O$504,Contratações!$I$5:$I$504,A124)))</f>
        <v/>
      </c>
      <c r="Y124" s="11"/>
    </row>
    <row r="125" customFormat="false" ht="15" hidden="false" customHeight="false" outlineLevel="0" collapsed="false">
      <c r="A125" s="11"/>
      <c r="B125" s="11"/>
      <c r="C125" s="11"/>
      <c r="D125" s="11"/>
      <c r="E125" s="12" t="str">
        <f aca="false">IF(D125="","",IF(OR(D125="MEI",D125="ME",D125="EPP",D125="Cooperativa",D125="PF autônoma"),"S","N"))</f>
        <v/>
      </c>
      <c r="F125" s="11"/>
      <c r="G125" s="11"/>
      <c r="H125" s="11"/>
      <c r="I125" s="11"/>
      <c r="J125" s="11"/>
      <c r="K125" s="11"/>
      <c r="L125" s="11"/>
      <c r="M125" s="13"/>
      <c r="N125" s="14" t="str">
        <f aca="false">IF(M125="","",EDATE(M125,Parâmetros!$B$12))</f>
        <v/>
      </c>
      <c r="O125" s="11"/>
      <c r="P125" s="13"/>
      <c r="Q125" s="13"/>
      <c r="R125" s="13"/>
      <c r="S125" s="13"/>
      <c r="T125" s="12" t="str">
        <f aca="true">IF(A125="","",IF(OR(AND(P125&lt;&gt;"",P125&lt;=TODAY()+Parâmetros!$B$13),AND(Q125&lt;&gt;"",Q125&lt;=TODAY()+Parâmetros!$B$13),AND(R125&lt;&gt;"",R125&lt;=TODAY()+Parâmetros!$B$13),AND(S125&lt;&gt;"",S125&lt;=TODAY()+Parâmetros!$B$13)),"RENOVAR","OK"))</f>
        <v/>
      </c>
      <c r="U125" s="12" t="str">
        <f aca="false">IF(A125="","",COUNTIF(Contratações!$I$5:$I$504,A125))</f>
        <v/>
      </c>
      <c r="V125" s="15" t="str">
        <f aca="false">IF(A125="","",SUMIF(Contratações!$I$5:$I$504,A125,Contratações!$N$5:$N$504))</f>
        <v/>
      </c>
      <c r="W125" s="16" t="str">
        <f aca="false">IF(A125="","",IFERROR(AVERAGEIFS(Contratações!$R$5:$R$504,Contratações!$I$5:$I$504,A125,Contratações!$R$5:$R$504,"&gt;0"),""))</f>
        <v/>
      </c>
      <c r="X125" s="14" t="str">
        <f aca="false">IF(A125="","",IF(U125=0,"nunca",_xlfn.MAXIFS(Contratações!$O$5:$O$504,Contratações!$I$5:$I$504,A125)))</f>
        <v/>
      </c>
      <c r="Y125" s="11"/>
    </row>
    <row r="126" customFormat="false" ht="15" hidden="false" customHeight="false" outlineLevel="0" collapsed="false">
      <c r="A126" s="11"/>
      <c r="B126" s="11"/>
      <c r="C126" s="11"/>
      <c r="D126" s="11"/>
      <c r="E126" s="12" t="str">
        <f aca="false">IF(D126="","",IF(OR(D126="MEI",D126="ME",D126="EPP",D126="Cooperativa",D126="PF autônoma"),"S","N"))</f>
        <v/>
      </c>
      <c r="F126" s="11"/>
      <c r="G126" s="11"/>
      <c r="H126" s="11"/>
      <c r="I126" s="11"/>
      <c r="J126" s="11"/>
      <c r="K126" s="11"/>
      <c r="L126" s="11"/>
      <c r="M126" s="13"/>
      <c r="N126" s="14" t="str">
        <f aca="false">IF(M126="","",EDATE(M126,Parâmetros!$B$12))</f>
        <v/>
      </c>
      <c r="O126" s="11"/>
      <c r="P126" s="13"/>
      <c r="Q126" s="13"/>
      <c r="R126" s="13"/>
      <c r="S126" s="13"/>
      <c r="T126" s="12" t="str">
        <f aca="true">IF(A126="","",IF(OR(AND(P126&lt;&gt;"",P126&lt;=TODAY()+Parâmetros!$B$13),AND(Q126&lt;&gt;"",Q126&lt;=TODAY()+Parâmetros!$B$13),AND(R126&lt;&gt;"",R126&lt;=TODAY()+Parâmetros!$B$13),AND(S126&lt;&gt;"",S126&lt;=TODAY()+Parâmetros!$B$13)),"RENOVAR","OK"))</f>
        <v/>
      </c>
      <c r="U126" s="12" t="str">
        <f aca="false">IF(A126="","",COUNTIF(Contratações!$I$5:$I$504,A126))</f>
        <v/>
      </c>
      <c r="V126" s="15" t="str">
        <f aca="false">IF(A126="","",SUMIF(Contratações!$I$5:$I$504,A126,Contratações!$N$5:$N$504))</f>
        <v/>
      </c>
      <c r="W126" s="16" t="str">
        <f aca="false">IF(A126="","",IFERROR(AVERAGEIFS(Contratações!$R$5:$R$504,Contratações!$I$5:$I$504,A126,Contratações!$R$5:$R$504,"&gt;0"),""))</f>
        <v/>
      </c>
      <c r="X126" s="14" t="str">
        <f aca="false">IF(A126="","",IF(U126=0,"nunca",_xlfn.MAXIFS(Contratações!$O$5:$O$504,Contratações!$I$5:$I$504,A126)))</f>
        <v/>
      </c>
      <c r="Y126" s="11"/>
    </row>
    <row r="127" customFormat="false" ht="15" hidden="false" customHeight="false" outlineLevel="0" collapsed="false">
      <c r="A127" s="11"/>
      <c r="B127" s="11"/>
      <c r="C127" s="11"/>
      <c r="D127" s="11"/>
      <c r="E127" s="12" t="str">
        <f aca="false">IF(D127="","",IF(OR(D127="MEI",D127="ME",D127="EPP",D127="Cooperativa",D127="PF autônoma"),"S","N"))</f>
        <v/>
      </c>
      <c r="F127" s="11"/>
      <c r="G127" s="11"/>
      <c r="H127" s="11"/>
      <c r="I127" s="11"/>
      <c r="J127" s="11"/>
      <c r="K127" s="11"/>
      <c r="L127" s="11"/>
      <c r="M127" s="13"/>
      <c r="N127" s="14" t="str">
        <f aca="false">IF(M127="","",EDATE(M127,Parâmetros!$B$12))</f>
        <v/>
      </c>
      <c r="O127" s="11"/>
      <c r="P127" s="13"/>
      <c r="Q127" s="13"/>
      <c r="R127" s="13"/>
      <c r="S127" s="13"/>
      <c r="T127" s="12" t="str">
        <f aca="true">IF(A127="","",IF(OR(AND(P127&lt;&gt;"",P127&lt;=TODAY()+Parâmetros!$B$13),AND(Q127&lt;&gt;"",Q127&lt;=TODAY()+Parâmetros!$B$13),AND(R127&lt;&gt;"",R127&lt;=TODAY()+Parâmetros!$B$13),AND(S127&lt;&gt;"",S127&lt;=TODAY()+Parâmetros!$B$13)),"RENOVAR","OK"))</f>
        <v/>
      </c>
      <c r="U127" s="12" t="str">
        <f aca="false">IF(A127="","",COUNTIF(Contratações!$I$5:$I$504,A127))</f>
        <v/>
      </c>
      <c r="V127" s="15" t="str">
        <f aca="false">IF(A127="","",SUMIF(Contratações!$I$5:$I$504,A127,Contratações!$N$5:$N$504))</f>
        <v/>
      </c>
      <c r="W127" s="16" t="str">
        <f aca="false">IF(A127="","",IFERROR(AVERAGEIFS(Contratações!$R$5:$R$504,Contratações!$I$5:$I$504,A127,Contratações!$R$5:$R$504,"&gt;0"),""))</f>
        <v/>
      </c>
      <c r="X127" s="14" t="str">
        <f aca="false">IF(A127="","",IF(U127=0,"nunca",_xlfn.MAXIFS(Contratações!$O$5:$O$504,Contratações!$I$5:$I$504,A127)))</f>
        <v/>
      </c>
      <c r="Y127" s="11"/>
    </row>
    <row r="128" customFormat="false" ht="15" hidden="false" customHeight="false" outlineLevel="0" collapsed="false">
      <c r="A128" s="11"/>
      <c r="B128" s="11"/>
      <c r="C128" s="11"/>
      <c r="D128" s="11"/>
      <c r="E128" s="12" t="str">
        <f aca="false">IF(D128="","",IF(OR(D128="MEI",D128="ME",D128="EPP",D128="Cooperativa",D128="PF autônoma"),"S","N"))</f>
        <v/>
      </c>
      <c r="F128" s="11"/>
      <c r="G128" s="11"/>
      <c r="H128" s="11"/>
      <c r="I128" s="11"/>
      <c r="J128" s="11"/>
      <c r="K128" s="11"/>
      <c r="L128" s="11"/>
      <c r="M128" s="13"/>
      <c r="N128" s="14" t="str">
        <f aca="false">IF(M128="","",EDATE(M128,Parâmetros!$B$12))</f>
        <v/>
      </c>
      <c r="O128" s="11"/>
      <c r="P128" s="13"/>
      <c r="Q128" s="13"/>
      <c r="R128" s="13"/>
      <c r="S128" s="13"/>
      <c r="T128" s="12" t="str">
        <f aca="true">IF(A128="","",IF(OR(AND(P128&lt;&gt;"",P128&lt;=TODAY()+Parâmetros!$B$13),AND(Q128&lt;&gt;"",Q128&lt;=TODAY()+Parâmetros!$B$13),AND(R128&lt;&gt;"",R128&lt;=TODAY()+Parâmetros!$B$13),AND(S128&lt;&gt;"",S128&lt;=TODAY()+Parâmetros!$B$13)),"RENOVAR","OK"))</f>
        <v/>
      </c>
      <c r="U128" s="12" t="str">
        <f aca="false">IF(A128="","",COUNTIF(Contratações!$I$5:$I$504,A128))</f>
        <v/>
      </c>
      <c r="V128" s="15" t="str">
        <f aca="false">IF(A128="","",SUMIF(Contratações!$I$5:$I$504,A128,Contratações!$N$5:$N$504))</f>
        <v/>
      </c>
      <c r="W128" s="16" t="str">
        <f aca="false">IF(A128="","",IFERROR(AVERAGEIFS(Contratações!$R$5:$R$504,Contratações!$I$5:$I$504,A128,Contratações!$R$5:$R$504,"&gt;0"),""))</f>
        <v/>
      </c>
      <c r="X128" s="14" t="str">
        <f aca="false">IF(A128="","",IF(U128=0,"nunca",_xlfn.MAXIFS(Contratações!$O$5:$O$504,Contratações!$I$5:$I$504,A128)))</f>
        <v/>
      </c>
      <c r="Y128" s="11"/>
    </row>
    <row r="129" customFormat="false" ht="15" hidden="false" customHeight="false" outlineLevel="0" collapsed="false">
      <c r="A129" s="11"/>
      <c r="B129" s="11"/>
      <c r="C129" s="11"/>
      <c r="D129" s="11"/>
      <c r="E129" s="12" t="str">
        <f aca="false">IF(D129="","",IF(OR(D129="MEI",D129="ME",D129="EPP",D129="Cooperativa",D129="PF autônoma"),"S","N"))</f>
        <v/>
      </c>
      <c r="F129" s="11"/>
      <c r="G129" s="11"/>
      <c r="H129" s="11"/>
      <c r="I129" s="11"/>
      <c r="J129" s="11"/>
      <c r="K129" s="11"/>
      <c r="L129" s="11"/>
      <c r="M129" s="13"/>
      <c r="N129" s="14" t="str">
        <f aca="false">IF(M129="","",EDATE(M129,Parâmetros!$B$12))</f>
        <v/>
      </c>
      <c r="O129" s="11"/>
      <c r="P129" s="13"/>
      <c r="Q129" s="13"/>
      <c r="R129" s="13"/>
      <c r="S129" s="13"/>
      <c r="T129" s="12" t="str">
        <f aca="true">IF(A129="","",IF(OR(AND(P129&lt;&gt;"",P129&lt;=TODAY()+Parâmetros!$B$13),AND(Q129&lt;&gt;"",Q129&lt;=TODAY()+Parâmetros!$B$13),AND(R129&lt;&gt;"",R129&lt;=TODAY()+Parâmetros!$B$13),AND(S129&lt;&gt;"",S129&lt;=TODAY()+Parâmetros!$B$13)),"RENOVAR","OK"))</f>
        <v/>
      </c>
      <c r="U129" s="12" t="str">
        <f aca="false">IF(A129="","",COUNTIF(Contratações!$I$5:$I$504,A129))</f>
        <v/>
      </c>
      <c r="V129" s="15" t="str">
        <f aca="false">IF(A129="","",SUMIF(Contratações!$I$5:$I$504,A129,Contratações!$N$5:$N$504))</f>
        <v/>
      </c>
      <c r="W129" s="16" t="str">
        <f aca="false">IF(A129="","",IFERROR(AVERAGEIFS(Contratações!$R$5:$R$504,Contratações!$I$5:$I$504,A129,Contratações!$R$5:$R$504,"&gt;0"),""))</f>
        <v/>
      </c>
      <c r="X129" s="14" t="str">
        <f aca="false">IF(A129="","",IF(U129=0,"nunca",_xlfn.MAXIFS(Contratações!$O$5:$O$504,Contratações!$I$5:$I$504,A129)))</f>
        <v/>
      </c>
      <c r="Y129" s="11"/>
    </row>
    <row r="130" customFormat="false" ht="15" hidden="false" customHeight="false" outlineLevel="0" collapsed="false">
      <c r="A130" s="11"/>
      <c r="B130" s="11"/>
      <c r="C130" s="11"/>
      <c r="D130" s="11"/>
      <c r="E130" s="12" t="str">
        <f aca="false">IF(D130="","",IF(OR(D130="MEI",D130="ME",D130="EPP",D130="Cooperativa",D130="PF autônoma"),"S","N"))</f>
        <v/>
      </c>
      <c r="F130" s="11"/>
      <c r="G130" s="11"/>
      <c r="H130" s="11"/>
      <c r="I130" s="11"/>
      <c r="J130" s="11"/>
      <c r="K130" s="11"/>
      <c r="L130" s="11"/>
      <c r="M130" s="13"/>
      <c r="N130" s="14" t="str">
        <f aca="false">IF(M130="","",EDATE(M130,Parâmetros!$B$12))</f>
        <v/>
      </c>
      <c r="O130" s="11"/>
      <c r="P130" s="13"/>
      <c r="Q130" s="13"/>
      <c r="R130" s="13"/>
      <c r="S130" s="13"/>
      <c r="T130" s="12" t="str">
        <f aca="true">IF(A130="","",IF(OR(AND(P130&lt;&gt;"",P130&lt;=TODAY()+Parâmetros!$B$13),AND(Q130&lt;&gt;"",Q130&lt;=TODAY()+Parâmetros!$B$13),AND(R130&lt;&gt;"",R130&lt;=TODAY()+Parâmetros!$B$13),AND(S130&lt;&gt;"",S130&lt;=TODAY()+Parâmetros!$B$13)),"RENOVAR","OK"))</f>
        <v/>
      </c>
      <c r="U130" s="12" t="str">
        <f aca="false">IF(A130="","",COUNTIF(Contratações!$I$5:$I$504,A130))</f>
        <v/>
      </c>
      <c r="V130" s="15" t="str">
        <f aca="false">IF(A130="","",SUMIF(Contratações!$I$5:$I$504,A130,Contratações!$N$5:$N$504))</f>
        <v/>
      </c>
      <c r="W130" s="16" t="str">
        <f aca="false">IF(A130="","",IFERROR(AVERAGEIFS(Contratações!$R$5:$R$504,Contratações!$I$5:$I$504,A130,Contratações!$R$5:$R$504,"&gt;0"),""))</f>
        <v/>
      </c>
      <c r="X130" s="14" t="str">
        <f aca="false">IF(A130="","",IF(U130=0,"nunca",_xlfn.MAXIFS(Contratações!$O$5:$O$504,Contratações!$I$5:$I$504,A130)))</f>
        <v/>
      </c>
      <c r="Y130" s="11"/>
    </row>
    <row r="131" customFormat="false" ht="15" hidden="false" customHeight="false" outlineLevel="0" collapsed="false">
      <c r="A131" s="11"/>
      <c r="B131" s="11"/>
      <c r="C131" s="11"/>
      <c r="D131" s="11"/>
      <c r="E131" s="12" t="str">
        <f aca="false">IF(D131="","",IF(OR(D131="MEI",D131="ME",D131="EPP",D131="Cooperativa",D131="PF autônoma"),"S","N"))</f>
        <v/>
      </c>
      <c r="F131" s="11"/>
      <c r="G131" s="11"/>
      <c r="H131" s="11"/>
      <c r="I131" s="11"/>
      <c r="J131" s="11"/>
      <c r="K131" s="11"/>
      <c r="L131" s="11"/>
      <c r="M131" s="13"/>
      <c r="N131" s="14" t="str">
        <f aca="false">IF(M131="","",EDATE(M131,Parâmetros!$B$12))</f>
        <v/>
      </c>
      <c r="O131" s="11"/>
      <c r="P131" s="13"/>
      <c r="Q131" s="13"/>
      <c r="R131" s="13"/>
      <c r="S131" s="13"/>
      <c r="T131" s="12" t="str">
        <f aca="true">IF(A131="","",IF(OR(AND(P131&lt;&gt;"",P131&lt;=TODAY()+Parâmetros!$B$13),AND(Q131&lt;&gt;"",Q131&lt;=TODAY()+Parâmetros!$B$13),AND(R131&lt;&gt;"",R131&lt;=TODAY()+Parâmetros!$B$13),AND(S131&lt;&gt;"",S131&lt;=TODAY()+Parâmetros!$B$13)),"RENOVAR","OK"))</f>
        <v/>
      </c>
      <c r="U131" s="12" t="str">
        <f aca="false">IF(A131="","",COUNTIF(Contratações!$I$5:$I$504,A131))</f>
        <v/>
      </c>
      <c r="V131" s="15" t="str">
        <f aca="false">IF(A131="","",SUMIF(Contratações!$I$5:$I$504,A131,Contratações!$N$5:$N$504))</f>
        <v/>
      </c>
      <c r="W131" s="16" t="str">
        <f aca="false">IF(A131="","",IFERROR(AVERAGEIFS(Contratações!$R$5:$R$504,Contratações!$I$5:$I$504,A131,Contratações!$R$5:$R$504,"&gt;0"),""))</f>
        <v/>
      </c>
      <c r="X131" s="14" t="str">
        <f aca="false">IF(A131="","",IF(U131=0,"nunca",_xlfn.MAXIFS(Contratações!$O$5:$O$504,Contratações!$I$5:$I$504,A131)))</f>
        <v/>
      </c>
      <c r="Y131" s="11"/>
    </row>
    <row r="132" customFormat="false" ht="15" hidden="false" customHeight="false" outlineLevel="0" collapsed="false">
      <c r="A132" s="11"/>
      <c r="B132" s="11"/>
      <c r="C132" s="11"/>
      <c r="D132" s="11"/>
      <c r="E132" s="12" t="str">
        <f aca="false">IF(D132="","",IF(OR(D132="MEI",D132="ME",D132="EPP",D132="Cooperativa",D132="PF autônoma"),"S","N"))</f>
        <v/>
      </c>
      <c r="F132" s="11"/>
      <c r="G132" s="11"/>
      <c r="H132" s="11"/>
      <c r="I132" s="11"/>
      <c r="J132" s="11"/>
      <c r="K132" s="11"/>
      <c r="L132" s="11"/>
      <c r="M132" s="13"/>
      <c r="N132" s="14" t="str">
        <f aca="false">IF(M132="","",EDATE(M132,Parâmetros!$B$12))</f>
        <v/>
      </c>
      <c r="O132" s="11"/>
      <c r="P132" s="13"/>
      <c r="Q132" s="13"/>
      <c r="R132" s="13"/>
      <c r="S132" s="13"/>
      <c r="T132" s="12" t="str">
        <f aca="true">IF(A132="","",IF(OR(AND(P132&lt;&gt;"",P132&lt;=TODAY()+Parâmetros!$B$13),AND(Q132&lt;&gt;"",Q132&lt;=TODAY()+Parâmetros!$B$13),AND(R132&lt;&gt;"",R132&lt;=TODAY()+Parâmetros!$B$13),AND(S132&lt;&gt;"",S132&lt;=TODAY()+Parâmetros!$B$13)),"RENOVAR","OK"))</f>
        <v/>
      </c>
      <c r="U132" s="12" t="str">
        <f aca="false">IF(A132="","",COUNTIF(Contratações!$I$5:$I$504,A132))</f>
        <v/>
      </c>
      <c r="V132" s="15" t="str">
        <f aca="false">IF(A132="","",SUMIF(Contratações!$I$5:$I$504,A132,Contratações!$N$5:$N$504))</f>
        <v/>
      </c>
      <c r="W132" s="16" t="str">
        <f aca="false">IF(A132="","",IFERROR(AVERAGEIFS(Contratações!$R$5:$R$504,Contratações!$I$5:$I$504,A132,Contratações!$R$5:$R$504,"&gt;0"),""))</f>
        <v/>
      </c>
      <c r="X132" s="14" t="str">
        <f aca="false">IF(A132="","",IF(U132=0,"nunca",_xlfn.MAXIFS(Contratações!$O$5:$O$504,Contratações!$I$5:$I$504,A132)))</f>
        <v/>
      </c>
      <c r="Y132" s="11"/>
    </row>
    <row r="133" customFormat="false" ht="15" hidden="false" customHeight="false" outlineLevel="0" collapsed="false">
      <c r="A133" s="11"/>
      <c r="B133" s="11"/>
      <c r="C133" s="11"/>
      <c r="D133" s="11"/>
      <c r="E133" s="12" t="str">
        <f aca="false">IF(D133="","",IF(OR(D133="MEI",D133="ME",D133="EPP",D133="Cooperativa",D133="PF autônoma"),"S","N"))</f>
        <v/>
      </c>
      <c r="F133" s="11"/>
      <c r="G133" s="11"/>
      <c r="H133" s="11"/>
      <c r="I133" s="11"/>
      <c r="J133" s="11"/>
      <c r="K133" s="11"/>
      <c r="L133" s="11"/>
      <c r="M133" s="13"/>
      <c r="N133" s="14" t="str">
        <f aca="false">IF(M133="","",EDATE(M133,Parâmetros!$B$12))</f>
        <v/>
      </c>
      <c r="O133" s="11"/>
      <c r="P133" s="13"/>
      <c r="Q133" s="13"/>
      <c r="R133" s="13"/>
      <c r="S133" s="13"/>
      <c r="T133" s="12" t="str">
        <f aca="true">IF(A133="","",IF(OR(AND(P133&lt;&gt;"",P133&lt;=TODAY()+Parâmetros!$B$13),AND(Q133&lt;&gt;"",Q133&lt;=TODAY()+Parâmetros!$B$13),AND(R133&lt;&gt;"",R133&lt;=TODAY()+Parâmetros!$B$13),AND(S133&lt;&gt;"",S133&lt;=TODAY()+Parâmetros!$B$13)),"RENOVAR","OK"))</f>
        <v/>
      </c>
      <c r="U133" s="12" t="str">
        <f aca="false">IF(A133="","",COUNTIF(Contratações!$I$5:$I$504,A133))</f>
        <v/>
      </c>
      <c r="V133" s="15" t="str">
        <f aca="false">IF(A133="","",SUMIF(Contratações!$I$5:$I$504,A133,Contratações!$N$5:$N$504))</f>
        <v/>
      </c>
      <c r="W133" s="16" t="str">
        <f aca="false">IF(A133="","",IFERROR(AVERAGEIFS(Contratações!$R$5:$R$504,Contratações!$I$5:$I$504,A133,Contratações!$R$5:$R$504,"&gt;0"),""))</f>
        <v/>
      </c>
      <c r="X133" s="14" t="str">
        <f aca="false">IF(A133="","",IF(U133=0,"nunca",_xlfn.MAXIFS(Contratações!$O$5:$O$504,Contratações!$I$5:$I$504,A133)))</f>
        <v/>
      </c>
      <c r="Y133" s="11"/>
    </row>
    <row r="134" customFormat="false" ht="15" hidden="false" customHeight="false" outlineLevel="0" collapsed="false">
      <c r="A134" s="11"/>
      <c r="B134" s="11"/>
      <c r="C134" s="11"/>
      <c r="D134" s="11"/>
      <c r="E134" s="12" t="str">
        <f aca="false">IF(D134="","",IF(OR(D134="MEI",D134="ME",D134="EPP",D134="Cooperativa",D134="PF autônoma"),"S","N"))</f>
        <v/>
      </c>
      <c r="F134" s="11"/>
      <c r="G134" s="11"/>
      <c r="H134" s="11"/>
      <c r="I134" s="11"/>
      <c r="J134" s="11"/>
      <c r="K134" s="11"/>
      <c r="L134" s="11"/>
      <c r="M134" s="13"/>
      <c r="N134" s="14" t="str">
        <f aca="false">IF(M134="","",EDATE(M134,Parâmetros!$B$12))</f>
        <v/>
      </c>
      <c r="O134" s="11"/>
      <c r="P134" s="13"/>
      <c r="Q134" s="13"/>
      <c r="R134" s="13"/>
      <c r="S134" s="13"/>
      <c r="T134" s="12" t="str">
        <f aca="true">IF(A134="","",IF(OR(AND(P134&lt;&gt;"",P134&lt;=TODAY()+Parâmetros!$B$13),AND(Q134&lt;&gt;"",Q134&lt;=TODAY()+Parâmetros!$B$13),AND(R134&lt;&gt;"",R134&lt;=TODAY()+Parâmetros!$B$13),AND(S134&lt;&gt;"",S134&lt;=TODAY()+Parâmetros!$B$13)),"RENOVAR","OK"))</f>
        <v/>
      </c>
      <c r="U134" s="12" t="str">
        <f aca="false">IF(A134="","",COUNTIF(Contratações!$I$5:$I$504,A134))</f>
        <v/>
      </c>
      <c r="V134" s="15" t="str">
        <f aca="false">IF(A134="","",SUMIF(Contratações!$I$5:$I$504,A134,Contratações!$N$5:$N$504))</f>
        <v/>
      </c>
      <c r="W134" s="16" t="str">
        <f aca="false">IF(A134="","",IFERROR(AVERAGEIFS(Contratações!$R$5:$R$504,Contratações!$I$5:$I$504,A134,Contratações!$R$5:$R$504,"&gt;0"),""))</f>
        <v/>
      </c>
      <c r="X134" s="14" t="str">
        <f aca="false">IF(A134="","",IF(U134=0,"nunca",_xlfn.MAXIFS(Contratações!$O$5:$O$504,Contratações!$I$5:$I$504,A134)))</f>
        <v/>
      </c>
      <c r="Y134" s="11"/>
    </row>
    <row r="135" customFormat="false" ht="15" hidden="false" customHeight="false" outlineLevel="0" collapsed="false">
      <c r="A135" s="11"/>
      <c r="B135" s="11"/>
      <c r="C135" s="11"/>
      <c r="D135" s="11"/>
      <c r="E135" s="12" t="str">
        <f aca="false">IF(D135="","",IF(OR(D135="MEI",D135="ME",D135="EPP",D135="Cooperativa",D135="PF autônoma"),"S","N"))</f>
        <v/>
      </c>
      <c r="F135" s="11"/>
      <c r="G135" s="11"/>
      <c r="H135" s="11"/>
      <c r="I135" s="11"/>
      <c r="J135" s="11"/>
      <c r="K135" s="11"/>
      <c r="L135" s="11"/>
      <c r="M135" s="13"/>
      <c r="N135" s="14" t="str">
        <f aca="false">IF(M135="","",EDATE(M135,Parâmetros!$B$12))</f>
        <v/>
      </c>
      <c r="O135" s="11"/>
      <c r="P135" s="13"/>
      <c r="Q135" s="13"/>
      <c r="R135" s="13"/>
      <c r="S135" s="13"/>
      <c r="T135" s="12" t="str">
        <f aca="true">IF(A135="","",IF(OR(AND(P135&lt;&gt;"",P135&lt;=TODAY()+Parâmetros!$B$13),AND(Q135&lt;&gt;"",Q135&lt;=TODAY()+Parâmetros!$B$13),AND(R135&lt;&gt;"",R135&lt;=TODAY()+Parâmetros!$B$13),AND(S135&lt;&gt;"",S135&lt;=TODAY()+Parâmetros!$B$13)),"RENOVAR","OK"))</f>
        <v/>
      </c>
      <c r="U135" s="12" t="str">
        <f aca="false">IF(A135="","",COUNTIF(Contratações!$I$5:$I$504,A135))</f>
        <v/>
      </c>
      <c r="V135" s="15" t="str">
        <f aca="false">IF(A135="","",SUMIF(Contratações!$I$5:$I$504,A135,Contratações!$N$5:$N$504))</f>
        <v/>
      </c>
      <c r="W135" s="16" t="str">
        <f aca="false">IF(A135="","",IFERROR(AVERAGEIFS(Contratações!$R$5:$R$504,Contratações!$I$5:$I$504,A135,Contratações!$R$5:$R$504,"&gt;0"),""))</f>
        <v/>
      </c>
      <c r="X135" s="14" t="str">
        <f aca="false">IF(A135="","",IF(U135=0,"nunca",_xlfn.MAXIFS(Contratações!$O$5:$O$504,Contratações!$I$5:$I$504,A135)))</f>
        <v/>
      </c>
      <c r="Y135" s="11"/>
    </row>
    <row r="136" customFormat="false" ht="15" hidden="false" customHeight="false" outlineLevel="0" collapsed="false">
      <c r="A136" s="11"/>
      <c r="B136" s="11"/>
      <c r="C136" s="11"/>
      <c r="D136" s="11"/>
      <c r="E136" s="12" t="str">
        <f aca="false">IF(D136="","",IF(OR(D136="MEI",D136="ME",D136="EPP",D136="Cooperativa",D136="PF autônoma"),"S","N"))</f>
        <v/>
      </c>
      <c r="F136" s="11"/>
      <c r="G136" s="11"/>
      <c r="H136" s="11"/>
      <c r="I136" s="11"/>
      <c r="J136" s="11"/>
      <c r="K136" s="11"/>
      <c r="L136" s="11"/>
      <c r="M136" s="13"/>
      <c r="N136" s="14" t="str">
        <f aca="false">IF(M136="","",EDATE(M136,Parâmetros!$B$12))</f>
        <v/>
      </c>
      <c r="O136" s="11"/>
      <c r="P136" s="13"/>
      <c r="Q136" s="13"/>
      <c r="R136" s="13"/>
      <c r="S136" s="13"/>
      <c r="T136" s="12" t="str">
        <f aca="true">IF(A136="","",IF(OR(AND(P136&lt;&gt;"",P136&lt;=TODAY()+Parâmetros!$B$13),AND(Q136&lt;&gt;"",Q136&lt;=TODAY()+Parâmetros!$B$13),AND(R136&lt;&gt;"",R136&lt;=TODAY()+Parâmetros!$B$13),AND(S136&lt;&gt;"",S136&lt;=TODAY()+Parâmetros!$B$13)),"RENOVAR","OK"))</f>
        <v/>
      </c>
      <c r="U136" s="12" t="str">
        <f aca="false">IF(A136="","",COUNTIF(Contratações!$I$5:$I$504,A136))</f>
        <v/>
      </c>
      <c r="V136" s="15" t="str">
        <f aca="false">IF(A136="","",SUMIF(Contratações!$I$5:$I$504,A136,Contratações!$N$5:$N$504))</f>
        <v/>
      </c>
      <c r="W136" s="16" t="str">
        <f aca="false">IF(A136="","",IFERROR(AVERAGEIFS(Contratações!$R$5:$R$504,Contratações!$I$5:$I$504,A136,Contratações!$R$5:$R$504,"&gt;0"),""))</f>
        <v/>
      </c>
      <c r="X136" s="14" t="str">
        <f aca="false">IF(A136="","",IF(U136=0,"nunca",_xlfn.MAXIFS(Contratações!$O$5:$O$504,Contratações!$I$5:$I$504,A136)))</f>
        <v/>
      </c>
      <c r="Y136" s="11"/>
    </row>
    <row r="137" customFormat="false" ht="15" hidden="false" customHeight="false" outlineLevel="0" collapsed="false">
      <c r="A137" s="11"/>
      <c r="B137" s="11"/>
      <c r="C137" s="11"/>
      <c r="D137" s="11"/>
      <c r="E137" s="12" t="str">
        <f aca="false">IF(D137="","",IF(OR(D137="MEI",D137="ME",D137="EPP",D137="Cooperativa",D137="PF autônoma"),"S","N"))</f>
        <v/>
      </c>
      <c r="F137" s="11"/>
      <c r="G137" s="11"/>
      <c r="H137" s="11"/>
      <c r="I137" s="11"/>
      <c r="J137" s="11"/>
      <c r="K137" s="11"/>
      <c r="L137" s="11"/>
      <c r="M137" s="13"/>
      <c r="N137" s="14" t="str">
        <f aca="false">IF(M137="","",EDATE(M137,Parâmetros!$B$12))</f>
        <v/>
      </c>
      <c r="O137" s="11"/>
      <c r="P137" s="13"/>
      <c r="Q137" s="13"/>
      <c r="R137" s="13"/>
      <c r="S137" s="13"/>
      <c r="T137" s="12" t="str">
        <f aca="true">IF(A137="","",IF(OR(AND(P137&lt;&gt;"",P137&lt;=TODAY()+Parâmetros!$B$13),AND(Q137&lt;&gt;"",Q137&lt;=TODAY()+Parâmetros!$B$13),AND(R137&lt;&gt;"",R137&lt;=TODAY()+Parâmetros!$B$13),AND(S137&lt;&gt;"",S137&lt;=TODAY()+Parâmetros!$B$13)),"RENOVAR","OK"))</f>
        <v/>
      </c>
      <c r="U137" s="12" t="str">
        <f aca="false">IF(A137="","",COUNTIF(Contratações!$I$5:$I$504,A137))</f>
        <v/>
      </c>
      <c r="V137" s="15" t="str">
        <f aca="false">IF(A137="","",SUMIF(Contratações!$I$5:$I$504,A137,Contratações!$N$5:$N$504))</f>
        <v/>
      </c>
      <c r="W137" s="16" t="str">
        <f aca="false">IF(A137="","",IFERROR(AVERAGEIFS(Contratações!$R$5:$R$504,Contratações!$I$5:$I$504,A137,Contratações!$R$5:$R$504,"&gt;0"),""))</f>
        <v/>
      </c>
      <c r="X137" s="14" t="str">
        <f aca="false">IF(A137="","",IF(U137=0,"nunca",_xlfn.MAXIFS(Contratações!$O$5:$O$504,Contratações!$I$5:$I$504,A137)))</f>
        <v/>
      </c>
      <c r="Y137" s="11"/>
    </row>
    <row r="138" customFormat="false" ht="15" hidden="false" customHeight="false" outlineLevel="0" collapsed="false">
      <c r="A138" s="11"/>
      <c r="B138" s="11"/>
      <c r="C138" s="11"/>
      <c r="D138" s="11"/>
      <c r="E138" s="12" t="str">
        <f aca="false">IF(D138="","",IF(OR(D138="MEI",D138="ME",D138="EPP",D138="Cooperativa",D138="PF autônoma"),"S","N"))</f>
        <v/>
      </c>
      <c r="F138" s="11"/>
      <c r="G138" s="11"/>
      <c r="H138" s="11"/>
      <c r="I138" s="11"/>
      <c r="J138" s="11"/>
      <c r="K138" s="11"/>
      <c r="L138" s="11"/>
      <c r="M138" s="13"/>
      <c r="N138" s="14" t="str">
        <f aca="false">IF(M138="","",EDATE(M138,Parâmetros!$B$12))</f>
        <v/>
      </c>
      <c r="O138" s="11"/>
      <c r="P138" s="13"/>
      <c r="Q138" s="13"/>
      <c r="R138" s="13"/>
      <c r="S138" s="13"/>
      <c r="T138" s="12" t="str">
        <f aca="true">IF(A138="","",IF(OR(AND(P138&lt;&gt;"",P138&lt;=TODAY()+Parâmetros!$B$13),AND(Q138&lt;&gt;"",Q138&lt;=TODAY()+Parâmetros!$B$13),AND(R138&lt;&gt;"",R138&lt;=TODAY()+Parâmetros!$B$13),AND(S138&lt;&gt;"",S138&lt;=TODAY()+Parâmetros!$B$13)),"RENOVAR","OK"))</f>
        <v/>
      </c>
      <c r="U138" s="12" t="str">
        <f aca="false">IF(A138="","",COUNTIF(Contratações!$I$5:$I$504,A138))</f>
        <v/>
      </c>
      <c r="V138" s="15" t="str">
        <f aca="false">IF(A138="","",SUMIF(Contratações!$I$5:$I$504,A138,Contratações!$N$5:$N$504))</f>
        <v/>
      </c>
      <c r="W138" s="16" t="str">
        <f aca="false">IF(A138="","",IFERROR(AVERAGEIFS(Contratações!$R$5:$R$504,Contratações!$I$5:$I$504,A138,Contratações!$R$5:$R$504,"&gt;0"),""))</f>
        <v/>
      </c>
      <c r="X138" s="14" t="str">
        <f aca="false">IF(A138="","",IF(U138=0,"nunca",_xlfn.MAXIFS(Contratações!$O$5:$O$504,Contratações!$I$5:$I$504,A138)))</f>
        <v/>
      </c>
      <c r="Y138" s="11"/>
    </row>
    <row r="139" customFormat="false" ht="15" hidden="false" customHeight="false" outlineLevel="0" collapsed="false">
      <c r="A139" s="11"/>
      <c r="B139" s="11"/>
      <c r="C139" s="11"/>
      <c r="D139" s="11"/>
      <c r="E139" s="12" t="str">
        <f aca="false">IF(D139="","",IF(OR(D139="MEI",D139="ME",D139="EPP",D139="Cooperativa",D139="PF autônoma"),"S","N"))</f>
        <v/>
      </c>
      <c r="F139" s="11"/>
      <c r="G139" s="11"/>
      <c r="H139" s="11"/>
      <c r="I139" s="11"/>
      <c r="J139" s="11"/>
      <c r="K139" s="11"/>
      <c r="L139" s="11"/>
      <c r="M139" s="13"/>
      <c r="N139" s="14" t="str">
        <f aca="false">IF(M139="","",EDATE(M139,Parâmetros!$B$12))</f>
        <v/>
      </c>
      <c r="O139" s="11"/>
      <c r="P139" s="13"/>
      <c r="Q139" s="13"/>
      <c r="R139" s="13"/>
      <c r="S139" s="13"/>
      <c r="T139" s="12" t="str">
        <f aca="true">IF(A139="","",IF(OR(AND(P139&lt;&gt;"",P139&lt;=TODAY()+Parâmetros!$B$13),AND(Q139&lt;&gt;"",Q139&lt;=TODAY()+Parâmetros!$B$13),AND(R139&lt;&gt;"",R139&lt;=TODAY()+Parâmetros!$B$13),AND(S139&lt;&gt;"",S139&lt;=TODAY()+Parâmetros!$B$13)),"RENOVAR","OK"))</f>
        <v/>
      </c>
      <c r="U139" s="12" t="str">
        <f aca="false">IF(A139="","",COUNTIF(Contratações!$I$5:$I$504,A139))</f>
        <v/>
      </c>
      <c r="V139" s="15" t="str">
        <f aca="false">IF(A139="","",SUMIF(Contratações!$I$5:$I$504,A139,Contratações!$N$5:$N$504))</f>
        <v/>
      </c>
      <c r="W139" s="16" t="str">
        <f aca="false">IF(A139="","",IFERROR(AVERAGEIFS(Contratações!$R$5:$R$504,Contratações!$I$5:$I$504,A139,Contratações!$R$5:$R$504,"&gt;0"),""))</f>
        <v/>
      </c>
      <c r="X139" s="14" t="str">
        <f aca="false">IF(A139="","",IF(U139=0,"nunca",_xlfn.MAXIFS(Contratações!$O$5:$O$504,Contratações!$I$5:$I$504,A139)))</f>
        <v/>
      </c>
      <c r="Y139" s="11"/>
    </row>
    <row r="140" customFormat="false" ht="15" hidden="false" customHeight="false" outlineLevel="0" collapsed="false">
      <c r="A140" s="11"/>
      <c r="B140" s="11"/>
      <c r="C140" s="11"/>
      <c r="D140" s="11"/>
      <c r="E140" s="12" t="str">
        <f aca="false">IF(D140="","",IF(OR(D140="MEI",D140="ME",D140="EPP",D140="Cooperativa",D140="PF autônoma"),"S","N"))</f>
        <v/>
      </c>
      <c r="F140" s="11"/>
      <c r="G140" s="11"/>
      <c r="H140" s="11"/>
      <c r="I140" s="11"/>
      <c r="J140" s="11"/>
      <c r="K140" s="11"/>
      <c r="L140" s="11"/>
      <c r="M140" s="13"/>
      <c r="N140" s="14" t="str">
        <f aca="false">IF(M140="","",EDATE(M140,Parâmetros!$B$12))</f>
        <v/>
      </c>
      <c r="O140" s="11"/>
      <c r="P140" s="13"/>
      <c r="Q140" s="13"/>
      <c r="R140" s="13"/>
      <c r="S140" s="13"/>
      <c r="T140" s="12" t="str">
        <f aca="true">IF(A140="","",IF(OR(AND(P140&lt;&gt;"",P140&lt;=TODAY()+Parâmetros!$B$13),AND(Q140&lt;&gt;"",Q140&lt;=TODAY()+Parâmetros!$B$13),AND(R140&lt;&gt;"",R140&lt;=TODAY()+Parâmetros!$B$13),AND(S140&lt;&gt;"",S140&lt;=TODAY()+Parâmetros!$B$13)),"RENOVAR","OK"))</f>
        <v/>
      </c>
      <c r="U140" s="12" t="str">
        <f aca="false">IF(A140="","",COUNTIF(Contratações!$I$5:$I$504,A140))</f>
        <v/>
      </c>
      <c r="V140" s="15" t="str">
        <f aca="false">IF(A140="","",SUMIF(Contratações!$I$5:$I$504,A140,Contratações!$N$5:$N$504))</f>
        <v/>
      </c>
      <c r="W140" s="16" t="str">
        <f aca="false">IF(A140="","",IFERROR(AVERAGEIFS(Contratações!$R$5:$R$504,Contratações!$I$5:$I$504,A140,Contratações!$R$5:$R$504,"&gt;0"),""))</f>
        <v/>
      </c>
      <c r="X140" s="14" t="str">
        <f aca="false">IF(A140="","",IF(U140=0,"nunca",_xlfn.MAXIFS(Contratações!$O$5:$O$504,Contratações!$I$5:$I$504,A140)))</f>
        <v/>
      </c>
      <c r="Y140" s="11"/>
    </row>
    <row r="141" customFormat="false" ht="15" hidden="false" customHeight="false" outlineLevel="0" collapsed="false">
      <c r="A141" s="11"/>
      <c r="B141" s="11"/>
      <c r="C141" s="11"/>
      <c r="D141" s="11"/>
      <c r="E141" s="12" t="str">
        <f aca="false">IF(D141="","",IF(OR(D141="MEI",D141="ME",D141="EPP",D141="Cooperativa",D141="PF autônoma"),"S","N"))</f>
        <v/>
      </c>
      <c r="F141" s="11"/>
      <c r="G141" s="11"/>
      <c r="H141" s="11"/>
      <c r="I141" s="11"/>
      <c r="J141" s="11"/>
      <c r="K141" s="11"/>
      <c r="L141" s="11"/>
      <c r="M141" s="13"/>
      <c r="N141" s="14" t="str">
        <f aca="false">IF(M141="","",EDATE(M141,Parâmetros!$B$12))</f>
        <v/>
      </c>
      <c r="O141" s="11"/>
      <c r="P141" s="13"/>
      <c r="Q141" s="13"/>
      <c r="R141" s="13"/>
      <c r="S141" s="13"/>
      <c r="T141" s="12" t="str">
        <f aca="true">IF(A141="","",IF(OR(AND(P141&lt;&gt;"",P141&lt;=TODAY()+Parâmetros!$B$13),AND(Q141&lt;&gt;"",Q141&lt;=TODAY()+Parâmetros!$B$13),AND(R141&lt;&gt;"",R141&lt;=TODAY()+Parâmetros!$B$13),AND(S141&lt;&gt;"",S141&lt;=TODAY()+Parâmetros!$B$13)),"RENOVAR","OK"))</f>
        <v/>
      </c>
      <c r="U141" s="12" t="str">
        <f aca="false">IF(A141="","",COUNTIF(Contratações!$I$5:$I$504,A141))</f>
        <v/>
      </c>
      <c r="V141" s="15" t="str">
        <f aca="false">IF(A141="","",SUMIF(Contratações!$I$5:$I$504,A141,Contratações!$N$5:$N$504))</f>
        <v/>
      </c>
      <c r="W141" s="16" t="str">
        <f aca="false">IF(A141="","",IFERROR(AVERAGEIFS(Contratações!$R$5:$R$504,Contratações!$I$5:$I$504,A141,Contratações!$R$5:$R$504,"&gt;0"),""))</f>
        <v/>
      </c>
      <c r="X141" s="14" t="str">
        <f aca="false">IF(A141="","",IF(U141=0,"nunca",_xlfn.MAXIFS(Contratações!$O$5:$O$504,Contratações!$I$5:$I$504,A141)))</f>
        <v/>
      </c>
      <c r="Y141" s="11"/>
    </row>
    <row r="142" customFormat="false" ht="15" hidden="false" customHeight="false" outlineLevel="0" collapsed="false">
      <c r="A142" s="11"/>
      <c r="B142" s="11"/>
      <c r="C142" s="11"/>
      <c r="D142" s="11"/>
      <c r="E142" s="12" t="str">
        <f aca="false">IF(D142="","",IF(OR(D142="MEI",D142="ME",D142="EPP",D142="Cooperativa",D142="PF autônoma"),"S","N"))</f>
        <v/>
      </c>
      <c r="F142" s="11"/>
      <c r="G142" s="11"/>
      <c r="H142" s="11"/>
      <c r="I142" s="11"/>
      <c r="J142" s="11"/>
      <c r="K142" s="11"/>
      <c r="L142" s="11"/>
      <c r="M142" s="13"/>
      <c r="N142" s="14" t="str">
        <f aca="false">IF(M142="","",EDATE(M142,Parâmetros!$B$12))</f>
        <v/>
      </c>
      <c r="O142" s="11"/>
      <c r="P142" s="13"/>
      <c r="Q142" s="13"/>
      <c r="R142" s="13"/>
      <c r="S142" s="13"/>
      <c r="T142" s="12" t="str">
        <f aca="true">IF(A142="","",IF(OR(AND(P142&lt;&gt;"",P142&lt;=TODAY()+Parâmetros!$B$13),AND(Q142&lt;&gt;"",Q142&lt;=TODAY()+Parâmetros!$B$13),AND(R142&lt;&gt;"",R142&lt;=TODAY()+Parâmetros!$B$13),AND(S142&lt;&gt;"",S142&lt;=TODAY()+Parâmetros!$B$13)),"RENOVAR","OK"))</f>
        <v/>
      </c>
      <c r="U142" s="12" t="str">
        <f aca="false">IF(A142="","",COUNTIF(Contratações!$I$5:$I$504,A142))</f>
        <v/>
      </c>
      <c r="V142" s="15" t="str">
        <f aca="false">IF(A142="","",SUMIF(Contratações!$I$5:$I$504,A142,Contratações!$N$5:$N$504))</f>
        <v/>
      </c>
      <c r="W142" s="16" t="str">
        <f aca="false">IF(A142="","",IFERROR(AVERAGEIFS(Contratações!$R$5:$R$504,Contratações!$I$5:$I$504,A142,Contratações!$R$5:$R$504,"&gt;0"),""))</f>
        <v/>
      </c>
      <c r="X142" s="14" t="str">
        <f aca="false">IF(A142="","",IF(U142=0,"nunca",_xlfn.MAXIFS(Contratações!$O$5:$O$504,Contratações!$I$5:$I$504,A142)))</f>
        <v/>
      </c>
      <c r="Y142" s="11"/>
    </row>
    <row r="143" customFormat="false" ht="15" hidden="false" customHeight="false" outlineLevel="0" collapsed="false">
      <c r="A143" s="11"/>
      <c r="B143" s="11"/>
      <c r="C143" s="11"/>
      <c r="D143" s="11"/>
      <c r="E143" s="12" t="str">
        <f aca="false">IF(D143="","",IF(OR(D143="MEI",D143="ME",D143="EPP",D143="Cooperativa",D143="PF autônoma"),"S","N"))</f>
        <v/>
      </c>
      <c r="F143" s="11"/>
      <c r="G143" s="11"/>
      <c r="H143" s="11"/>
      <c r="I143" s="11"/>
      <c r="J143" s="11"/>
      <c r="K143" s="11"/>
      <c r="L143" s="11"/>
      <c r="M143" s="13"/>
      <c r="N143" s="14" t="str">
        <f aca="false">IF(M143="","",EDATE(M143,Parâmetros!$B$12))</f>
        <v/>
      </c>
      <c r="O143" s="11"/>
      <c r="P143" s="13"/>
      <c r="Q143" s="13"/>
      <c r="R143" s="13"/>
      <c r="S143" s="13"/>
      <c r="T143" s="12" t="str">
        <f aca="true">IF(A143="","",IF(OR(AND(P143&lt;&gt;"",P143&lt;=TODAY()+Parâmetros!$B$13),AND(Q143&lt;&gt;"",Q143&lt;=TODAY()+Parâmetros!$B$13),AND(R143&lt;&gt;"",R143&lt;=TODAY()+Parâmetros!$B$13),AND(S143&lt;&gt;"",S143&lt;=TODAY()+Parâmetros!$B$13)),"RENOVAR","OK"))</f>
        <v/>
      </c>
      <c r="U143" s="12" t="str">
        <f aca="false">IF(A143="","",COUNTIF(Contratações!$I$5:$I$504,A143))</f>
        <v/>
      </c>
      <c r="V143" s="15" t="str">
        <f aca="false">IF(A143="","",SUMIF(Contratações!$I$5:$I$504,A143,Contratações!$N$5:$N$504))</f>
        <v/>
      </c>
      <c r="W143" s="16" t="str">
        <f aca="false">IF(A143="","",IFERROR(AVERAGEIFS(Contratações!$R$5:$R$504,Contratações!$I$5:$I$504,A143,Contratações!$R$5:$R$504,"&gt;0"),""))</f>
        <v/>
      </c>
      <c r="X143" s="14" t="str">
        <f aca="false">IF(A143="","",IF(U143=0,"nunca",_xlfn.MAXIFS(Contratações!$O$5:$O$504,Contratações!$I$5:$I$504,A143)))</f>
        <v/>
      </c>
      <c r="Y143" s="11"/>
    </row>
    <row r="144" customFormat="false" ht="15" hidden="false" customHeight="false" outlineLevel="0" collapsed="false">
      <c r="A144" s="11"/>
      <c r="B144" s="11"/>
      <c r="C144" s="11"/>
      <c r="D144" s="11"/>
      <c r="E144" s="12" t="str">
        <f aca="false">IF(D144="","",IF(OR(D144="MEI",D144="ME",D144="EPP",D144="Cooperativa",D144="PF autônoma"),"S","N"))</f>
        <v/>
      </c>
      <c r="F144" s="11"/>
      <c r="G144" s="11"/>
      <c r="H144" s="11"/>
      <c r="I144" s="11"/>
      <c r="J144" s="11"/>
      <c r="K144" s="11"/>
      <c r="L144" s="11"/>
      <c r="M144" s="13"/>
      <c r="N144" s="14" t="str">
        <f aca="false">IF(M144="","",EDATE(M144,Parâmetros!$B$12))</f>
        <v/>
      </c>
      <c r="O144" s="11"/>
      <c r="P144" s="13"/>
      <c r="Q144" s="13"/>
      <c r="R144" s="13"/>
      <c r="S144" s="13"/>
      <c r="T144" s="12" t="str">
        <f aca="true">IF(A144="","",IF(OR(AND(P144&lt;&gt;"",P144&lt;=TODAY()+Parâmetros!$B$13),AND(Q144&lt;&gt;"",Q144&lt;=TODAY()+Parâmetros!$B$13),AND(R144&lt;&gt;"",R144&lt;=TODAY()+Parâmetros!$B$13),AND(S144&lt;&gt;"",S144&lt;=TODAY()+Parâmetros!$B$13)),"RENOVAR","OK"))</f>
        <v/>
      </c>
      <c r="U144" s="12" t="str">
        <f aca="false">IF(A144="","",COUNTIF(Contratações!$I$5:$I$504,A144))</f>
        <v/>
      </c>
      <c r="V144" s="15" t="str">
        <f aca="false">IF(A144="","",SUMIF(Contratações!$I$5:$I$504,A144,Contratações!$N$5:$N$504))</f>
        <v/>
      </c>
      <c r="W144" s="16" t="str">
        <f aca="false">IF(A144="","",IFERROR(AVERAGEIFS(Contratações!$R$5:$R$504,Contratações!$I$5:$I$504,A144,Contratações!$R$5:$R$504,"&gt;0"),""))</f>
        <v/>
      </c>
      <c r="X144" s="14" t="str">
        <f aca="false">IF(A144="","",IF(U144=0,"nunca",_xlfn.MAXIFS(Contratações!$O$5:$O$504,Contratações!$I$5:$I$504,A144)))</f>
        <v/>
      </c>
      <c r="Y144" s="11"/>
    </row>
    <row r="145" customFormat="false" ht="15" hidden="false" customHeight="false" outlineLevel="0" collapsed="false">
      <c r="A145" s="11"/>
      <c r="B145" s="11"/>
      <c r="C145" s="11"/>
      <c r="D145" s="11"/>
      <c r="E145" s="12" t="str">
        <f aca="false">IF(D145="","",IF(OR(D145="MEI",D145="ME",D145="EPP",D145="Cooperativa",D145="PF autônoma"),"S","N"))</f>
        <v/>
      </c>
      <c r="F145" s="11"/>
      <c r="G145" s="11"/>
      <c r="H145" s="11"/>
      <c r="I145" s="11"/>
      <c r="J145" s="11"/>
      <c r="K145" s="11"/>
      <c r="L145" s="11"/>
      <c r="M145" s="13"/>
      <c r="N145" s="14" t="str">
        <f aca="false">IF(M145="","",EDATE(M145,Parâmetros!$B$12))</f>
        <v/>
      </c>
      <c r="O145" s="11"/>
      <c r="P145" s="13"/>
      <c r="Q145" s="13"/>
      <c r="R145" s="13"/>
      <c r="S145" s="13"/>
      <c r="T145" s="12" t="str">
        <f aca="true">IF(A145="","",IF(OR(AND(P145&lt;&gt;"",P145&lt;=TODAY()+Parâmetros!$B$13),AND(Q145&lt;&gt;"",Q145&lt;=TODAY()+Parâmetros!$B$13),AND(R145&lt;&gt;"",R145&lt;=TODAY()+Parâmetros!$B$13),AND(S145&lt;&gt;"",S145&lt;=TODAY()+Parâmetros!$B$13)),"RENOVAR","OK"))</f>
        <v/>
      </c>
      <c r="U145" s="12" t="str">
        <f aca="false">IF(A145="","",COUNTIF(Contratações!$I$5:$I$504,A145))</f>
        <v/>
      </c>
      <c r="V145" s="15" t="str">
        <f aca="false">IF(A145="","",SUMIF(Contratações!$I$5:$I$504,A145,Contratações!$N$5:$N$504))</f>
        <v/>
      </c>
      <c r="W145" s="16" t="str">
        <f aca="false">IF(A145="","",IFERROR(AVERAGEIFS(Contratações!$R$5:$R$504,Contratações!$I$5:$I$504,A145,Contratações!$R$5:$R$504,"&gt;0"),""))</f>
        <v/>
      </c>
      <c r="X145" s="14" t="str">
        <f aca="false">IF(A145="","",IF(U145=0,"nunca",_xlfn.MAXIFS(Contratações!$O$5:$O$504,Contratações!$I$5:$I$504,A145)))</f>
        <v/>
      </c>
      <c r="Y145" s="11"/>
    </row>
    <row r="146" customFormat="false" ht="15" hidden="false" customHeight="false" outlineLevel="0" collapsed="false">
      <c r="A146" s="11"/>
      <c r="B146" s="11"/>
      <c r="C146" s="11"/>
      <c r="D146" s="11"/>
      <c r="E146" s="12" t="str">
        <f aca="false">IF(D146="","",IF(OR(D146="MEI",D146="ME",D146="EPP",D146="Cooperativa",D146="PF autônoma"),"S","N"))</f>
        <v/>
      </c>
      <c r="F146" s="11"/>
      <c r="G146" s="11"/>
      <c r="H146" s="11"/>
      <c r="I146" s="11"/>
      <c r="J146" s="11"/>
      <c r="K146" s="11"/>
      <c r="L146" s="11"/>
      <c r="M146" s="13"/>
      <c r="N146" s="14" t="str">
        <f aca="false">IF(M146="","",EDATE(M146,Parâmetros!$B$12))</f>
        <v/>
      </c>
      <c r="O146" s="11"/>
      <c r="P146" s="13"/>
      <c r="Q146" s="13"/>
      <c r="R146" s="13"/>
      <c r="S146" s="13"/>
      <c r="T146" s="12" t="str">
        <f aca="true">IF(A146="","",IF(OR(AND(P146&lt;&gt;"",P146&lt;=TODAY()+Parâmetros!$B$13),AND(Q146&lt;&gt;"",Q146&lt;=TODAY()+Parâmetros!$B$13),AND(R146&lt;&gt;"",R146&lt;=TODAY()+Parâmetros!$B$13),AND(S146&lt;&gt;"",S146&lt;=TODAY()+Parâmetros!$B$13)),"RENOVAR","OK"))</f>
        <v/>
      </c>
      <c r="U146" s="12" t="str">
        <f aca="false">IF(A146="","",COUNTIF(Contratações!$I$5:$I$504,A146))</f>
        <v/>
      </c>
      <c r="V146" s="15" t="str">
        <f aca="false">IF(A146="","",SUMIF(Contratações!$I$5:$I$504,A146,Contratações!$N$5:$N$504))</f>
        <v/>
      </c>
      <c r="W146" s="16" t="str">
        <f aca="false">IF(A146="","",IFERROR(AVERAGEIFS(Contratações!$R$5:$R$504,Contratações!$I$5:$I$504,A146,Contratações!$R$5:$R$504,"&gt;0"),""))</f>
        <v/>
      </c>
      <c r="X146" s="14" t="str">
        <f aca="false">IF(A146="","",IF(U146=0,"nunca",_xlfn.MAXIFS(Contratações!$O$5:$O$504,Contratações!$I$5:$I$504,A146)))</f>
        <v/>
      </c>
      <c r="Y146" s="11"/>
    </row>
    <row r="147" customFormat="false" ht="15" hidden="false" customHeight="false" outlineLevel="0" collapsed="false">
      <c r="A147" s="11"/>
      <c r="B147" s="11"/>
      <c r="C147" s="11"/>
      <c r="D147" s="11"/>
      <c r="E147" s="12" t="str">
        <f aca="false">IF(D147="","",IF(OR(D147="MEI",D147="ME",D147="EPP",D147="Cooperativa",D147="PF autônoma"),"S","N"))</f>
        <v/>
      </c>
      <c r="F147" s="11"/>
      <c r="G147" s="11"/>
      <c r="H147" s="11"/>
      <c r="I147" s="11"/>
      <c r="J147" s="11"/>
      <c r="K147" s="11"/>
      <c r="L147" s="11"/>
      <c r="M147" s="13"/>
      <c r="N147" s="14" t="str">
        <f aca="false">IF(M147="","",EDATE(M147,Parâmetros!$B$12))</f>
        <v/>
      </c>
      <c r="O147" s="11"/>
      <c r="P147" s="13"/>
      <c r="Q147" s="13"/>
      <c r="R147" s="13"/>
      <c r="S147" s="13"/>
      <c r="T147" s="12" t="str">
        <f aca="true">IF(A147="","",IF(OR(AND(P147&lt;&gt;"",P147&lt;=TODAY()+Parâmetros!$B$13),AND(Q147&lt;&gt;"",Q147&lt;=TODAY()+Parâmetros!$B$13),AND(R147&lt;&gt;"",R147&lt;=TODAY()+Parâmetros!$B$13),AND(S147&lt;&gt;"",S147&lt;=TODAY()+Parâmetros!$B$13)),"RENOVAR","OK"))</f>
        <v/>
      </c>
      <c r="U147" s="12" t="str">
        <f aca="false">IF(A147="","",COUNTIF(Contratações!$I$5:$I$504,A147))</f>
        <v/>
      </c>
      <c r="V147" s="15" t="str">
        <f aca="false">IF(A147="","",SUMIF(Contratações!$I$5:$I$504,A147,Contratações!$N$5:$N$504))</f>
        <v/>
      </c>
      <c r="W147" s="16" t="str">
        <f aca="false">IF(A147="","",IFERROR(AVERAGEIFS(Contratações!$R$5:$R$504,Contratações!$I$5:$I$504,A147,Contratações!$R$5:$R$504,"&gt;0"),""))</f>
        <v/>
      </c>
      <c r="X147" s="14" t="str">
        <f aca="false">IF(A147="","",IF(U147=0,"nunca",_xlfn.MAXIFS(Contratações!$O$5:$O$504,Contratações!$I$5:$I$504,A147)))</f>
        <v/>
      </c>
      <c r="Y147" s="11"/>
    </row>
    <row r="148" customFormat="false" ht="15" hidden="false" customHeight="false" outlineLevel="0" collapsed="false">
      <c r="A148" s="11"/>
      <c r="B148" s="11"/>
      <c r="C148" s="11"/>
      <c r="D148" s="11"/>
      <c r="E148" s="12" t="str">
        <f aca="false">IF(D148="","",IF(OR(D148="MEI",D148="ME",D148="EPP",D148="Cooperativa",D148="PF autônoma"),"S","N"))</f>
        <v/>
      </c>
      <c r="F148" s="11"/>
      <c r="G148" s="11"/>
      <c r="H148" s="11"/>
      <c r="I148" s="11"/>
      <c r="J148" s="11"/>
      <c r="K148" s="11"/>
      <c r="L148" s="11"/>
      <c r="M148" s="13"/>
      <c r="N148" s="14" t="str">
        <f aca="false">IF(M148="","",EDATE(M148,Parâmetros!$B$12))</f>
        <v/>
      </c>
      <c r="O148" s="11"/>
      <c r="P148" s="13"/>
      <c r="Q148" s="13"/>
      <c r="R148" s="13"/>
      <c r="S148" s="13"/>
      <c r="T148" s="12" t="str">
        <f aca="true">IF(A148="","",IF(OR(AND(P148&lt;&gt;"",P148&lt;=TODAY()+Parâmetros!$B$13),AND(Q148&lt;&gt;"",Q148&lt;=TODAY()+Parâmetros!$B$13),AND(R148&lt;&gt;"",R148&lt;=TODAY()+Parâmetros!$B$13),AND(S148&lt;&gt;"",S148&lt;=TODAY()+Parâmetros!$B$13)),"RENOVAR","OK"))</f>
        <v/>
      </c>
      <c r="U148" s="12" t="str">
        <f aca="false">IF(A148="","",COUNTIF(Contratações!$I$5:$I$504,A148))</f>
        <v/>
      </c>
      <c r="V148" s="15" t="str">
        <f aca="false">IF(A148="","",SUMIF(Contratações!$I$5:$I$504,A148,Contratações!$N$5:$N$504))</f>
        <v/>
      </c>
      <c r="W148" s="16" t="str">
        <f aca="false">IF(A148="","",IFERROR(AVERAGEIFS(Contratações!$R$5:$R$504,Contratações!$I$5:$I$504,A148,Contratações!$R$5:$R$504,"&gt;0"),""))</f>
        <v/>
      </c>
      <c r="X148" s="14" t="str">
        <f aca="false">IF(A148="","",IF(U148=0,"nunca",_xlfn.MAXIFS(Contratações!$O$5:$O$504,Contratações!$I$5:$I$504,A148)))</f>
        <v/>
      </c>
      <c r="Y148" s="11"/>
    </row>
    <row r="149" customFormat="false" ht="15" hidden="false" customHeight="false" outlineLevel="0" collapsed="false">
      <c r="A149" s="11"/>
      <c r="B149" s="11"/>
      <c r="C149" s="11"/>
      <c r="D149" s="11"/>
      <c r="E149" s="12" t="str">
        <f aca="false">IF(D149="","",IF(OR(D149="MEI",D149="ME",D149="EPP",D149="Cooperativa",D149="PF autônoma"),"S","N"))</f>
        <v/>
      </c>
      <c r="F149" s="11"/>
      <c r="G149" s="11"/>
      <c r="H149" s="11"/>
      <c r="I149" s="11"/>
      <c r="J149" s="11"/>
      <c r="K149" s="11"/>
      <c r="L149" s="11"/>
      <c r="M149" s="13"/>
      <c r="N149" s="14" t="str">
        <f aca="false">IF(M149="","",EDATE(M149,Parâmetros!$B$12))</f>
        <v/>
      </c>
      <c r="O149" s="11"/>
      <c r="P149" s="13"/>
      <c r="Q149" s="13"/>
      <c r="R149" s="13"/>
      <c r="S149" s="13"/>
      <c r="T149" s="12" t="str">
        <f aca="true">IF(A149="","",IF(OR(AND(P149&lt;&gt;"",P149&lt;=TODAY()+Parâmetros!$B$13),AND(Q149&lt;&gt;"",Q149&lt;=TODAY()+Parâmetros!$B$13),AND(R149&lt;&gt;"",R149&lt;=TODAY()+Parâmetros!$B$13),AND(S149&lt;&gt;"",S149&lt;=TODAY()+Parâmetros!$B$13)),"RENOVAR","OK"))</f>
        <v/>
      </c>
      <c r="U149" s="12" t="str">
        <f aca="false">IF(A149="","",COUNTIF(Contratações!$I$5:$I$504,A149))</f>
        <v/>
      </c>
      <c r="V149" s="15" t="str">
        <f aca="false">IF(A149="","",SUMIF(Contratações!$I$5:$I$504,A149,Contratações!$N$5:$N$504))</f>
        <v/>
      </c>
      <c r="W149" s="16" t="str">
        <f aca="false">IF(A149="","",IFERROR(AVERAGEIFS(Contratações!$R$5:$R$504,Contratações!$I$5:$I$504,A149,Contratações!$R$5:$R$504,"&gt;0"),""))</f>
        <v/>
      </c>
      <c r="X149" s="14" t="str">
        <f aca="false">IF(A149="","",IF(U149=0,"nunca",_xlfn.MAXIFS(Contratações!$O$5:$O$504,Contratações!$I$5:$I$504,A149)))</f>
        <v/>
      </c>
      <c r="Y149" s="11"/>
    </row>
    <row r="150" customFormat="false" ht="15" hidden="false" customHeight="false" outlineLevel="0" collapsed="false">
      <c r="A150" s="11"/>
      <c r="B150" s="11"/>
      <c r="C150" s="11"/>
      <c r="D150" s="11"/>
      <c r="E150" s="12" t="str">
        <f aca="false">IF(D150="","",IF(OR(D150="MEI",D150="ME",D150="EPP",D150="Cooperativa",D150="PF autônoma"),"S","N"))</f>
        <v/>
      </c>
      <c r="F150" s="11"/>
      <c r="G150" s="11"/>
      <c r="H150" s="11"/>
      <c r="I150" s="11"/>
      <c r="J150" s="11"/>
      <c r="K150" s="11"/>
      <c r="L150" s="11"/>
      <c r="M150" s="13"/>
      <c r="N150" s="14" t="str">
        <f aca="false">IF(M150="","",EDATE(M150,Parâmetros!$B$12))</f>
        <v/>
      </c>
      <c r="O150" s="11"/>
      <c r="P150" s="13"/>
      <c r="Q150" s="13"/>
      <c r="R150" s="13"/>
      <c r="S150" s="13"/>
      <c r="T150" s="12" t="str">
        <f aca="true">IF(A150="","",IF(OR(AND(P150&lt;&gt;"",P150&lt;=TODAY()+Parâmetros!$B$13),AND(Q150&lt;&gt;"",Q150&lt;=TODAY()+Parâmetros!$B$13),AND(R150&lt;&gt;"",R150&lt;=TODAY()+Parâmetros!$B$13),AND(S150&lt;&gt;"",S150&lt;=TODAY()+Parâmetros!$B$13)),"RENOVAR","OK"))</f>
        <v/>
      </c>
      <c r="U150" s="12" t="str">
        <f aca="false">IF(A150="","",COUNTIF(Contratações!$I$5:$I$504,A150))</f>
        <v/>
      </c>
      <c r="V150" s="15" t="str">
        <f aca="false">IF(A150="","",SUMIF(Contratações!$I$5:$I$504,A150,Contratações!$N$5:$N$504))</f>
        <v/>
      </c>
      <c r="W150" s="16" t="str">
        <f aca="false">IF(A150="","",IFERROR(AVERAGEIFS(Contratações!$R$5:$R$504,Contratações!$I$5:$I$504,A150,Contratações!$R$5:$R$504,"&gt;0"),""))</f>
        <v/>
      </c>
      <c r="X150" s="14" t="str">
        <f aca="false">IF(A150="","",IF(U150=0,"nunca",_xlfn.MAXIFS(Contratações!$O$5:$O$504,Contratações!$I$5:$I$504,A150)))</f>
        <v/>
      </c>
      <c r="Y150" s="11"/>
    </row>
    <row r="151" customFormat="false" ht="15" hidden="false" customHeight="false" outlineLevel="0" collapsed="false">
      <c r="A151" s="11"/>
      <c r="B151" s="11"/>
      <c r="C151" s="11"/>
      <c r="D151" s="11"/>
      <c r="E151" s="12" t="str">
        <f aca="false">IF(D151="","",IF(OR(D151="MEI",D151="ME",D151="EPP",D151="Cooperativa",D151="PF autônoma"),"S","N"))</f>
        <v/>
      </c>
      <c r="F151" s="11"/>
      <c r="G151" s="11"/>
      <c r="H151" s="11"/>
      <c r="I151" s="11"/>
      <c r="J151" s="11"/>
      <c r="K151" s="11"/>
      <c r="L151" s="11"/>
      <c r="M151" s="13"/>
      <c r="N151" s="14" t="str">
        <f aca="false">IF(M151="","",EDATE(M151,Parâmetros!$B$12))</f>
        <v/>
      </c>
      <c r="O151" s="11"/>
      <c r="P151" s="13"/>
      <c r="Q151" s="13"/>
      <c r="R151" s="13"/>
      <c r="S151" s="13"/>
      <c r="T151" s="12" t="str">
        <f aca="true">IF(A151="","",IF(OR(AND(P151&lt;&gt;"",P151&lt;=TODAY()+Parâmetros!$B$13),AND(Q151&lt;&gt;"",Q151&lt;=TODAY()+Parâmetros!$B$13),AND(R151&lt;&gt;"",R151&lt;=TODAY()+Parâmetros!$B$13),AND(S151&lt;&gt;"",S151&lt;=TODAY()+Parâmetros!$B$13)),"RENOVAR","OK"))</f>
        <v/>
      </c>
      <c r="U151" s="12" t="str">
        <f aca="false">IF(A151="","",COUNTIF(Contratações!$I$5:$I$504,A151))</f>
        <v/>
      </c>
      <c r="V151" s="15" t="str">
        <f aca="false">IF(A151="","",SUMIF(Contratações!$I$5:$I$504,A151,Contratações!$N$5:$N$504))</f>
        <v/>
      </c>
      <c r="W151" s="16" t="str">
        <f aca="false">IF(A151="","",IFERROR(AVERAGEIFS(Contratações!$R$5:$R$504,Contratações!$I$5:$I$504,A151,Contratações!$R$5:$R$504,"&gt;0"),""))</f>
        <v/>
      </c>
      <c r="X151" s="14" t="str">
        <f aca="false">IF(A151="","",IF(U151=0,"nunca",_xlfn.MAXIFS(Contratações!$O$5:$O$504,Contratações!$I$5:$I$504,A151)))</f>
        <v/>
      </c>
      <c r="Y151" s="11"/>
    </row>
    <row r="152" customFormat="false" ht="15" hidden="false" customHeight="false" outlineLevel="0" collapsed="false">
      <c r="A152" s="11"/>
      <c r="B152" s="11"/>
      <c r="C152" s="11"/>
      <c r="D152" s="11"/>
      <c r="E152" s="12" t="str">
        <f aca="false">IF(D152="","",IF(OR(D152="MEI",D152="ME",D152="EPP",D152="Cooperativa",D152="PF autônoma"),"S","N"))</f>
        <v/>
      </c>
      <c r="F152" s="11"/>
      <c r="G152" s="11"/>
      <c r="H152" s="11"/>
      <c r="I152" s="11"/>
      <c r="J152" s="11"/>
      <c r="K152" s="11"/>
      <c r="L152" s="11"/>
      <c r="M152" s="13"/>
      <c r="N152" s="14" t="str">
        <f aca="false">IF(M152="","",EDATE(M152,Parâmetros!$B$12))</f>
        <v/>
      </c>
      <c r="O152" s="11"/>
      <c r="P152" s="13"/>
      <c r="Q152" s="13"/>
      <c r="R152" s="13"/>
      <c r="S152" s="13"/>
      <c r="T152" s="12" t="str">
        <f aca="true">IF(A152="","",IF(OR(AND(P152&lt;&gt;"",P152&lt;=TODAY()+Parâmetros!$B$13),AND(Q152&lt;&gt;"",Q152&lt;=TODAY()+Parâmetros!$B$13),AND(R152&lt;&gt;"",R152&lt;=TODAY()+Parâmetros!$B$13),AND(S152&lt;&gt;"",S152&lt;=TODAY()+Parâmetros!$B$13)),"RENOVAR","OK"))</f>
        <v/>
      </c>
      <c r="U152" s="12" t="str">
        <f aca="false">IF(A152="","",COUNTIF(Contratações!$I$5:$I$504,A152))</f>
        <v/>
      </c>
      <c r="V152" s="15" t="str">
        <f aca="false">IF(A152="","",SUMIF(Contratações!$I$5:$I$504,A152,Contratações!$N$5:$N$504))</f>
        <v/>
      </c>
      <c r="W152" s="16" t="str">
        <f aca="false">IF(A152="","",IFERROR(AVERAGEIFS(Contratações!$R$5:$R$504,Contratações!$I$5:$I$504,A152,Contratações!$R$5:$R$504,"&gt;0"),""))</f>
        <v/>
      </c>
      <c r="X152" s="14" t="str">
        <f aca="false">IF(A152="","",IF(U152=0,"nunca",_xlfn.MAXIFS(Contratações!$O$5:$O$504,Contratações!$I$5:$I$504,A152)))</f>
        <v/>
      </c>
      <c r="Y152" s="11"/>
    </row>
    <row r="153" customFormat="false" ht="15" hidden="false" customHeight="false" outlineLevel="0" collapsed="false">
      <c r="A153" s="11"/>
      <c r="B153" s="11"/>
      <c r="C153" s="11"/>
      <c r="D153" s="11"/>
      <c r="E153" s="12" t="str">
        <f aca="false">IF(D153="","",IF(OR(D153="MEI",D153="ME",D153="EPP",D153="Cooperativa",D153="PF autônoma"),"S","N"))</f>
        <v/>
      </c>
      <c r="F153" s="11"/>
      <c r="G153" s="11"/>
      <c r="H153" s="11"/>
      <c r="I153" s="11"/>
      <c r="J153" s="11"/>
      <c r="K153" s="11"/>
      <c r="L153" s="11"/>
      <c r="M153" s="13"/>
      <c r="N153" s="14" t="str">
        <f aca="false">IF(M153="","",EDATE(M153,Parâmetros!$B$12))</f>
        <v/>
      </c>
      <c r="O153" s="11"/>
      <c r="P153" s="13"/>
      <c r="Q153" s="13"/>
      <c r="R153" s="13"/>
      <c r="S153" s="13"/>
      <c r="T153" s="12" t="str">
        <f aca="true">IF(A153="","",IF(OR(AND(P153&lt;&gt;"",P153&lt;=TODAY()+Parâmetros!$B$13),AND(Q153&lt;&gt;"",Q153&lt;=TODAY()+Parâmetros!$B$13),AND(R153&lt;&gt;"",R153&lt;=TODAY()+Parâmetros!$B$13),AND(S153&lt;&gt;"",S153&lt;=TODAY()+Parâmetros!$B$13)),"RENOVAR","OK"))</f>
        <v/>
      </c>
      <c r="U153" s="12" t="str">
        <f aca="false">IF(A153="","",COUNTIF(Contratações!$I$5:$I$504,A153))</f>
        <v/>
      </c>
      <c r="V153" s="15" t="str">
        <f aca="false">IF(A153="","",SUMIF(Contratações!$I$5:$I$504,A153,Contratações!$N$5:$N$504))</f>
        <v/>
      </c>
      <c r="W153" s="16" t="str">
        <f aca="false">IF(A153="","",IFERROR(AVERAGEIFS(Contratações!$R$5:$R$504,Contratações!$I$5:$I$504,A153,Contratações!$R$5:$R$504,"&gt;0"),""))</f>
        <v/>
      </c>
      <c r="X153" s="14" t="str">
        <f aca="false">IF(A153="","",IF(U153=0,"nunca",_xlfn.MAXIFS(Contratações!$O$5:$O$504,Contratações!$I$5:$I$504,A153)))</f>
        <v/>
      </c>
      <c r="Y153" s="11"/>
    </row>
    <row r="154" customFormat="false" ht="15" hidden="false" customHeight="false" outlineLevel="0" collapsed="false">
      <c r="A154" s="11"/>
      <c r="B154" s="11"/>
      <c r="C154" s="11"/>
      <c r="D154" s="11"/>
      <c r="E154" s="12" t="str">
        <f aca="false">IF(D154="","",IF(OR(D154="MEI",D154="ME",D154="EPP",D154="Cooperativa",D154="PF autônoma"),"S","N"))</f>
        <v/>
      </c>
      <c r="F154" s="11"/>
      <c r="G154" s="11"/>
      <c r="H154" s="11"/>
      <c r="I154" s="11"/>
      <c r="J154" s="11"/>
      <c r="K154" s="11"/>
      <c r="L154" s="11"/>
      <c r="M154" s="13"/>
      <c r="N154" s="14" t="str">
        <f aca="false">IF(M154="","",EDATE(M154,Parâmetros!$B$12))</f>
        <v/>
      </c>
      <c r="O154" s="11"/>
      <c r="P154" s="13"/>
      <c r="Q154" s="13"/>
      <c r="R154" s="13"/>
      <c r="S154" s="13"/>
      <c r="T154" s="12" t="str">
        <f aca="true">IF(A154="","",IF(OR(AND(P154&lt;&gt;"",P154&lt;=TODAY()+Parâmetros!$B$13),AND(Q154&lt;&gt;"",Q154&lt;=TODAY()+Parâmetros!$B$13),AND(R154&lt;&gt;"",R154&lt;=TODAY()+Parâmetros!$B$13),AND(S154&lt;&gt;"",S154&lt;=TODAY()+Parâmetros!$B$13)),"RENOVAR","OK"))</f>
        <v/>
      </c>
      <c r="U154" s="12" t="str">
        <f aca="false">IF(A154="","",COUNTIF(Contratações!$I$5:$I$504,A154))</f>
        <v/>
      </c>
      <c r="V154" s="15" t="str">
        <f aca="false">IF(A154="","",SUMIF(Contratações!$I$5:$I$504,A154,Contratações!$N$5:$N$504))</f>
        <v/>
      </c>
      <c r="W154" s="16" t="str">
        <f aca="false">IF(A154="","",IFERROR(AVERAGEIFS(Contratações!$R$5:$R$504,Contratações!$I$5:$I$504,A154,Contratações!$R$5:$R$504,"&gt;0"),""))</f>
        <v/>
      </c>
      <c r="X154" s="14" t="str">
        <f aca="false">IF(A154="","",IF(U154=0,"nunca",_xlfn.MAXIFS(Contratações!$O$5:$O$504,Contratações!$I$5:$I$504,A154)))</f>
        <v/>
      </c>
      <c r="Y154" s="11"/>
    </row>
    <row r="155" customFormat="false" ht="15" hidden="false" customHeight="false" outlineLevel="0" collapsed="false">
      <c r="A155" s="11"/>
      <c r="B155" s="11"/>
      <c r="C155" s="11"/>
      <c r="D155" s="11"/>
      <c r="E155" s="12" t="str">
        <f aca="false">IF(D155="","",IF(OR(D155="MEI",D155="ME",D155="EPP",D155="Cooperativa",D155="PF autônoma"),"S","N"))</f>
        <v/>
      </c>
      <c r="F155" s="11"/>
      <c r="G155" s="11"/>
      <c r="H155" s="11"/>
      <c r="I155" s="11"/>
      <c r="J155" s="11"/>
      <c r="K155" s="11"/>
      <c r="L155" s="11"/>
      <c r="M155" s="13"/>
      <c r="N155" s="14" t="str">
        <f aca="false">IF(M155="","",EDATE(M155,Parâmetros!$B$12))</f>
        <v/>
      </c>
      <c r="O155" s="11"/>
      <c r="P155" s="13"/>
      <c r="Q155" s="13"/>
      <c r="R155" s="13"/>
      <c r="S155" s="13"/>
      <c r="T155" s="12" t="str">
        <f aca="true">IF(A155="","",IF(OR(AND(P155&lt;&gt;"",P155&lt;=TODAY()+Parâmetros!$B$13),AND(Q155&lt;&gt;"",Q155&lt;=TODAY()+Parâmetros!$B$13),AND(R155&lt;&gt;"",R155&lt;=TODAY()+Parâmetros!$B$13),AND(S155&lt;&gt;"",S155&lt;=TODAY()+Parâmetros!$B$13)),"RENOVAR","OK"))</f>
        <v/>
      </c>
      <c r="U155" s="12" t="str">
        <f aca="false">IF(A155="","",COUNTIF(Contratações!$I$5:$I$504,A155))</f>
        <v/>
      </c>
      <c r="V155" s="15" t="str">
        <f aca="false">IF(A155="","",SUMIF(Contratações!$I$5:$I$504,A155,Contratações!$N$5:$N$504))</f>
        <v/>
      </c>
      <c r="W155" s="16" t="str">
        <f aca="false">IF(A155="","",IFERROR(AVERAGEIFS(Contratações!$R$5:$R$504,Contratações!$I$5:$I$504,A155,Contratações!$R$5:$R$504,"&gt;0"),""))</f>
        <v/>
      </c>
      <c r="X155" s="14" t="str">
        <f aca="false">IF(A155="","",IF(U155=0,"nunca",_xlfn.MAXIFS(Contratações!$O$5:$O$504,Contratações!$I$5:$I$504,A155)))</f>
        <v/>
      </c>
      <c r="Y155" s="11"/>
    </row>
    <row r="156" customFormat="false" ht="15" hidden="false" customHeight="false" outlineLevel="0" collapsed="false">
      <c r="A156" s="11"/>
      <c r="B156" s="11"/>
      <c r="C156" s="11"/>
      <c r="D156" s="11"/>
      <c r="E156" s="12" t="str">
        <f aca="false">IF(D156="","",IF(OR(D156="MEI",D156="ME",D156="EPP",D156="Cooperativa",D156="PF autônoma"),"S","N"))</f>
        <v/>
      </c>
      <c r="F156" s="11"/>
      <c r="G156" s="11"/>
      <c r="H156" s="11"/>
      <c r="I156" s="11"/>
      <c r="J156" s="11"/>
      <c r="K156" s="11"/>
      <c r="L156" s="11"/>
      <c r="M156" s="13"/>
      <c r="N156" s="14" t="str">
        <f aca="false">IF(M156="","",EDATE(M156,Parâmetros!$B$12))</f>
        <v/>
      </c>
      <c r="O156" s="11"/>
      <c r="P156" s="13"/>
      <c r="Q156" s="13"/>
      <c r="R156" s="13"/>
      <c r="S156" s="13"/>
      <c r="T156" s="12" t="str">
        <f aca="true">IF(A156="","",IF(OR(AND(P156&lt;&gt;"",P156&lt;=TODAY()+Parâmetros!$B$13),AND(Q156&lt;&gt;"",Q156&lt;=TODAY()+Parâmetros!$B$13),AND(R156&lt;&gt;"",R156&lt;=TODAY()+Parâmetros!$B$13),AND(S156&lt;&gt;"",S156&lt;=TODAY()+Parâmetros!$B$13)),"RENOVAR","OK"))</f>
        <v/>
      </c>
      <c r="U156" s="12" t="str">
        <f aca="false">IF(A156="","",COUNTIF(Contratações!$I$5:$I$504,A156))</f>
        <v/>
      </c>
      <c r="V156" s="15" t="str">
        <f aca="false">IF(A156="","",SUMIF(Contratações!$I$5:$I$504,A156,Contratações!$N$5:$N$504))</f>
        <v/>
      </c>
      <c r="W156" s="16" t="str">
        <f aca="false">IF(A156="","",IFERROR(AVERAGEIFS(Contratações!$R$5:$R$504,Contratações!$I$5:$I$504,A156,Contratações!$R$5:$R$504,"&gt;0"),""))</f>
        <v/>
      </c>
      <c r="X156" s="14" t="str">
        <f aca="false">IF(A156="","",IF(U156=0,"nunca",_xlfn.MAXIFS(Contratações!$O$5:$O$504,Contratações!$I$5:$I$504,A156)))</f>
        <v/>
      </c>
      <c r="Y156" s="11"/>
    </row>
    <row r="157" customFormat="false" ht="15" hidden="false" customHeight="false" outlineLevel="0" collapsed="false">
      <c r="A157" s="11"/>
      <c r="B157" s="11"/>
      <c r="C157" s="11"/>
      <c r="D157" s="11"/>
      <c r="E157" s="12" t="str">
        <f aca="false">IF(D157="","",IF(OR(D157="MEI",D157="ME",D157="EPP",D157="Cooperativa",D157="PF autônoma"),"S","N"))</f>
        <v/>
      </c>
      <c r="F157" s="11"/>
      <c r="G157" s="11"/>
      <c r="H157" s="11"/>
      <c r="I157" s="11"/>
      <c r="J157" s="11"/>
      <c r="K157" s="11"/>
      <c r="L157" s="11"/>
      <c r="M157" s="13"/>
      <c r="N157" s="14" t="str">
        <f aca="false">IF(M157="","",EDATE(M157,Parâmetros!$B$12))</f>
        <v/>
      </c>
      <c r="O157" s="11"/>
      <c r="P157" s="13"/>
      <c r="Q157" s="13"/>
      <c r="R157" s="13"/>
      <c r="S157" s="13"/>
      <c r="T157" s="12" t="str">
        <f aca="true">IF(A157="","",IF(OR(AND(P157&lt;&gt;"",P157&lt;=TODAY()+Parâmetros!$B$13),AND(Q157&lt;&gt;"",Q157&lt;=TODAY()+Parâmetros!$B$13),AND(R157&lt;&gt;"",R157&lt;=TODAY()+Parâmetros!$B$13),AND(S157&lt;&gt;"",S157&lt;=TODAY()+Parâmetros!$B$13)),"RENOVAR","OK"))</f>
        <v/>
      </c>
      <c r="U157" s="12" t="str">
        <f aca="false">IF(A157="","",COUNTIF(Contratações!$I$5:$I$504,A157))</f>
        <v/>
      </c>
      <c r="V157" s="15" t="str">
        <f aca="false">IF(A157="","",SUMIF(Contratações!$I$5:$I$504,A157,Contratações!$N$5:$N$504))</f>
        <v/>
      </c>
      <c r="W157" s="16" t="str">
        <f aca="false">IF(A157="","",IFERROR(AVERAGEIFS(Contratações!$R$5:$R$504,Contratações!$I$5:$I$504,A157,Contratações!$R$5:$R$504,"&gt;0"),""))</f>
        <v/>
      </c>
      <c r="X157" s="14" t="str">
        <f aca="false">IF(A157="","",IF(U157=0,"nunca",_xlfn.MAXIFS(Contratações!$O$5:$O$504,Contratações!$I$5:$I$504,A157)))</f>
        <v/>
      </c>
      <c r="Y157" s="11"/>
    </row>
    <row r="158" customFormat="false" ht="15" hidden="false" customHeight="false" outlineLevel="0" collapsed="false">
      <c r="A158" s="11"/>
      <c r="B158" s="11"/>
      <c r="C158" s="11"/>
      <c r="D158" s="11"/>
      <c r="E158" s="12" t="str">
        <f aca="false">IF(D158="","",IF(OR(D158="MEI",D158="ME",D158="EPP",D158="Cooperativa",D158="PF autônoma"),"S","N"))</f>
        <v/>
      </c>
      <c r="F158" s="11"/>
      <c r="G158" s="11"/>
      <c r="H158" s="11"/>
      <c r="I158" s="11"/>
      <c r="J158" s="11"/>
      <c r="K158" s="11"/>
      <c r="L158" s="11"/>
      <c r="M158" s="13"/>
      <c r="N158" s="14" t="str">
        <f aca="false">IF(M158="","",EDATE(M158,Parâmetros!$B$12))</f>
        <v/>
      </c>
      <c r="O158" s="11"/>
      <c r="P158" s="13"/>
      <c r="Q158" s="13"/>
      <c r="R158" s="13"/>
      <c r="S158" s="13"/>
      <c r="T158" s="12" t="str">
        <f aca="true">IF(A158="","",IF(OR(AND(P158&lt;&gt;"",P158&lt;=TODAY()+Parâmetros!$B$13),AND(Q158&lt;&gt;"",Q158&lt;=TODAY()+Parâmetros!$B$13),AND(R158&lt;&gt;"",R158&lt;=TODAY()+Parâmetros!$B$13),AND(S158&lt;&gt;"",S158&lt;=TODAY()+Parâmetros!$B$13)),"RENOVAR","OK"))</f>
        <v/>
      </c>
      <c r="U158" s="12" t="str">
        <f aca="false">IF(A158="","",COUNTIF(Contratações!$I$5:$I$504,A158))</f>
        <v/>
      </c>
      <c r="V158" s="15" t="str">
        <f aca="false">IF(A158="","",SUMIF(Contratações!$I$5:$I$504,A158,Contratações!$N$5:$N$504))</f>
        <v/>
      </c>
      <c r="W158" s="16" t="str">
        <f aca="false">IF(A158="","",IFERROR(AVERAGEIFS(Contratações!$R$5:$R$504,Contratações!$I$5:$I$504,A158,Contratações!$R$5:$R$504,"&gt;0"),""))</f>
        <v/>
      </c>
      <c r="X158" s="14" t="str">
        <f aca="false">IF(A158="","",IF(U158=0,"nunca",_xlfn.MAXIFS(Contratações!$O$5:$O$504,Contratações!$I$5:$I$504,A158)))</f>
        <v/>
      </c>
      <c r="Y158" s="11"/>
    </row>
    <row r="159" customFormat="false" ht="15" hidden="false" customHeight="false" outlineLevel="0" collapsed="false">
      <c r="A159" s="11"/>
      <c r="B159" s="11"/>
      <c r="C159" s="11"/>
      <c r="D159" s="11"/>
      <c r="E159" s="12" t="str">
        <f aca="false">IF(D159="","",IF(OR(D159="MEI",D159="ME",D159="EPP",D159="Cooperativa",D159="PF autônoma"),"S","N"))</f>
        <v/>
      </c>
      <c r="F159" s="11"/>
      <c r="G159" s="11"/>
      <c r="H159" s="11"/>
      <c r="I159" s="11"/>
      <c r="J159" s="11"/>
      <c r="K159" s="11"/>
      <c r="L159" s="11"/>
      <c r="M159" s="13"/>
      <c r="N159" s="14" t="str">
        <f aca="false">IF(M159="","",EDATE(M159,Parâmetros!$B$12))</f>
        <v/>
      </c>
      <c r="O159" s="11"/>
      <c r="P159" s="13"/>
      <c r="Q159" s="13"/>
      <c r="R159" s="13"/>
      <c r="S159" s="13"/>
      <c r="T159" s="12" t="str">
        <f aca="true">IF(A159="","",IF(OR(AND(P159&lt;&gt;"",P159&lt;=TODAY()+Parâmetros!$B$13),AND(Q159&lt;&gt;"",Q159&lt;=TODAY()+Parâmetros!$B$13),AND(R159&lt;&gt;"",R159&lt;=TODAY()+Parâmetros!$B$13),AND(S159&lt;&gt;"",S159&lt;=TODAY()+Parâmetros!$B$13)),"RENOVAR","OK"))</f>
        <v/>
      </c>
      <c r="U159" s="12" t="str">
        <f aca="false">IF(A159="","",COUNTIF(Contratações!$I$5:$I$504,A159))</f>
        <v/>
      </c>
      <c r="V159" s="15" t="str">
        <f aca="false">IF(A159="","",SUMIF(Contratações!$I$5:$I$504,A159,Contratações!$N$5:$N$504))</f>
        <v/>
      </c>
      <c r="W159" s="16" t="str">
        <f aca="false">IF(A159="","",IFERROR(AVERAGEIFS(Contratações!$R$5:$R$504,Contratações!$I$5:$I$504,A159,Contratações!$R$5:$R$504,"&gt;0"),""))</f>
        <v/>
      </c>
      <c r="X159" s="14" t="str">
        <f aca="false">IF(A159="","",IF(U159=0,"nunca",_xlfn.MAXIFS(Contratações!$O$5:$O$504,Contratações!$I$5:$I$504,A159)))</f>
        <v/>
      </c>
      <c r="Y159" s="11"/>
    </row>
    <row r="160" customFormat="false" ht="15" hidden="false" customHeight="false" outlineLevel="0" collapsed="false">
      <c r="A160" s="11"/>
      <c r="B160" s="11"/>
      <c r="C160" s="11"/>
      <c r="D160" s="11"/>
      <c r="E160" s="12" t="str">
        <f aca="false">IF(D160="","",IF(OR(D160="MEI",D160="ME",D160="EPP",D160="Cooperativa",D160="PF autônoma"),"S","N"))</f>
        <v/>
      </c>
      <c r="F160" s="11"/>
      <c r="G160" s="11"/>
      <c r="H160" s="11"/>
      <c r="I160" s="11"/>
      <c r="J160" s="11"/>
      <c r="K160" s="11"/>
      <c r="L160" s="11"/>
      <c r="M160" s="13"/>
      <c r="N160" s="14" t="str">
        <f aca="false">IF(M160="","",EDATE(M160,Parâmetros!$B$12))</f>
        <v/>
      </c>
      <c r="O160" s="11"/>
      <c r="P160" s="13"/>
      <c r="Q160" s="13"/>
      <c r="R160" s="13"/>
      <c r="S160" s="13"/>
      <c r="T160" s="12" t="str">
        <f aca="true">IF(A160="","",IF(OR(AND(P160&lt;&gt;"",P160&lt;=TODAY()+Parâmetros!$B$13),AND(Q160&lt;&gt;"",Q160&lt;=TODAY()+Parâmetros!$B$13),AND(R160&lt;&gt;"",R160&lt;=TODAY()+Parâmetros!$B$13),AND(S160&lt;&gt;"",S160&lt;=TODAY()+Parâmetros!$B$13)),"RENOVAR","OK"))</f>
        <v/>
      </c>
      <c r="U160" s="12" t="str">
        <f aca="false">IF(A160="","",COUNTIF(Contratações!$I$5:$I$504,A160))</f>
        <v/>
      </c>
      <c r="V160" s="15" t="str">
        <f aca="false">IF(A160="","",SUMIF(Contratações!$I$5:$I$504,A160,Contratações!$N$5:$N$504))</f>
        <v/>
      </c>
      <c r="W160" s="16" t="str">
        <f aca="false">IF(A160="","",IFERROR(AVERAGEIFS(Contratações!$R$5:$R$504,Contratações!$I$5:$I$504,A160,Contratações!$R$5:$R$504,"&gt;0"),""))</f>
        <v/>
      </c>
      <c r="X160" s="14" t="str">
        <f aca="false">IF(A160="","",IF(U160=0,"nunca",_xlfn.MAXIFS(Contratações!$O$5:$O$504,Contratações!$I$5:$I$504,A160)))</f>
        <v/>
      </c>
      <c r="Y160" s="11"/>
    </row>
    <row r="161" customFormat="false" ht="15" hidden="false" customHeight="false" outlineLevel="0" collapsed="false">
      <c r="A161" s="11"/>
      <c r="B161" s="11"/>
      <c r="C161" s="11"/>
      <c r="D161" s="11"/>
      <c r="E161" s="12" t="str">
        <f aca="false">IF(D161="","",IF(OR(D161="MEI",D161="ME",D161="EPP",D161="Cooperativa",D161="PF autônoma"),"S","N"))</f>
        <v/>
      </c>
      <c r="F161" s="11"/>
      <c r="G161" s="11"/>
      <c r="H161" s="11"/>
      <c r="I161" s="11"/>
      <c r="J161" s="11"/>
      <c r="K161" s="11"/>
      <c r="L161" s="11"/>
      <c r="M161" s="13"/>
      <c r="N161" s="14" t="str">
        <f aca="false">IF(M161="","",EDATE(M161,Parâmetros!$B$12))</f>
        <v/>
      </c>
      <c r="O161" s="11"/>
      <c r="P161" s="13"/>
      <c r="Q161" s="13"/>
      <c r="R161" s="13"/>
      <c r="S161" s="13"/>
      <c r="T161" s="12" t="str">
        <f aca="true">IF(A161="","",IF(OR(AND(P161&lt;&gt;"",P161&lt;=TODAY()+Parâmetros!$B$13),AND(Q161&lt;&gt;"",Q161&lt;=TODAY()+Parâmetros!$B$13),AND(R161&lt;&gt;"",R161&lt;=TODAY()+Parâmetros!$B$13),AND(S161&lt;&gt;"",S161&lt;=TODAY()+Parâmetros!$B$13)),"RENOVAR","OK"))</f>
        <v/>
      </c>
      <c r="U161" s="12" t="str">
        <f aca="false">IF(A161="","",COUNTIF(Contratações!$I$5:$I$504,A161))</f>
        <v/>
      </c>
      <c r="V161" s="15" t="str">
        <f aca="false">IF(A161="","",SUMIF(Contratações!$I$5:$I$504,A161,Contratações!$N$5:$N$504))</f>
        <v/>
      </c>
      <c r="W161" s="16" t="str">
        <f aca="false">IF(A161="","",IFERROR(AVERAGEIFS(Contratações!$R$5:$R$504,Contratações!$I$5:$I$504,A161,Contratações!$R$5:$R$504,"&gt;0"),""))</f>
        <v/>
      </c>
      <c r="X161" s="14" t="str">
        <f aca="false">IF(A161="","",IF(U161=0,"nunca",_xlfn.MAXIFS(Contratações!$O$5:$O$504,Contratações!$I$5:$I$504,A161)))</f>
        <v/>
      </c>
      <c r="Y161" s="11"/>
    </row>
    <row r="162" customFormat="false" ht="15" hidden="false" customHeight="false" outlineLevel="0" collapsed="false">
      <c r="A162" s="11"/>
      <c r="B162" s="11"/>
      <c r="C162" s="11"/>
      <c r="D162" s="11"/>
      <c r="E162" s="12" t="str">
        <f aca="false">IF(D162="","",IF(OR(D162="MEI",D162="ME",D162="EPP",D162="Cooperativa",D162="PF autônoma"),"S","N"))</f>
        <v/>
      </c>
      <c r="F162" s="11"/>
      <c r="G162" s="11"/>
      <c r="H162" s="11"/>
      <c r="I162" s="11"/>
      <c r="J162" s="11"/>
      <c r="K162" s="11"/>
      <c r="L162" s="11"/>
      <c r="M162" s="13"/>
      <c r="N162" s="14" t="str">
        <f aca="false">IF(M162="","",EDATE(M162,Parâmetros!$B$12))</f>
        <v/>
      </c>
      <c r="O162" s="11"/>
      <c r="P162" s="13"/>
      <c r="Q162" s="13"/>
      <c r="R162" s="13"/>
      <c r="S162" s="13"/>
      <c r="T162" s="12" t="str">
        <f aca="true">IF(A162="","",IF(OR(AND(P162&lt;&gt;"",P162&lt;=TODAY()+Parâmetros!$B$13),AND(Q162&lt;&gt;"",Q162&lt;=TODAY()+Parâmetros!$B$13),AND(R162&lt;&gt;"",R162&lt;=TODAY()+Parâmetros!$B$13),AND(S162&lt;&gt;"",S162&lt;=TODAY()+Parâmetros!$B$13)),"RENOVAR","OK"))</f>
        <v/>
      </c>
      <c r="U162" s="12" t="str">
        <f aca="false">IF(A162="","",COUNTIF(Contratações!$I$5:$I$504,A162))</f>
        <v/>
      </c>
      <c r="V162" s="15" t="str">
        <f aca="false">IF(A162="","",SUMIF(Contratações!$I$5:$I$504,A162,Contratações!$N$5:$N$504))</f>
        <v/>
      </c>
      <c r="W162" s="16" t="str">
        <f aca="false">IF(A162="","",IFERROR(AVERAGEIFS(Contratações!$R$5:$R$504,Contratações!$I$5:$I$504,A162,Contratações!$R$5:$R$504,"&gt;0"),""))</f>
        <v/>
      </c>
      <c r="X162" s="14" t="str">
        <f aca="false">IF(A162="","",IF(U162=0,"nunca",_xlfn.MAXIFS(Contratações!$O$5:$O$504,Contratações!$I$5:$I$504,A162)))</f>
        <v/>
      </c>
      <c r="Y162" s="11"/>
    </row>
    <row r="163" customFormat="false" ht="15" hidden="false" customHeight="false" outlineLevel="0" collapsed="false">
      <c r="A163" s="11"/>
      <c r="B163" s="11"/>
      <c r="C163" s="11"/>
      <c r="D163" s="11"/>
      <c r="E163" s="12" t="str">
        <f aca="false">IF(D163="","",IF(OR(D163="MEI",D163="ME",D163="EPP",D163="Cooperativa",D163="PF autônoma"),"S","N"))</f>
        <v/>
      </c>
      <c r="F163" s="11"/>
      <c r="G163" s="11"/>
      <c r="H163" s="11"/>
      <c r="I163" s="11"/>
      <c r="J163" s="11"/>
      <c r="K163" s="11"/>
      <c r="L163" s="11"/>
      <c r="M163" s="13"/>
      <c r="N163" s="14" t="str">
        <f aca="false">IF(M163="","",EDATE(M163,Parâmetros!$B$12))</f>
        <v/>
      </c>
      <c r="O163" s="11"/>
      <c r="P163" s="13"/>
      <c r="Q163" s="13"/>
      <c r="R163" s="13"/>
      <c r="S163" s="13"/>
      <c r="T163" s="12" t="str">
        <f aca="true">IF(A163="","",IF(OR(AND(P163&lt;&gt;"",P163&lt;=TODAY()+Parâmetros!$B$13),AND(Q163&lt;&gt;"",Q163&lt;=TODAY()+Parâmetros!$B$13),AND(R163&lt;&gt;"",R163&lt;=TODAY()+Parâmetros!$B$13),AND(S163&lt;&gt;"",S163&lt;=TODAY()+Parâmetros!$B$13)),"RENOVAR","OK"))</f>
        <v/>
      </c>
      <c r="U163" s="12" t="str">
        <f aca="false">IF(A163="","",COUNTIF(Contratações!$I$5:$I$504,A163))</f>
        <v/>
      </c>
      <c r="V163" s="15" t="str">
        <f aca="false">IF(A163="","",SUMIF(Contratações!$I$5:$I$504,A163,Contratações!$N$5:$N$504))</f>
        <v/>
      </c>
      <c r="W163" s="16" t="str">
        <f aca="false">IF(A163="","",IFERROR(AVERAGEIFS(Contratações!$R$5:$R$504,Contratações!$I$5:$I$504,A163,Contratações!$R$5:$R$504,"&gt;0"),""))</f>
        <v/>
      </c>
      <c r="X163" s="14" t="str">
        <f aca="false">IF(A163="","",IF(U163=0,"nunca",_xlfn.MAXIFS(Contratações!$O$5:$O$504,Contratações!$I$5:$I$504,A163)))</f>
        <v/>
      </c>
      <c r="Y163" s="11"/>
    </row>
    <row r="164" customFormat="false" ht="15" hidden="false" customHeight="false" outlineLevel="0" collapsed="false">
      <c r="A164" s="11"/>
      <c r="B164" s="11"/>
      <c r="C164" s="11"/>
      <c r="D164" s="11"/>
      <c r="E164" s="12" t="str">
        <f aca="false">IF(D164="","",IF(OR(D164="MEI",D164="ME",D164="EPP",D164="Cooperativa",D164="PF autônoma"),"S","N"))</f>
        <v/>
      </c>
      <c r="F164" s="11"/>
      <c r="G164" s="11"/>
      <c r="H164" s="11"/>
      <c r="I164" s="11"/>
      <c r="J164" s="11"/>
      <c r="K164" s="11"/>
      <c r="L164" s="11"/>
      <c r="M164" s="13"/>
      <c r="N164" s="14" t="str">
        <f aca="false">IF(M164="","",EDATE(M164,Parâmetros!$B$12))</f>
        <v/>
      </c>
      <c r="O164" s="11"/>
      <c r="P164" s="13"/>
      <c r="Q164" s="13"/>
      <c r="R164" s="13"/>
      <c r="S164" s="13"/>
      <c r="T164" s="12" t="str">
        <f aca="true">IF(A164="","",IF(OR(AND(P164&lt;&gt;"",P164&lt;=TODAY()+Parâmetros!$B$13),AND(Q164&lt;&gt;"",Q164&lt;=TODAY()+Parâmetros!$B$13),AND(R164&lt;&gt;"",R164&lt;=TODAY()+Parâmetros!$B$13),AND(S164&lt;&gt;"",S164&lt;=TODAY()+Parâmetros!$B$13)),"RENOVAR","OK"))</f>
        <v/>
      </c>
      <c r="U164" s="12" t="str">
        <f aca="false">IF(A164="","",COUNTIF(Contratações!$I$5:$I$504,A164))</f>
        <v/>
      </c>
      <c r="V164" s="15" t="str">
        <f aca="false">IF(A164="","",SUMIF(Contratações!$I$5:$I$504,A164,Contratações!$N$5:$N$504))</f>
        <v/>
      </c>
      <c r="W164" s="16" t="str">
        <f aca="false">IF(A164="","",IFERROR(AVERAGEIFS(Contratações!$R$5:$R$504,Contratações!$I$5:$I$504,A164,Contratações!$R$5:$R$504,"&gt;0"),""))</f>
        <v/>
      </c>
      <c r="X164" s="14" t="str">
        <f aca="false">IF(A164="","",IF(U164=0,"nunca",_xlfn.MAXIFS(Contratações!$O$5:$O$504,Contratações!$I$5:$I$504,A164)))</f>
        <v/>
      </c>
      <c r="Y164" s="11"/>
    </row>
    <row r="165" customFormat="false" ht="15" hidden="false" customHeight="false" outlineLevel="0" collapsed="false">
      <c r="A165" s="11"/>
      <c r="B165" s="11"/>
      <c r="C165" s="11"/>
      <c r="D165" s="11"/>
      <c r="E165" s="12" t="str">
        <f aca="false">IF(D165="","",IF(OR(D165="MEI",D165="ME",D165="EPP",D165="Cooperativa",D165="PF autônoma"),"S","N"))</f>
        <v/>
      </c>
      <c r="F165" s="11"/>
      <c r="G165" s="11"/>
      <c r="H165" s="11"/>
      <c r="I165" s="11"/>
      <c r="J165" s="11"/>
      <c r="K165" s="11"/>
      <c r="L165" s="11"/>
      <c r="M165" s="13"/>
      <c r="N165" s="14" t="str">
        <f aca="false">IF(M165="","",EDATE(M165,Parâmetros!$B$12))</f>
        <v/>
      </c>
      <c r="O165" s="11"/>
      <c r="P165" s="13"/>
      <c r="Q165" s="13"/>
      <c r="R165" s="13"/>
      <c r="S165" s="13"/>
      <c r="T165" s="12" t="str">
        <f aca="true">IF(A165="","",IF(OR(AND(P165&lt;&gt;"",P165&lt;=TODAY()+Parâmetros!$B$13),AND(Q165&lt;&gt;"",Q165&lt;=TODAY()+Parâmetros!$B$13),AND(R165&lt;&gt;"",R165&lt;=TODAY()+Parâmetros!$B$13),AND(S165&lt;&gt;"",S165&lt;=TODAY()+Parâmetros!$B$13)),"RENOVAR","OK"))</f>
        <v/>
      </c>
      <c r="U165" s="12" t="str">
        <f aca="false">IF(A165="","",COUNTIF(Contratações!$I$5:$I$504,A165))</f>
        <v/>
      </c>
      <c r="V165" s="15" t="str">
        <f aca="false">IF(A165="","",SUMIF(Contratações!$I$5:$I$504,A165,Contratações!$N$5:$N$504))</f>
        <v/>
      </c>
      <c r="W165" s="16" t="str">
        <f aca="false">IF(A165="","",IFERROR(AVERAGEIFS(Contratações!$R$5:$R$504,Contratações!$I$5:$I$504,A165,Contratações!$R$5:$R$504,"&gt;0"),""))</f>
        <v/>
      </c>
      <c r="X165" s="14" t="str">
        <f aca="false">IF(A165="","",IF(U165=0,"nunca",_xlfn.MAXIFS(Contratações!$O$5:$O$504,Contratações!$I$5:$I$504,A165)))</f>
        <v/>
      </c>
      <c r="Y165" s="11"/>
    </row>
    <row r="166" customFormat="false" ht="15" hidden="false" customHeight="false" outlineLevel="0" collapsed="false">
      <c r="A166" s="11"/>
      <c r="B166" s="11"/>
      <c r="C166" s="11"/>
      <c r="D166" s="11"/>
      <c r="E166" s="12" t="str">
        <f aca="false">IF(D166="","",IF(OR(D166="MEI",D166="ME",D166="EPP",D166="Cooperativa",D166="PF autônoma"),"S","N"))</f>
        <v/>
      </c>
      <c r="F166" s="11"/>
      <c r="G166" s="11"/>
      <c r="H166" s="11"/>
      <c r="I166" s="11"/>
      <c r="J166" s="11"/>
      <c r="K166" s="11"/>
      <c r="L166" s="11"/>
      <c r="M166" s="13"/>
      <c r="N166" s="14" t="str">
        <f aca="false">IF(M166="","",EDATE(M166,Parâmetros!$B$12))</f>
        <v/>
      </c>
      <c r="O166" s="11"/>
      <c r="P166" s="13"/>
      <c r="Q166" s="13"/>
      <c r="R166" s="13"/>
      <c r="S166" s="13"/>
      <c r="T166" s="12" t="str">
        <f aca="true">IF(A166="","",IF(OR(AND(P166&lt;&gt;"",P166&lt;=TODAY()+Parâmetros!$B$13),AND(Q166&lt;&gt;"",Q166&lt;=TODAY()+Parâmetros!$B$13),AND(R166&lt;&gt;"",R166&lt;=TODAY()+Parâmetros!$B$13),AND(S166&lt;&gt;"",S166&lt;=TODAY()+Parâmetros!$B$13)),"RENOVAR","OK"))</f>
        <v/>
      </c>
      <c r="U166" s="12" t="str">
        <f aca="false">IF(A166="","",COUNTIF(Contratações!$I$5:$I$504,A166))</f>
        <v/>
      </c>
      <c r="V166" s="15" t="str">
        <f aca="false">IF(A166="","",SUMIF(Contratações!$I$5:$I$504,A166,Contratações!$N$5:$N$504))</f>
        <v/>
      </c>
      <c r="W166" s="16" t="str">
        <f aca="false">IF(A166="","",IFERROR(AVERAGEIFS(Contratações!$R$5:$R$504,Contratações!$I$5:$I$504,A166,Contratações!$R$5:$R$504,"&gt;0"),""))</f>
        <v/>
      </c>
      <c r="X166" s="14" t="str">
        <f aca="false">IF(A166="","",IF(U166=0,"nunca",_xlfn.MAXIFS(Contratações!$O$5:$O$504,Contratações!$I$5:$I$504,A166)))</f>
        <v/>
      </c>
      <c r="Y166" s="11"/>
    </row>
    <row r="167" customFormat="false" ht="15" hidden="false" customHeight="false" outlineLevel="0" collapsed="false">
      <c r="A167" s="11"/>
      <c r="B167" s="11"/>
      <c r="C167" s="11"/>
      <c r="D167" s="11"/>
      <c r="E167" s="12" t="str">
        <f aca="false">IF(D167="","",IF(OR(D167="MEI",D167="ME",D167="EPP",D167="Cooperativa",D167="PF autônoma"),"S","N"))</f>
        <v/>
      </c>
      <c r="F167" s="11"/>
      <c r="G167" s="11"/>
      <c r="H167" s="11"/>
      <c r="I167" s="11"/>
      <c r="J167" s="11"/>
      <c r="K167" s="11"/>
      <c r="L167" s="11"/>
      <c r="M167" s="13"/>
      <c r="N167" s="14" t="str">
        <f aca="false">IF(M167="","",EDATE(M167,Parâmetros!$B$12))</f>
        <v/>
      </c>
      <c r="O167" s="11"/>
      <c r="P167" s="13"/>
      <c r="Q167" s="13"/>
      <c r="R167" s="13"/>
      <c r="S167" s="13"/>
      <c r="T167" s="12" t="str">
        <f aca="true">IF(A167="","",IF(OR(AND(P167&lt;&gt;"",P167&lt;=TODAY()+Parâmetros!$B$13),AND(Q167&lt;&gt;"",Q167&lt;=TODAY()+Parâmetros!$B$13),AND(R167&lt;&gt;"",R167&lt;=TODAY()+Parâmetros!$B$13),AND(S167&lt;&gt;"",S167&lt;=TODAY()+Parâmetros!$B$13)),"RENOVAR","OK"))</f>
        <v/>
      </c>
      <c r="U167" s="12" t="str">
        <f aca="false">IF(A167="","",COUNTIF(Contratações!$I$5:$I$504,A167))</f>
        <v/>
      </c>
      <c r="V167" s="15" t="str">
        <f aca="false">IF(A167="","",SUMIF(Contratações!$I$5:$I$504,A167,Contratações!$N$5:$N$504))</f>
        <v/>
      </c>
      <c r="W167" s="16" t="str">
        <f aca="false">IF(A167="","",IFERROR(AVERAGEIFS(Contratações!$R$5:$R$504,Contratações!$I$5:$I$504,A167,Contratações!$R$5:$R$504,"&gt;0"),""))</f>
        <v/>
      </c>
      <c r="X167" s="14" t="str">
        <f aca="false">IF(A167="","",IF(U167=0,"nunca",_xlfn.MAXIFS(Contratações!$O$5:$O$504,Contratações!$I$5:$I$504,A167)))</f>
        <v/>
      </c>
      <c r="Y167" s="11"/>
    </row>
    <row r="168" customFormat="false" ht="15" hidden="false" customHeight="false" outlineLevel="0" collapsed="false">
      <c r="A168" s="11"/>
      <c r="B168" s="11"/>
      <c r="C168" s="11"/>
      <c r="D168" s="11"/>
      <c r="E168" s="12" t="str">
        <f aca="false">IF(D168="","",IF(OR(D168="MEI",D168="ME",D168="EPP",D168="Cooperativa",D168="PF autônoma"),"S","N"))</f>
        <v/>
      </c>
      <c r="F168" s="11"/>
      <c r="G168" s="11"/>
      <c r="H168" s="11"/>
      <c r="I168" s="11"/>
      <c r="J168" s="11"/>
      <c r="K168" s="11"/>
      <c r="L168" s="11"/>
      <c r="M168" s="13"/>
      <c r="N168" s="14" t="str">
        <f aca="false">IF(M168="","",EDATE(M168,Parâmetros!$B$12))</f>
        <v/>
      </c>
      <c r="O168" s="11"/>
      <c r="P168" s="13"/>
      <c r="Q168" s="13"/>
      <c r="R168" s="13"/>
      <c r="S168" s="13"/>
      <c r="T168" s="12" t="str">
        <f aca="true">IF(A168="","",IF(OR(AND(P168&lt;&gt;"",P168&lt;=TODAY()+Parâmetros!$B$13),AND(Q168&lt;&gt;"",Q168&lt;=TODAY()+Parâmetros!$B$13),AND(R168&lt;&gt;"",R168&lt;=TODAY()+Parâmetros!$B$13),AND(S168&lt;&gt;"",S168&lt;=TODAY()+Parâmetros!$B$13)),"RENOVAR","OK"))</f>
        <v/>
      </c>
      <c r="U168" s="12" t="str">
        <f aca="false">IF(A168="","",COUNTIF(Contratações!$I$5:$I$504,A168))</f>
        <v/>
      </c>
      <c r="V168" s="15" t="str">
        <f aca="false">IF(A168="","",SUMIF(Contratações!$I$5:$I$504,A168,Contratações!$N$5:$N$504))</f>
        <v/>
      </c>
      <c r="W168" s="16" t="str">
        <f aca="false">IF(A168="","",IFERROR(AVERAGEIFS(Contratações!$R$5:$R$504,Contratações!$I$5:$I$504,A168,Contratações!$R$5:$R$504,"&gt;0"),""))</f>
        <v/>
      </c>
      <c r="X168" s="14" t="str">
        <f aca="false">IF(A168="","",IF(U168=0,"nunca",_xlfn.MAXIFS(Contratações!$O$5:$O$504,Contratações!$I$5:$I$504,A168)))</f>
        <v/>
      </c>
      <c r="Y168" s="11"/>
    </row>
    <row r="169" customFormat="false" ht="15" hidden="false" customHeight="false" outlineLevel="0" collapsed="false">
      <c r="A169" s="11"/>
      <c r="B169" s="11"/>
      <c r="C169" s="11"/>
      <c r="D169" s="11"/>
      <c r="E169" s="12" t="str">
        <f aca="false">IF(D169="","",IF(OR(D169="MEI",D169="ME",D169="EPP",D169="Cooperativa",D169="PF autônoma"),"S","N"))</f>
        <v/>
      </c>
      <c r="F169" s="11"/>
      <c r="G169" s="11"/>
      <c r="H169" s="11"/>
      <c r="I169" s="11"/>
      <c r="J169" s="11"/>
      <c r="K169" s="11"/>
      <c r="L169" s="11"/>
      <c r="M169" s="13"/>
      <c r="N169" s="14" t="str">
        <f aca="false">IF(M169="","",EDATE(M169,Parâmetros!$B$12))</f>
        <v/>
      </c>
      <c r="O169" s="11"/>
      <c r="P169" s="13"/>
      <c r="Q169" s="13"/>
      <c r="R169" s="13"/>
      <c r="S169" s="13"/>
      <c r="T169" s="12" t="str">
        <f aca="true">IF(A169="","",IF(OR(AND(P169&lt;&gt;"",P169&lt;=TODAY()+Parâmetros!$B$13),AND(Q169&lt;&gt;"",Q169&lt;=TODAY()+Parâmetros!$B$13),AND(R169&lt;&gt;"",R169&lt;=TODAY()+Parâmetros!$B$13),AND(S169&lt;&gt;"",S169&lt;=TODAY()+Parâmetros!$B$13)),"RENOVAR","OK"))</f>
        <v/>
      </c>
      <c r="U169" s="12" t="str">
        <f aca="false">IF(A169="","",COUNTIF(Contratações!$I$5:$I$504,A169))</f>
        <v/>
      </c>
      <c r="V169" s="15" t="str">
        <f aca="false">IF(A169="","",SUMIF(Contratações!$I$5:$I$504,A169,Contratações!$N$5:$N$504))</f>
        <v/>
      </c>
      <c r="W169" s="16" t="str">
        <f aca="false">IF(A169="","",IFERROR(AVERAGEIFS(Contratações!$R$5:$R$504,Contratações!$I$5:$I$504,A169,Contratações!$R$5:$R$504,"&gt;0"),""))</f>
        <v/>
      </c>
      <c r="X169" s="14" t="str">
        <f aca="false">IF(A169="","",IF(U169=0,"nunca",_xlfn.MAXIFS(Contratações!$O$5:$O$504,Contratações!$I$5:$I$504,A169)))</f>
        <v/>
      </c>
      <c r="Y169" s="11"/>
    </row>
    <row r="170" customFormat="false" ht="15" hidden="false" customHeight="false" outlineLevel="0" collapsed="false">
      <c r="A170" s="11"/>
      <c r="B170" s="11"/>
      <c r="C170" s="11"/>
      <c r="D170" s="11"/>
      <c r="E170" s="12" t="str">
        <f aca="false">IF(D170="","",IF(OR(D170="MEI",D170="ME",D170="EPP",D170="Cooperativa",D170="PF autônoma"),"S","N"))</f>
        <v/>
      </c>
      <c r="F170" s="11"/>
      <c r="G170" s="11"/>
      <c r="H170" s="11"/>
      <c r="I170" s="11"/>
      <c r="J170" s="11"/>
      <c r="K170" s="11"/>
      <c r="L170" s="11"/>
      <c r="M170" s="13"/>
      <c r="N170" s="14" t="str">
        <f aca="false">IF(M170="","",EDATE(M170,Parâmetros!$B$12))</f>
        <v/>
      </c>
      <c r="O170" s="11"/>
      <c r="P170" s="13"/>
      <c r="Q170" s="13"/>
      <c r="R170" s="13"/>
      <c r="S170" s="13"/>
      <c r="T170" s="12" t="str">
        <f aca="true">IF(A170="","",IF(OR(AND(P170&lt;&gt;"",P170&lt;=TODAY()+Parâmetros!$B$13),AND(Q170&lt;&gt;"",Q170&lt;=TODAY()+Parâmetros!$B$13),AND(R170&lt;&gt;"",R170&lt;=TODAY()+Parâmetros!$B$13),AND(S170&lt;&gt;"",S170&lt;=TODAY()+Parâmetros!$B$13)),"RENOVAR","OK"))</f>
        <v/>
      </c>
      <c r="U170" s="12" t="str">
        <f aca="false">IF(A170="","",COUNTIF(Contratações!$I$5:$I$504,A170))</f>
        <v/>
      </c>
      <c r="V170" s="15" t="str">
        <f aca="false">IF(A170="","",SUMIF(Contratações!$I$5:$I$504,A170,Contratações!$N$5:$N$504))</f>
        <v/>
      </c>
      <c r="W170" s="16" t="str">
        <f aca="false">IF(A170="","",IFERROR(AVERAGEIFS(Contratações!$R$5:$R$504,Contratações!$I$5:$I$504,A170,Contratações!$R$5:$R$504,"&gt;0"),""))</f>
        <v/>
      </c>
      <c r="X170" s="14" t="str">
        <f aca="false">IF(A170="","",IF(U170=0,"nunca",_xlfn.MAXIFS(Contratações!$O$5:$O$504,Contratações!$I$5:$I$504,A170)))</f>
        <v/>
      </c>
      <c r="Y170" s="11"/>
    </row>
    <row r="171" customFormat="false" ht="15" hidden="false" customHeight="false" outlineLevel="0" collapsed="false">
      <c r="A171" s="11"/>
      <c r="B171" s="11"/>
      <c r="C171" s="11"/>
      <c r="D171" s="11"/>
      <c r="E171" s="12" t="str">
        <f aca="false">IF(D171="","",IF(OR(D171="MEI",D171="ME",D171="EPP",D171="Cooperativa",D171="PF autônoma"),"S","N"))</f>
        <v/>
      </c>
      <c r="F171" s="11"/>
      <c r="G171" s="11"/>
      <c r="H171" s="11"/>
      <c r="I171" s="11"/>
      <c r="J171" s="11"/>
      <c r="K171" s="11"/>
      <c r="L171" s="11"/>
      <c r="M171" s="13"/>
      <c r="N171" s="14" t="str">
        <f aca="false">IF(M171="","",EDATE(M171,Parâmetros!$B$12))</f>
        <v/>
      </c>
      <c r="O171" s="11"/>
      <c r="P171" s="13"/>
      <c r="Q171" s="13"/>
      <c r="R171" s="13"/>
      <c r="S171" s="13"/>
      <c r="T171" s="12" t="str">
        <f aca="true">IF(A171="","",IF(OR(AND(P171&lt;&gt;"",P171&lt;=TODAY()+Parâmetros!$B$13),AND(Q171&lt;&gt;"",Q171&lt;=TODAY()+Parâmetros!$B$13),AND(R171&lt;&gt;"",R171&lt;=TODAY()+Parâmetros!$B$13),AND(S171&lt;&gt;"",S171&lt;=TODAY()+Parâmetros!$B$13)),"RENOVAR","OK"))</f>
        <v/>
      </c>
      <c r="U171" s="12" t="str">
        <f aca="false">IF(A171="","",COUNTIF(Contratações!$I$5:$I$504,A171))</f>
        <v/>
      </c>
      <c r="V171" s="15" t="str">
        <f aca="false">IF(A171="","",SUMIF(Contratações!$I$5:$I$504,A171,Contratações!$N$5:$N$504))</f>
        <v/>
      </c>
      <c r="W171" s="16" t="str">
        <f aca="false">IF(A171="","",IFERROR(AVERAGEIFS(Contratações!$R$5:$R$504,Contratações!$I$5:$I$504,A171,Contratações!$R$5:$R$504,"&gt;0"),""))</f>
        <v/>
      </c>
      <c r="X171" s="14" t="str">
        <f aca="false">IF(A171="","",IF(U171=0,"nunca",_xlfn.MAXIFS(Contratações!$O$5:$O$504,Contratações!$I$5:$I$504,A171)))</f>
        <v/>
      </c>
      <c r="Y171" s="11"/>
    </row>
    <row r="172" customFormat="false" ht="15" hidden="false" customHeight="false" outlineLevel="0" collapsed="false">
      <c r="A172" s="11"/>
      <c r="B172" s="11"/>
      <c r="C172" s="11"/>
      <c r="D172" s="11"/>
      <c r="E172" s="12" t="str">
        <f aca="false">IF(D172="","",IF(OR(D172="MEI",D172="ME",D172="EPP",D172="Cooperativa",D172="PF autônoma"),"S","N"))</f>
        <v/>
      </c>
      <c r="F172" s="11"/>
      <c r="G172" s="11"/>
      <c r="H172" s="11"/>
      <c r="I172" s="11"/>
      <c r="J172" s="11"/>
      <c r="K172" s="11"/>
      <c r="L172" s="11"/>
      <c r="M172" s="13"/>
      <c r="N172" s="14" t="str">
        <f aca="false">IF(M172="","",EDATE(M172,Parâmetros!$B$12))</f>
        <v/>
      </c>
      <c r="O172" s="11"/>
      <c r="P172" s="13"/>
      <c r="Q172" s="13"/>
      <c r="R172" s="13"/>
      <c r="S172" s="13"/>
      <c r="T172" s="12" t="str">
        <f aca="true">IF(A172="","",IF(OR(AND(P172&lt;&gt;"",P172&lt;=TODAY()+Parâmetros!$B$13),AND(Q172&lt;&gt;"",Q172&lt;=TODAY()+Parâmetros!$B$13),AND(R172&lt;&gt;"",R172&lt;=TODAY()+Parâmetros!$B$13),AND(S172&lt;&gt;"",S172&lt;=TODAY()+Parâmetros!$B$13)),"RENOVAR","OK"))</f>
        <v/>
      </c>
      <c r="U172" s="12" t="str">
        <f aca="false">IF(A172="","",COUNTIF(Contratações!$I$5:$I$504,A172))</f>
        <v/>
      </c>
      <c r="V172" s="15" t="str">
        <f aca="false">IF(A172="","",SUMIF(Contratações!$I$5:$I$504,A172,Contratações!$N$5:$N$504))</f>
        <v/>
      </c>
      <c r="W172" s="16" t="str">
        <f aca="false">IF(A172="","",IFERROR(AVERAGEIFS(Contratações!$R$5:$R$504,Contratações!$I$5:$I$504,A172,Contratações!$R$5:$R$504,"&gt;0"),""))</f>
        <v/>
      </c>
      <c r="X172" s="14" t="str">
        <f aca="false">IF(A172="","",IF(U172=0,"nunca",_xlfn.MAXIFS(Contratações!$O$5:$O$504,Contratações!$I$5:$I$504,A172)))</f>
        <v/>
      </c>
      <c r="Y172" s="11"/>
    </row>
    <row r="173" customFormat="false" ht="15" hidden="false" customHeight="false" outlineLevel="0" collapsed="false">
      <c r="A173" s="11"/>
      <c r="B173" s="11"/>
      <c r="C173" s="11"/>
      <c r="D173" s="11"/>
      <c r="E173" s="12" t="str">
        <f aca="false">IF(D173="","",IF(OR(D173="MEI",D173="ME",D173="EPP",D173="Cooperativa",D173="PF autônoma"),"S","N"))</f>
        <v/>
      </c>
      <c r="F173" s="11"/>
      <c r="G173" s="11"/>
      <c r="H173" s="11"/>
      <c r="I173" s="11"/>
      <c r="J173" s="11"/>
      <c r="K173" s="11"/>
      <c r="L173" s="11"/>
      <c r="M173" s="13"/>
      <c r="N173" s="14" t="str">
        <f aca="false">IF(M173="","",EDATE(M173,Parâmetros!$B$12))</f>
        <v/>
      </c>
      <c r="O173" s="11"/>
      <c r="P173" s="13"/>
      <c r="Q173" s="13"/>
      <c r="R173" s="13"/>
      <c r="S173" s="13"/>
      <c r="T173" s="12" t="str">
        <f aca="true">IF(A173="","",IF(OR(AND(P173&lt;&gt;"",P173&lt;=TODAY()+Parâmetros!$B$13),AND(Q173&lt;&gt;"",Q173&lt;=TODAY()+Parâmetros!$B$13),AND(R173&lt;&gt;"",R173&lt;=TODAY()+Parâmetros!$B$13),AND(S173&lt;&gt;"",S173&lt;=TODAY()+Parâmetros!$B$13)),"RENOVAR","OK"))</f>
        <v/>
      </c>
      <c r="U173" s="12" t="str">
        <f aca="false">IF(A173="","",COUNTIF(Contratações!$I$5:$I$504,A173))</f>
        <v/>
      </c>
      <c r="V173" s="15" t="str">
        <f aca="false">IF(A173="","",SUMIF(Contratações!$I$5:$I$504,A173,Contratações!$N$5:$N$504))</f>
        <v/>
      </c>
      <c r="W173" s="16" t="str">
        <f aca="false">IF(A173="","",IFERROR(AVERAGEIFS(Contratações!$R$5:$R$504,Contratações!$I$5:$I$504,A173,Contratações!$R$5:$R$504,"&gt;0"),""))</f>
        <v/>
      </c>
      <c r="X173" s="14" t="str">
        <f aca="false">IF(A173="","",IF(U173=0,"nunca",_xlfn.MAXIFS(Contratações!$O$5:$O$504,Contratações!$I$5:$I$504,A173)))</f>
        <v/>
      </c>
      <c r="Y173" s="11"/>
    </row>
    <row r="174" customFormat="false" ht="15" hidden="false" customHeight="false" outlineLevel="0" collapsed="false">
      <c r="A174" s="11"/>
      <c r="B174" s="11"/>
      <c r="C174" s="11"/>
      <c r="D174" s="11"/>
      <c r="E174" s="12" t="str">
        <f aca="false">IF(D174="","",IF(OR(D174="MEI",D174="ME",D174="EPP",D174="Cooperativa",D174="PF autônoma"),"S","N"))</f>
        <v/>
      </c>
      <c r="F174" s="11"/>
      <c r="G174" s="11"/>
      <c r="H174" s="11"/>
      <c r="I174" s="11"/>
      <c r="J174" s="11"/>
      <c r="K174" s="11"/>
      <c r="L174" s="11"/>
      <c r="M174" s="13"/>
      <c r="N174" s="14" t="str">
        <f aca="false">IF(M174="","",EDATE(M174,Parâmetros!$B$12))</f>
        <v/>
      </c>
      <c r="O174" s="11"/>
      <c r="P174" s="13"/>
      <c r="Q174" s="13"/>
      <c r="R174" s="13"/>
      <c r="S174" s="13"/>
      <c r="T174" s="12" t="str">
        <f aca="true">IF(A174="","",IF(OR(AND(P174&lt;&gt;"",P174&lt;=TODAY()+Parâmetros!$B$13),AND(Q174&lt;&gt;"",Q174&lt;=TODAY()+Parâmetros!$B$13),AND(R174&lt;&gt;"",R174&lt;=TODAY()+Parâmetros!$B$13),AND(S174&lt;&gt;"",S174&lt;=TODAY()+Parâmetros!$B$13)),"RENOVAR","OK"))</f>
        <v/>
      </c>
      <c r="U174" s="12" t="str">
        <f aca="false">IF(A174="","",COUNTIF(Contratações!$I$5:$I$504,A174))</f>
        <v/>
      </c>
      <c r="V174" s="15" t="str">
        <f aca="false">IF(A174="","",SUMIF(Contratações!$I$5:$I$504,A174,Contratações!$N$5:$N$504))</f>
        <v/>
      </c>
      <c r="W174" s="16" t="str">
        <f aca="false">IF(A174="","",IFERROR(AVERAGEIFS(Contratações!$R$5:$R$504,Contratações!$I$5:$I$504,A174,Contratações!$R$5:$R$504,"&gt;0"),""))</f>
        <v/>
      </c>
      <c r="X174" s="14" t="str">
        <f aca="false">IF(A174="","",IF(U174=0,"nunca",_xlfn.MAXIFS(Contratações!$O$5:$O$504,Contratações!$I$5:$I$504,A174)))</f>
        <v/>
      </c>
      <c r="Y174" s="11"/>
    </row>
    <row r="175" customFormat="false" ht="15" hidden="false" customHeight="false" outlineLevel="0" collapsed="false">
      <c r="A175" s="11"/>
      <c r="B175" s="11"/>
      <c r="C175" s="11"/>
      <c r="D175" s="11"/>
      <c r="E175" s="12" t="str">
        <f aca="false">IF(D175="","",IF(OR(D175="MEI",D175="ME",D175="EPP",D175="Cooperativa",D175="PF autônoma"),"S","N"))</f>
        <v/>
      </c>
      <c r="F175" s="11"/>
      <c r="G175" s="11"/>
      <c r="H175" s="11"/>
      <c r="I175" s="11"/>
      <c r="J175" s="11"/>
      <c r="K175" s="11"/>
      <c r="L175" s="11"/>
      <c r="M175" s="13"/>
      <c r="N175" s="14" t="str">
        <f aca="false">IF(M175="","",EDATE(M175,Parâmetros!$B$12))</f>
        <v/>
      </c>
      <c r="O175" s="11"/>
      <c r="P175" s="13"/>
      <c r="Q175" s="13"/>
      <c r="R175" s="13"/>
      <c r="S175" s="13"/>
      <c r="T175" s="12" t="str">
        <f aca="true">IF(A175="","",IF(OR(AND(P175&lt;&gt;"",P175&lt;=TODAY()+Parâmetros!$B$13),AND(Q175&lt;&gt;"",Q175&lt;=TODAY()+Parâmetros!$B$13),AND(R175&lt;&gt;"",R175&lt;=TODAY()+Parâmetros!$B$13),AND(S175&lt;&gt;"",S175&lt;=TODAY()+Parâmetros!$B$13)),"RENOVAR","OK"))</f>
        <v/>
      </c>
      <c r="U175" s="12" t="str">
        <f aca="false">IF(A175="","",COUNTIF(Contratações!$I$5:$I$504,A175))</f>
        <v/>
      </c>
      <c r="V175" s="15" t="str">
        <f aca="false">IF(A175="","",SUMIF(Contratações!$I$5:$I$504,A175,Contratações!$N$5:$N$504))</f>
        <v/>
      </c>
      <c r="W175" s="16" t="str">
        <f aca="false">IF(A175="","",IFERROR(AVERAGEIFS(Contratações!$R$5:$R$504,Contratações!$I$5:$I$504,A175,Contratações!$R$5:$R$504,"&gt;0"),""))</f>
        <v/>
      </c>
      <c r="X175" s="14" t="str">
        <f aca="false">IF(A175="","",IF(U175=0,"nunca",_xlfn.MAXIFS(Contratações!$O$5:$O$504,Contratações!$I$5:$I$504,A175)))</f>
        <v/>
      </c>
      <c r="Y175" s="11"/>
    </row>
    <row r="176" customFormat="false" ht="15" hidden="false" customHeight="false" outlineLevel="0" collapsed="false">
      <c r="A176" s="11"/>
      <c r="B176" s="11"/>
      <c r="C176" s="11"/>
      <c r="D176" s="11"/>
      <c r="E176" s="12" t="str">
        <f aca="false">IF(D176="","",IF(OR(D176="MEI",D176="ME",D176="EPP",D176="Cooperativa",D176="PF autônoma"),"S","N"))</f>
        <v/>
      </c>
      <c r="F176" s="11"/>
      <c r="G176" s="11"/>
      <c r="H176" s="11"/>
      <c r="I176" s="11"/>
      <c r="J176" s="11"/>
      <c r="K176" s="11"/>
      <c r="L176" s="11"/>
      <c r="M176" s="13"/>
      <c r="N176" s="14" t="str">
        <f aca="false">IF(M176="","",EDATE(M176,Parâmetros!$B$12))</f>
        <v/>
      </c>
      <c r="O176" s="11"/>
      <c r="P176" s="13"/>
      <c r="Q176" s="13"/>
      <c r="R176" s="13"/>
      <c r="S176" s="13"/>
      <c r="T176" s="12" t="str">
        <f aca="true">IF(A176="","",IF(OR(AND(P176&lt;&gt;"",P176&lt;=TODAY()+Parâmetros!$B$13),AND(Q176&lt;&gt;"",Q176&lt;=TODAY()+Parâmetros!$B$13),AND(R176&lt;&gt;"",R176&lt;=TODAY()+Parâmetros!$B$13),AND(S176&lt;&gt;"",S176&lt;=TODAY()+Parâmetros!$B$13)),"RENOVAR","OK"))</f>
        <v/>
      </c>
      <c r="U176" s="12" t="str">
        <f aca="false">IF(A176="","",COUNTIF(Contratações!$I$5:$I$504,A176))</f>
        <v/>
      </c>
      <c r="V176" s="15" t="str">
        <f aca="false">IF(A176="","",SUMIF(Contratações!$I$5:$I$504,A176,Contratações!$N$5:$N$504))</f>
        <v/>
      </c>
      <c r="W176" s="16" t="str">
        <f aca="false">IF(A176="","",IFERROR(AVERAGEIFS(Contratações!$R$5:$R$504,Contratações!$I$5:$I$504,A176,Contratações!$R$5:$R$504,"&gt;0"),""))</f>
        <v/>
      </c>
      <c r="X176" s="14" t="str">
        <f aca="false">IF(A176="","",IF(U176=0,"nunca",_xlfn.MAXIFS(Contratações!$O$5:$O$504,Contratações!$I$5:$I$504,A176)))</f>
        <v/>
      </c>
      <c r="Y176" s="11"/>
    </row>
    <row r="177" customFormat="false" ht="15" hidden="false" customHeight="false" outlineLevel="0" collapsed="false">
      <c r="A177" s="11"/>
      <c r="B177" s="11"/>
      <c r="C177" s="11"/>
      <c r="D177" s="11"/>
      <c r="E177" s="12" t="str">
        <f aca="false">IF(D177="","",IF(OR(D177="MEI",D177="ME",D177="EPP",D177="Cooperativa",D177="PF autônoma"),"S","N"))</f>
        <v/>
      </c>
      <c r="F177" s="11"/>
      <c r="G177" s="11"/>
      <c r="H177" s="11"/>
      <c r="I177" s="11"/>
      <c r="J177" s="11"/>
      <c r="K177" s="11"/>
      <c r="L177" s="11"/>
      <c r="M177" s="13"/>
      <c r="N177" s="14" t="str">
        <f aca="false">IF(M177="","",EDATE(M177,Parâmetros!$B$12))</f>
        <v/>
      </c>
      <c r="O177" s="11"/>
      <c r="P177" s="13"/>
      <c r="Q177" s="13"/>
      <c r="R177" s="13"/>
      <c r="S177" s="13"/>
      <c r="T177" s="12" t="str">
        <f aca="true">IF(A177="","",IF(OR(AND(P177&lt;&gt;"",P177&lt;=TODAY()+Parâmetros!$B$13),AND(Q177&lt;&gt;"",Q177&lt;=TODAY()+Parâmetros!$B$13),AND(R177&lt;&gt;"",R177&lt;=TODAY()+Parâmetros!$B$13),AND(S177&lt;&gt;"",S177&lt;=TODAY()+Parâmetros!$B$13)),"RENOVAR","OK"))</f>
        <v/>
      </c>
      <c r="U177" s="12" t="str">
        <f aca="false">IF(A177="","",COUNTIF(Contratações!$I$5:$I$504,A177))</f>
        <v/>
      </c>
      <c r="V177" s="15" t="str">
        <f aca="false">IF(A177="","",SUMIF(Contratações!$I$5:$I$504,A177,Contratações!$N$5:$N$504))</f>
        <v/>
      </c>
      <c r="W177" s="16" t="str">
        <f aca="false">IF(A177="","",IFERROR(AVERAGEIFS(Contratações!$R$5:$R$504,Contratações!$I$5:$I$504,A177,Contratações!$R$5:$R$504,"&gt;0"),""))</f>
        <v/>
      </c>
      <c r="X177" s="14" t="str">
        <f aca="false">IF(A177="","",IF(U177=0,"nunca",_xlfn.MAXIFS(Contratações!$O$5:$O$504,Contratações!$I$5:$I$504,A177)))</f>
        <v/>
      </c>
      <c r="Y177" s="11"/>
    </row>
    <row r="178" customFormat="false" ht="15" hidden="false" customHeight="false" outlineLevel="0" collapsed="false">
      <c r="A178" s="11"/>
      <c r="B178" s="11"/>
      <c r="C178" s="11"/>
      <c r="D178" s="11"/>
      <c r="E178" s="12" t="str">
        <f aca="false">IF(D178="","",IF(OR(D178="MEI",D178="ME",D178="EPP",D178="Cooperativa",D178="PF autônoma"),"S","N"))</f>
        <v/>
      </c>
      <c r="F178" s="11"/>
      <c r="G178" s="11"/>
      <c r="H178" s="11"/>
      <c r="I178" s="11"/>
      <c r="J178" s="11"/>
      <c r="K178" s="11"/>
      <c r="L178" s="11"/>
      <c r="M178" s="13"/>
      <c r="N178" s="14" t="str">
        <f aca="false">IF(M178="","",EDATE(M178,Parâmetros!$B$12))</f>
        <v/>
      </c>
      <c r="O178" s="11"/>
      <c r="P178" s="13"/>
      <c r="Q178" s="13"/>
      <c r="R178" s="13"/>
      <c r="S178" s="13"/>
      <c r="T178" s="12" t="str">
        <f aca="true">IF(A178="","",IF(OR(AND(P178&lt;&gt;"",P178&lt;=TODAY()+Parâmetros!$B$13),AND(Q178&lt;&gt;"",Q178&lt;=TODAY()+Parâmetros!$B$13),AND(R178&lt;&gt;"",R178&lt;=TODAY()+Parâmetros!$B$13),AND(S178&lt;&gt;"",S178&lt;=TODAY()+Parâmetros!$B$13)),"RENOVAR","OK"))</f>
        <v/>
      </c>
      <c r="U178" s="12" t="str">
        <f aca="false">IF(A178="","",COUNTIF(Contratações!$I$5:$I$504,A178))</f>
        <v/>
      </c>
      <c r="V178" s="15" t="str">
        <f aca="false">IF(A178="","",SUMIF(Contratações!$I$5:$I$504,A178,Contratações!$N$5:$N$504))</f>
        <v/>
      </c>
      <c r="W178" s="16" t="str">
        <f aca="false">IF(A178="","",IFERROR(AVERAGEIFS(Contratações!$R$5:$R$504,Contratações!$I$5:$I$504,A178,Contratações!$R$5:$R$504,"&gt;0"),""))</f>
        <v/>
      </c>
      <c r="X178" s="14" t="str">
        <f aca="false">IF(A178="","",IF(U178=0,"nunca",_xlfn.MAXIFS(Contratações!$O$5:$O$504,Contratações!$I$5:$I$504,A178)))</f>
        <v/>
      </c>
      <c r="Y178" s="11"/>
    </row>
    <row r="179" customFormat="false" ht="15" hidden="false" customHeight="false" outlineLevel="0" collapsed="false">
      <c r="A179" s="11"/>
      <c r="B179" s="11"/>
      <c r="C179" s="11"/>
      <c r="D179" s="11"/>
      <c r="E179" s="12" t="str">
        <f aca="false">IF(D179="","",IF(OR(D179="MEI",D179="ME",D179="EPP",D179="Cooperativa",D179="PF autônoma"),"S","N"))</f>
        <v/>
      </c>
      <c r="F179" s="11"/>
      <c r="G179" s="11"/>
      <c r="H179" s="11"/>
      <c r="I179" s="11"/>
      <c r="J179" s="11"/>
      <c r="K179" s="11"/>
      <c r="L179" s="11"/>
      <c r="M179" s="13"/>
      <c r="N179" s="14" t="str">
        <f aca="false">IF(M179="","",EDATE(M179,Parâmetros!$B$12))</f>
        <v/>
      </c>
      <c r="O179" s="11"/>
      <c r="P179" s="13"/>
      <c r="Q179" s="13"/>
      <c r="R179" s="13"/>
      <c r="S179" s="13"/>
      <c r="T179" s="12" t="str">
        <f aca="true">IF(A179="","",IF(OR(AND(P179&lt;&gt;"",P179&lt;=TODAY()+Parâmetros!$B$13),AND(Q179&lt;&gt;"",Q179&lt;=TODAY()+Parâmetros!$B$13),AND(R179&lt;&gt;"",R179&lt;=TODAY()+Parâmetros!$B$13),AND(S179&lt;&gt;"",S179&lt;=TODAY()+Parâmetros!$B$13)),"RENOVAR","OK"))</f>
        <v/>
      </c>
      <c r="U179" s="12" t="str">
        <f aca="false">IF(A179="","",COUNTIF(Contratações!$I$5:$I$504,A179))</f>
        <v/>
      </c>
      <c r="V179" s="15" t="str">
        <f aca="false">IF(A179="","",SUMIF(Contratações!$I$5:$I$504,A179,Contratações!$N$5:$N$504))</f>
        <v/>
      </c>
      <c r="W179" s="16" t="str">
        <f aca="false">IF(A179="","",IFERROR(AVERAGEIFS(Contratações!$R$5:$R$504,Contratações!$I$5:$I$504,A179,Contratações!$R$5:$R$504,"&gt;0"),""))</f>
        <v/>
      </c>
      <c r="X179" s="14" t="str">
        <f aca="false">IF(A179="","",IF(U179=0,"nunca",_xlfn.MAXIFS(Contratações!$O$5:$O$504,Contratações!$I$5:$I$504,A179)))</f>
        <v/>
      </c>
      <c r="Y179" s="11"/>
    </row>
    <row r="180" customFormat="false" ht="15" hidden="false" customHeight="false" outlineLevel="0" collapsed="false">
      <c r="A180" s="11"/>
      <c r="B180" s="11"/>
      <c r="C180" s="11"/>
      <c r="D180" s="11"/>
      <c r="E180" s="12" t="str">
        <f aca="false">IF(D180="","",IF(OR(D180="MEI",D180="ME",D180="EPP",D180="Cooperativa",D180="PF autônoma"),"S","N"))</f>
        <v/>
      </c>
      <c r="F180" s="11"/>
      <c r="G180" s="11"/>
      <c r="H180" s="11"/>
      <c r="I180" s="11"/>
      <c r="J180" s="11"/>
      <c r="K180" s="11"/>
      <c r="L180" s="11"/>
      <c r="M180" s="13"/>
      <c r="N180" s="14" t="str">
        <f aca="false">IF(M180="","",EDATE(M180,Parâmetros!$B$12))</f>
        <v/>
      </c>
      <c r="O180" s="11"/>
      <c r="P180" s="13"/>
      <c r="Q180" s="13"/>
      <c r="R180" s="13"/>
      <c r="S180" s="13"/>
      <c r="T180" s="12" t="str">
        <f aca="true">IF(A180="","",IF(OR(AND(P180&lt;&gt;"",P180&lt;=TODAY()+Parâmetros!$B$13),AND(Q180&lt;&gt;"",Q180&lt;=TODAY()+Parâmetros!$B$13),AND(R180&lt;&gt;"",R180&lt;=TODAY()+Parâmetros!$B$13),AND(S180&lt;&gt;"",S180&lt;=TODAY()+Parâmetros!$B$13)),"RENOVAR","OK"))</f>
        <v/>
      </c>
      <c r="U180" s="12" t="str">
        <f aca="false">IF(A180="","",COUNTIF(Contratações!$I$5:$I$504,A180))</f>
        <v/>
      </c>
      <c r="V180" s="15" t="str">
        <f aca="false">IF(A180="","",SUMIF(Contratações!$I$5:$I$504,A180,Contratações!$N$5:$N$504))</f>
        <v/>
      </c>
      <c r="W180" s="16" t="str">
        <f aca="false">IF(A180="","",IFERROR(AVERAGEIFS(Contratações!$R$5:$R$504,Contratações!$I$5:$I$504,A180,Contratações!$R$5:$R$504,"&gt;0"),""))</f>
        <v/>
      </c>
      <c r="X180" s="14" t="str">
        <f aca="false">IF(A180="","",IF(U180=0,"nunca",_xlfn.MAXIFS(Contratações!$O$5:$O$504,Contratações!$I$5:$I$504,A180)))</f>
        <v/>
      </c>
      <c r="Y180" s="11"/>
    </row>
    <row r="181" customFormat="false" ht="15" hidden="false" customHeight="false" outlineLevel="0" collapsed="false">
      <c r="A181" s="11"/>
      <c r="B181" s="11"/>
      <c r="C181" s="11"/>
      <c r="D181" s="11"/>
      <c r="E181" s="12" t="str">
        <f aca="false">IF(D181="","",IF(OR(D181="MEI",D181="ME",D181="EPP",D181="Cooperativa",D181="PF autônoma"),"S","N"))</f>
        <v/>
      </c>
      <c r="F181" s="11"/>
      <c r="G181" s="11"/>
      <c r="H181" s="11"/>
      <c r="I181" s="11"/>
      <c r="J181" s="11"/>
      <c r="K181" s="11"/>
      <c r="L181" s="11"/>
      <c r="M181" s="13"/>
      <c r="N181" s="14" t="str">
        <f aca="false">IF(M181="","",EDATE(M181,Parâmetros!$B$12))</f>
        <v/>
      </c>
      <c r="O181" s="11"/>
      <c r="P181" s="13"/>
      <c r="Q181" s="13"/>
      <c r="R181" s="13"/>
      <c r="S181" s="13"/>
      <c r="T181" s="12" t="str">
        <f aca="true">IF(A181="","",IF(OR(AND(P181&lt;&gt;"",P181&lt;=TODAY()+Parâmetros!$B$13),AND(Q181&lt;&gt;"",Q181&lt;=TODAY()+Parâmetros!$B$13),AND(R181&lt;&gt;"",R181&lt;=TODAY()+Parâmetros!$B$13),AND(S181&lt;&gt;"",S181&lt;=TODAY()+Parâmetros!$B$13)),"RENOVAR","OK"))</f>
        <v/>
      </c>
      <c r="U181" s="12" t="str">
        <f aca="false">IF(A181="","",COUNTIF(Contratações!$I$5:$I$504,A181))</f>
        <v/>
      </c>
      <c r="V181" s="15" t="str">
        <f aca="false">IF(A181="","",SUMIF(Contratações!$I$5:$I$504,A181,Contratações!$N$5:$N$504))</f>
        <v/>
      </c>
      <c r="W181" s="16" t="str">
        <f aca="false">IF(A181="","",IFERROR(AVERAGEIFS(Contratações!$R$5:$R$504,Contratações!$I$5:$I$504,A181,Contratações!$R$5:$R$504,"&gt;0"),""))</f>
        <v/>
      </c>
      <c r="X181" s="14" t="str">
        <f aca="false">IF(A181="","",IF(U181=0,"nunca",_xlfn.MAXIFS(Contratações!$O$5:$O$504,Contratações!$I$5:$I$504,A181)))</f>
        <v/>
      </c>
      <c r="Y181" s="11"/>
    </row>
    <row r="182" customFormat="false" ht="15" hidden="false" customHeight="false" outlineLevel="0" collapsed="false">
      <c r="A182" s="11"/>
      <c r="B182" s="11"/>
      <c r="C182" s="11"/>
      <c r="D182" s="11"/>
      <c r="E182" s="12" t="str">
        <f aca="false">IF(D182="","",IF(OR(D182="MEI",D182="ME",D182="EPP",D182="Cooperativa",D182="PF autônoma"),"S","N"))</f>
        <v/>
      </c>
      <c r="F182" s="11"/>
      <c r="G182" s="11"/>
      <c r="H182" s="11"/>
      <c r="I182" s="11"/>
      <c r="J182" s="11"/>
      <c r="K182" s="11"/>
      <c r="L182" s="11"/>
      <c r="M182" s="13"/>
      <c r="N182" s="14" t="str">
        <f aca="false">IF(M182="","",EDATE(M182,Parâmetros!$B$12))</f>
        <v/>
      </c>
      <c r="O182" s="11"/>
      <c r="P182" s="13"/>
      <c r="Q182" s="13"/>
      <c r="R182" s="13"/>
      <c r="S182" s="13"/>
      <c r="T182" s="12" t="str">
        <f aca="true">IF(A182="","",IF(OR(AND(P182&lt;&gt;"",P182&lt;=TODAY()+Parâmetros!$B$13),AND(Q182&lt;&gt;"",Q182&lt;=TODAY()+Parâmetros!$B$13),AND(R182&lt;&gt;"",R182&lt;=TODAY()+Parâmetros!$B$13),AND(S182&lt;&gt;"",S182&lt;=TODAY()+Parâmetros!$B$13)),"RENOVAR","OK"))</f>
        <v/>
      </c>
      <c r="U182" s="12" t="str">
        <f aca="false">IF(A182="","",COUNTIF(Contratações!$I$5:$I$504,A182))</f>
        <v/>
      </c>
      <c r="V182" s="15" t="str">
        <f aca="false">IF(A182="","",SUMIF(Contratações!$I$5:$I$504,A182,Contratações!$N$5:$N$504))</f>
        <v/>
      </c>
      <c r="W182" s="16" t="str">
        <f aca="false">IF(A182="","",IFERROR(AVERAGEIFS(Contratações!$R$5:$R$504,Contratações!$I$5:$I$504,A182,Contratações!$R$5:$R$504,"&gt;0"),""))</f>
        <v/>
      </c>
      <c r="X182" s="14" t="str">
        <f aca="false">IF(A182="","",IF(U182=0,"nunca",_xlfn.MAXIFS(Contratações!$O$5:$O$504,Contratações!$I$5:$I$504,A182)))</f>
        <v/>
      </c>
      <c r="Y182" s="11"/>
    </row>
    <row r="183" customFormat="false" ht="15" hidden="false" customHeight="false" outlineLevel="0" collapsed="false">
      <c r="A183" s="11"/>
      <c r="B183" s="11"/>
      <c r="C183" s="11"/>
      <c r="D183" s="11"/>
      <c r="E183" s="12" t="str">
        <f aca="false">IF(D183="","",IF(OR(D183="MEI",D183="ME",D183="EPP",D183="Cooperativa",D183="PF autônoma"),"S","N"))</f>
        <v/>
      </c>
      <c r="F183" s="11"/>
      <c r="G183" s="11"/>
      <c r="H183" s="11"/>
      <c r="I183" s="11"/>
      <c r="J183" s="11"/>
      <c r="K183" s="11"/>
      <c r="L183" s="11"/>
      <c r="M183" s="13"/>
      <c r="N183" s="14" t="str">
        <f aca="false">IF(M183="","",EDATE(M183,Parâmetros!$B$12))</f>
        <v/>
      </c>
      <c r="O183" s="11"/>
      <c r="P183" s="13"/>
      <c r="Q183" s="13"/>
      <c r="R183" s="13"/>
      <c r="S183" s="13"/>
      <c r="T183" s="12" t="str">
        <f aca="true">IF(A183="","",IF(OR(AND(P183&lt;&gt;"",P183&lt;=TODAY()+Parâmetros!$B$13),AND(Q183&lt;&gt;"",Q183&lt;=TODAY()+Parâmetros!$B$13),AND(R183&lt;&gt;"",R183&lt;=TODAY()+Parâmetros!$B$13),AND(S183&lt;&gt;"",S183&lt;=TODAY()+Parâmetros!$B$13)),"RENOVAR","OK"))</f>
        <v/>
      </c>
      <c r="U183" s="12" t="str">
        <f aca="false">IF(A183="","",COUNTIF(Contratações!$I$5:$I$504,A183))</f>
        <v/>
      </c>
      <c r="V183" s="15" t="str">
        <f aca="false">IF(A183="","",SUMIF(Contratações!$I$5:$I$504,A183,Contratações!$N$5:$N$504))</f>
        <v/>
      </c>
      <c r="W183" s="16" t="str">
        <f aca="false">IF(A183="","",IFERROR(AVERAGEIFS(Contratações!$R$5:$R$504,Contratações!$I$5:$I$504,A183,Contratações!$R$5:$R$504,"&gt;0"),""))</f>
        <v/>
      </c>
      <c r="X183" s="14" t="str">
        <f aca="false">IF(A183="","",IF(U183=0,"nunca",_xlfn.MAXIFS(Contratações!$O$5:$O$504,Contratações!$I$5:$I$504,A183)))</f>
        <v/>
      </c>
      <c r="Y183" s="11"/>
    </row>
    <row r="184" customFormat="false" ht="15" hidden="false" customHeight="false" outlineLevel="0" collapsed="false">
      <c r="A184" s="11"/>
      <c r="B184" s="11"/>
      <c r="C184" s="11"/>
      <c r="D184" s="11"/>
      <c r="E184" s="12" t="str">
        <f aca="false">IF(D184="","",IF(OR(D184="MEI",D184="ME",D184="EPP",D184="Cooperativa",D184="PF autônoma"),"S","N"))</f>
        <v/>
      </c>
      <c r="F184" s="11"/>
      <c r="G184" s="11"/>
      <c r="H184" s="11"/>
      <c r="I184" s="11"/>
      <c r="J184" s="11"/>
      <c r="K184" s="11"/>
      <c r="L184" s="11"/>
      <c r="M184" s="13"/>
      <c r="N184" s="14" t="str">
        <f aca="false">IF(M184="","",EDATE(M184,Parâmetros!$B$12))</f>
        <v/>
      </c>
      <c r="O184" s="11"/>
      <c r="P184" s="13"/>
      <c r="Q184" s="13"/>
      <c r="R184" s="13"/>
      <c r="S184" s="13"/>
      <c r="T184" s="12" t="str">
        <f aca="true">IF(A184="","",IF(OR(AND(P184&lt;&gt;"",P184&lt;=TODAY()+Parâmetros!$B$13),AND(Q184&lt;&gt;"",Q184&lt;=TODAY()+Parâmetros!$B$13),AND(R184&lt;&gt;"",R184&lt;=TODAY()+Parâmetros!$B$13),AND(S184&lt;&gt;"",S184&lt;=TODAY()+Parâmetros!$B$13)),"RENOVAR","OK"))</f>
        <v/>
      </c>
      <c r="U184" s="12" t="str">
        <f aca="false">IF(A184="","",COUNTIF(Contratações!$I$5:$I$504,A184))</f>
        <v/>
      </c>
      <c r="V184" s="15" t="str">
        <f aca="false">IF(A184="","",SUMIF(Contratações!$I$5:$I$504,A184,Contratações!$N$5:$N$504))</f>
        <v/>
      </c>
      <c r="W184" s="16" t="str">
        <f aca="false">IF(A184="","",IFERROR(AVERAGEIFS(Contratações!$R$5:$R$504,Contratações!$I$5:$I$504,A184,Contratações!$R$5:$R$504,"&gt;0"),""))</f>
        <v/>
      </c>
      <c r="X184" s="14" t="str">
        <f aca="false">IF(A184="","",IF(U184=0,"nunca",_xlfn.MAXIFS(Contratações!$O$5:$O$504,Contratações!$I$5:$I$504,A184)))</f>
        <v/>
      </c>
      <c r="Y184" s="11"/>
    </row>
    <row r="185" customFormat="false" ht="15" hidden="false" customHeight="false" outlineLevel="0" collapsed="false">
      <c r="A185" s="11"/>
      <c r="B185" s="11"/>
      <c r="C185" s="11"/>
      <c r="D185" s="11"/>
      <c r="E185" s="12" t="str">
        <f aca="false">IF(D185="","",IF(OR(D185="MEI",D185="ME",D185="EPP",D185="Cooperativa",D185="PF autônoma"),"S","N"))</f>
        <v/>
      </c>
      <c r="F185" s="11"/>
      <c r="G185" s="11"/>
      <c r="H185" s="11"/>
      <c r="I185" s="11"/>
      <c r="J185" s="11"/>
      <c r="K185" s="11"/>
      <c r="L185" s="11"/>
      <c r="M185" s="13"/>
      <c r="N185" s="14" t="str">
        <f aca="false">IF(M185="","",EDATE(M185,Parâmetros!$B$12))</f>
        <v/>
      </c>
      <c r="O185" s="11"/>
      <c r="P185" s="13"/>
      <c r="Q185" s="13"/>
      <c r="R185" s="13"/>
      <c r="S185" s="13"/>
      <c r="T185" s="12" t="str">
        <f aca="true">IF(A185="","",IF(OR(AND(P185&lt;&gt;"",P185&lt;=TODAY()+Parâmetros!$B$13),AND(Q185&lt;&gt;"",Q185&lt;=TODAY()+Parâmetros!$B$13),AND(R185&lt;&gt;"",R185&lt;=TODAY()+Parâmetros!$B$13),AND(S185&lt;&gt;"",S185&lt;=TODAY()+Parâmetros!$B$13)),"RENOVAR","OK"))</f>
        <v/>
      </c>
      <c r="U185" s="12" t="str">
        <f aca="false">IF(A185="","",COUNTIF(Contratações!$I$5:$I$504,A185))</f>
        <v/>
      </c>
      <c r="V185" s="15" t="str">
        <f aca="false">IF(A185="","",SUMIF(Contratações!$I$5:$I$504,A185,Contratações!$N$5:$N$504))</f>
        <v/>
      </c>
      <c r="W185" s="16" t="str">
        <f aca="false">IF(A185="","",IFERROR(AVERAGEIFS(Contratações!$R$5:$R$504,Contratações!$I$5:$I$504,A185,Contratações!$R$5:$R$504,"&gt;0"),""))</f>
        <v/>
      </c>
      <c r="X185" s="14" t="str">
        <f aca="false">IF(A185="","",IF(U185=0,"nunca",_xlfn.MAXIFS(Contratações!$O$5:$O$504,Contratações!$I$5:$I$504,A185)))</f>
        <v/>
      </c>
      <c r="Y185" s="11"/>
    </row>
    <row r="186" customFormat="false" ht="15" hidden="false" customHeight="false" outlineLevel="0" collapsed="false">
      <c r="A186" s="11"/>
      <c r="B186" s="11"/>
      <c r="C186" s="11"/>
      <c r="D186" s="11"/>
      <c r="E186" s="12" t="str">
        <f aca="false">IF(D186="","",IF(OR(D186="MEI",D186="ME",D186="EPP",D186="Cooperativa",D186="PF autônoma"),"S","N"))</f>
        <v/>
      </c>
      <c r="F186" s="11"/>
      <c r="G186" s="11"/>
      <c r="H186" s="11"/>
      <c r="I186" s="11"/>
      <c r="J186" s="11"/>
      <c r="K186" s="11"/>
      <c r="L186" s="11"/>
      <c r="M186" s="13"/>
      <c r="N186" s="14" t="str">
        <f aca="false">IF(M186="","",EDATE(M186,Parâmetros!$B$12))</f>
        <v/>
      </c>
      <c r="O186" s="11"/>
      <c r="P186" s="13"/>
      <c r="Q186" s="13"/>
      <c r="R186" s="13"/>
      <c r="S186" s="13"/>
      <c r="T186" s="12" t="str">
        <f aca="true">IF(A186="","",IF(OR(AND(P186&lt;&gt;"",P186&lt;=TODAY()+Parâmetros!$B$13),AND(Q186&lt;&gt;"",Q186&lt;=TODAY()+Parâmetros!$B$13),AND(R186&lt;&gt;"",R186&lt;=TODAY()+Parâmetros!$B$13),AND(S186&lt;&gt;"",S186&lt;=TODAY()+Parâmetros!$B$13)),"RENOVAR","OK"))</f>
        <v/>
      </c>
      <c r="U186" s="12" t="str">
        <f aca="false">IF(A186="","",COUNTIF(Contratações!$I$5:$I$504,A186))</f>
        <v/>
      </c>
      <c r="V186" s="15" t="str">
        <f aca="false">IF(A186="","",SUMIF(Contratações!$I$5:$I$504,A186,Contratações!$N$5:$N$504))</f>
        <v/>
      </c>
      <c r="W186" s="16" t="str">
        <f aca="false">IF(A186="","",IFERROR(AVERAGEIFS(Contratações!$R$5:$R$504,Contratações!$I$5:$I$504,A186,Contratações!$R$5:$R$504,"&gt;0"),""))</f>
        <v/>
      </c>
      <c r="X186" s="14" t="str">
        <f aca="false">IF(A186="","",IF(U186=0,"nunca",_xlfn.MAXIFS(Contratações!$O$5:$O$504,Contratações!$I$5:$I$504,A186)))</f>
        <v/>
      </c>
      <c r="Y186" s="11"/>
    </row>
    <row r="187" customFormat="false" ht="15" hidden="false" customHeight="false" outlineLevel="0" collapsed="false">
      <c r="A187" s="11"/>
      <c r="B187" s="11"/>
      <c r="C187" s="11"/>
      <c r="D187" s="11"/>
      <c r="E187" s="12" t="str">
        <f aca="false">IF(D187="","",IF(OR(D187="MEI",D187="ME",D187="EPP",D187="Cooperativa",D187="PF autônoma"),"S","N"))</f>
        <v/>
      </c>
      <c r="F187" s="11"/>
      <c r="G187" s="11"/>
      <c r="H187" s="11"/>
      <c r="I187" s="11"/>
      <c r="J187" s="11"/>
      <c r="K187" s="11"/>
      <c r="L187" s="11"/>
      <c r="M187" s="13"/>
      <c r="N187" s="14" t="str">
        <f aca="false">IF(M187="","",EDATE(M187,Parâmetros!$B$12))</f>
        <v/>
      </c>
      <c r="O187" s="11"/>
      <c r="P187" s="13"/>
      <c r="Q187" s="13"/>
      <c r="R187" s="13"/>
      <c r="S187" s="13"/>
      <c r="T187" s="12" t="str">
        <f aca="true">IF(A187="","",IF(OR(AND(P187&lt;&gt;"",P187&lt;=TODAY()+Parâmetros!$B$13),AND(Q187&lt;&gt;"",Q187&lt;=TODAY()+Parâmetros!$B$13),AND(R187&lt;&gt;"",R187&lt;=TODAY()+Parâmetros!$B$13),AND(S187&lt;&gt;"",S187&lt;=TODAY()+Parâmetros!$B$13)),"RENOVAR","OK"))</f>
        <v/>
      </c>
      <c r="U187" s="12" t="str">
        <f aca="false">IF(A187="","",COUNTIF(Contratações!$I$5:$I$504,A187))</f>
        <v/>
      </c>
      <c r="V187" s="15" t="str">
        <f aca="false">IF(A187="","",SUMIF(Contratações!$I$5:$I$504,A187,Contratações!$N$5:$N$504))</f>
        <v/>
      </c>
      <c r="W187" s="16" t="str">
        <f aca="false">IF(A187="","",IFERROR(AVERAGEIFS(Contratações!$R$5:$R$504,Contratações!$I$5:$I$504,A187,Contratações!$R$5:$R$504,"&gt;0"),""))</f>
        <v/>
      </c>
      <c r="X187" s="14" t="str">
        <f aca="false">IF(A187="","",IF(U187=0,"nunca",_xlfn.MAXIFS(Contratações!$O$5:$O$504,Contratações!$I$5:$I$504,A187)))</f>
        <v/>
      </c>
      <c r="Y187" s="11"/>
    </row>
    <row r="188" customFormat="false" ht="15" hidden="false" customHeight="false" outlineLevel="0" collapsed="false">
      <c r="A188" s="11"/>
      <c r="B188" s="11"/>
      <c r="C188" s="11"/>
      <c r="D188" s="11"/>
      <c r="E188" s="12" t="str">
        <f aca="false">IF(D188="","",IF(OR(D188="MEI",D188="ME",D188="EPP",D188="Cooperativa",D188="PF autônoma"),"S","N"))</f>
        <v/>
      </c>
      <c r="F188" s="11"/>
      <c r="G188" s="11"/>
      <c r="H188" s="11"/>
      <c r="I188" s="11"/>
      <c r="J188" s="11"/>
      <c r="K188" s="11"/>
      <c r="L188" s="11"/>
      <c r="M188" s="13"/>
      <c r="N188" s="14" t="str">
        <f aca="false">IF(M188="","",EDATE(M188,Parâmetros!$B$12))</f>
        <v/>
      </c>
      <c r="O188" s="11"/>
      <c r="P188" s="13"/>
      <c r="Q188" s="13"/>
      <c r="R188" s="13"/>
      <c r="S188" s="13"/>
      <c r="T188" s="12" t="str">
        <f aca="true">IF(A188="","",IF(OR(AND(P188&lt;&gt;"",P188&lt;=TODAY()+Parâmetros!$B$13),AND(Q188&lt;&gt;"",Q188&lt;=TODAY()+Parâmetros!$B$13),AND(R188&lt;&gt;"",R188&lt;=TODAY()+Parâmetros!$B$13),AND(S188&lt;&gt;"",S188&lt;=TODAY()+Parâmetros!$B$13)),"RENOVAR","OK"))</f>
        <v/>
      </c>
      <c r="U188" s="12" t="str">
        <f aca="false">IF(A188="","",COUNTIF(Contratações!$I$5:$I$504,A188))</f>
        <v/>
      </c>
      <c r="V188" s="15" t="str">
        <f aca="false">IF(A188="","",SUMIF(Contratações!$I$5:$I$504,A188,Contratações!$N$5:$N$504))</f>
        <v/>
      </c>
      <c r="W188" s="16" t="str">
        <f aca="false">IF(A188="","",IFERROR(AVERAGEIFS(Contratações!$R$5:$R$504,Contratações!$I$5:$I$504,A188,Contratações!$R$5:$R$504,"&gt;0"),""))</f>
        <v/>
      </c>
      <c r="X188" s="14" t="str">
        <f aca="false">IF(A188="","",IF(U188=0,"nunca",_xlfn.MAXIFS(Contratações!$O$5:$O$504,Contratações!$I$5:$I$504,A188)))</f>
        <v/>
      </c>
      <c r="Y188" s="11"/>
    </row>
    <row r="189" customFormat="false" ht="15" hidden="false" customHeight="false" outlineLevel="0" collapsed="false">
      <c r="A189" s="11"/>
      <c r="B189" s="11"/>
      <c r="C189" s="11"/>
      <c r="D189" s="11"/>
      <c r="E189" s="12" t="str">
        <f aca="false">IF(D189="","",IF(OR(D189="MEI",D189="ME",D189="EPP",D189="Cooperativa",D189="PF autônoma"),"S","N"))</f>
        <v/>
      </c>
      <c r="F189" s="11"/>
      <c r="G189" s="11"/>
      <c r="H189" s="11"/>
      <c r="I189" s="11"/>
      <c r="J189" s="11"/>
      <c r="K189" s="11"/>
      <c r="L189" s="11"/>
      <c r="M189" s="13"/>
      <c r="N189" s="14" t="str">
        <f aca="false">IF(M189="","",EDATE(M189,Parâmetros!$B$12))</f>
        <v/>
      </c>
      <c r="O189" s="11"/>
      <c r="P189" s="13"/>
      <c r="Q189" s="13"/>
      <c r="R189" s="13"/>
      <c r="S189" s="13"/>
      <c r="T189" s="12" t="str">
        <f aca="true">IF(A189="","",IF(OR(AND(P189&lt;&gt;"",P189&lt;=TODAY()+Parâmetros!$B$13),AND(Q189&lt;&gt;"",Q189&lt;=TODAY()+Parâmetros!$B$13),AND(R189&lt;&gt;"",R189&lt;=TODAY()+Parâmetros!$B$13),AND(S189&lt;&gt;"",S189&lt;=TODAY()+Parâmetros!$B$13)),"RENOVAR","OK"))</f>
        <v/>
      </c>
      <c r="U189" s="12" t="str">
        <f aca="false">IF(A189="","",COUNTIF(Contratações!$I$5:$I$504,A189))</f>
        <v/>
      </c>
      <c r="V189" s="15" t="str">
        <f aca="false">IF(A189="","",SUMIF(Contratações!$I$5:$I$504,A189,Contratações!$N$5:$N$504))</f>
        <v/>
      </c>
      <c r="W189" s="16" t="str">
        <f aca="false">IF(A189="","",IFERROR(AVERAGEIFS(Contratações!$R$5:$R$504,Contratações!$I$5:$I$504,A189,Contratações!$R$5:$R$504,"&gt;0"),""))</f>
        <v/>
      </c>
      <c r="X189" s="14" t="str">
        <f aca="false">IF(A189="","",IF(U189=0,"nunca",_xlfn.MAXIFS(Contratações!$O$5:$O$504,Contratações!$I$5:$I$504,A189)))</f>
        <v/>
      </c>
      <c r="Y189" s="11"/>
    </row>
    <row r="190" customFormat="false" ht="15" hidden="false" customHeight="false" outlineLevel="0" collapsed="false">
      <c r="A190" s="11"/>
      <c r="B190" s="11"/>
      <c r="C190" s="11"/>
      <c r="D190" s="11"/>
      <c r="E190" s="12" t="str">
        <f aca="false">IF(D190="","",IF(OR(D190="MEI",D190="ME",D190="EPP",D190="Cooperativa",D190="PF autônoma"),"S","N"))</f>
        <v/>
      </c>
      <c r="F190" s="11"/>
      <c r="G190" s="11"/>
      <c r="H190" s="11"/>
      <c r="I190" s="11"/>
      <c r="J190" s="11"/>
      <c r="K190" s="11"/>
      <c r="L190" s="11"/>
      <c r="M190" s="13"/>
      <c r="N190" s="14" t="str">
        <f aca="false">IF(M190="","",EDATE(M190,Parâmetros!$B$12))</f>
        <v/>
      </c>
      <c r="O190" s="11"/>
      <c r="P190" s="13"/>
      <c r="Q190" s="13"/>
      <c r="R190" s="13"/>
      <c r="S190" s="13"/>
      <c r="T190" s="12" t="str">
        <f aca="true">IF(A190="","",IF(OR(AND(P190&lt;&gt;"",P190&lt;=TODAY()+Parâmetros!$B$13),AND(Q190&lt;&gt;"",Q190&lt;=TODAY()+Parâmetros!$B$13),AND(R190&lt;&gt;"",R190&lt;=TODAY()+Parâmetros!$B$13),AND(S190&lt;&gt;"",S190&lt;=TODAY()+Parâmetros!$B$13)),"RENOVAR","OK"))</f>
        <v/>
      </c>
      <c r="U190" s="12" t="str">
        <f aca="false">IF(A190="","",COUNTIF(Contratações!$I$5:$I$504,A190))</f>
        <v/>
      </c>
      <c r="V190" s="15" t="str">
        <f aca="false">IF(A190="","",SUMIF(Contratações!$I$5:$I$504,A190,Contratações!$N$5:$N$504))</f>
        <v/>
      </c>
      <c r="W190" s="16" t="str">
        <f aca="false">IF(A190="","",IFERROR(AVERAGEIFS(Contratações!$R$5:$R$504,Contratações!$I$5:$I$504,A190,Contratações!$R$5:$R$504,"&gt;0"),""))</f>
        <v/>
      </c>
      <c r="X190" s="14" t="str">
        <f aca="false">IF(A190="","",IF(U190=0,"nunca",_xlfn.MAXIFS(Contratações!$O$5:$O$504,Contratações!$I$5:$I$504,A190)))</f>
        <v/>
      </c>
      <c r="Y190" s="11"/>
    </row>
    <row r="191" customFormat="false" ht="15" hidden="false" customHeight="false" outlineLevel="0" collapsed="false">
      <c r="A191" s="11"/>
      <c r="B191" s="11"/>
      <c r="C191" s="11"/>
      <c r="D191" s="11"/>
      <c r="E191" s="12" t="str">
        <f aca="false">IF(D191="","",IF(OR(D191="MEI",D191="ME",D191="EPP",D191="Cooperativa",D191="PF autônoma"),"S","N"))</f>
        <v/>
      </c>
      <c r="F191" s="11"/>
      <c r="G191" s="11"/>
      <c r="H191" s="11"/>
      <c r="I191" s="11"/>
      <c r="J191" s="11"/>
      <c r="K191" s="11"/>
      <c r="L191" s="11"/>
      <c r="M191" s="13"/>
      <c r="N191" s="14" t="str">
        <f aca="false">IF(M191="","",EDATE(M191,Parâmetros!$B$12))</f>
        <v/>
      </c>
      <c r="O191" s="11"/>
      <c r="P191" s="13"/>
      <c r="Q191" s="13"/>
      <c r="R191" s="13"/>
      <c r="S191" s="13"/>
      <c r="T191" s="12" t="str">
        <f aca="true">IF(A191="","",IF(OR(AND(P191&lt;&gt;"",P191&lt;=TODAY()+Parâmetros!$B$13),AND(Q191&lt;&gt;"",Q191&lt;=TODAY()+Parâmetros!$B$13),AND(R191&lt;&gt;"",R191&lt;=TODAY()+Parâmetros!$B$13),AND(S191&lt;&gt;"",S191&lt;=TODAY()+Parâmetros!$B$13)),"RENOVAR","OK"))</f>
        <v/>
      </c>
      <c r="U191" s="12" t="str">
        <f aca="false">IF(A191="","",COUNTIF(Contratações!$I$5:$I$504,A191))</f>
        <v/>
      </c>
      <c r="V191" s="15" t="str">
        <f aca="false">IF(A191="","",SUMIF(Contratações!$I$5:$I$504,A191,Contratações!$N$5:$N$504))</f>
        <v/>
      </c>
      <c r="W191" s="16" t="str">
        <f aca="false">IF(A191="","",IFERROR(AVERAGEIFS(Contratações!$R$5:$R$504,Contratações!$I$5:$I$504,A191,Contratações!$R$5:$R$504,"&gt;0"),""))</f>
        <v/>
      </c>
      <c r="X191" s="14" t="str">
        <f aca="false">IF(A191="","",IF(U191=0,"nunca",_xlfn.MAXIFS(Contratações!$O$5:$O$504,Contratações!$I$5:$I$504,A191)))</f>
        <v/>
      </c>
      <c r="Y191" s="11"/>
    </row>
    <row r="192" customFormat="false" ht="15" hidden="false" customHeight="false" outlineLevel="0" collapsed="false">
      <c r="A192" s="11"/>
      <c r="B192" s="11"/>
      <c r="C192" s="11"/>
      <c r="D192" s="11"/>
      <c r="E192" s="12" t="str">
        <f aca="false">IF(D192="","",IF(OR(D192="MEI",D192="ME",D192="EPP",D192="Cooperativa",D192="PF autônoma"),"S","N"))</f>
        <v/>
      </c>
      <c r="F192" s="11"/>
      <c r="G192" s="11"/>
      <c r="H192" s="11"/>
      <c r="I192" s="11"/>
      <c r="J192" s="11"/>
      <c r="K192" s="11"/>
      <c r="L192" s="11"/>
      <c r="M192" s="13"/>
      <c r="N192" s="14" t="str">
        <f aca="false">IF(M192="","",EDATE(M192,Parâmetros!$B$12))</f>
        <v/>
      </c>
      <c r="O192" s="11"/>
      <c r="P192" s="13"/>
      <c r="Q192" s="13"/>
      <c r="R192" s="13"/>
      <c r="S192" s="13"/>
      <c r="T192" s="12" t="str">
        <f aca="true">IF(A192="","",IF(OR(AND(P192&lt;&gt;"",P192&lt;=TODAY()+Parâmetros!$B$13),AND(Q192&lt;&gt;"",Q192&lt;=TODAY()+Parâmetros!$B$13),AND(R192&lt;&gt;"",R192&lt;=TODAY()+Parâmetros!$B$13),AND(S192&lt;&gt;"",S192&lt;=TODAY()+Parâmetros!$B$13)),"RENOVAR","OK"))</f>
        <v/>
      </c>
      <c r="U192" s="12" t="str">
        <f aca="false">IF(A192="","",COUNTIF(Contratações!$I$5:$I$504,A192))</f>
        <v/>
      </c>
      <c r="V192" s="15" t="str">
        <f aca="false">IF(A192="","",SUMIF(Contratações!$I$5:$I$504,A192,Contratações!$N$5:$N$504))</f>
        <v/>
      </c>
      <c r="W192" s="16" t="str">
        <f aca="false">IF(A192="","",IFERROR(AVERAGEIFS(Contratações!$R$5:$R$504,Contratações!$I$5:$I$504,A192,Contratações!$R$5:$R$504,"&gt;0"),""))</f>
        <v/>
      </c>
      <c r="X192" s="14" t="str">
        <f aca="false">IF(A192="","",IF(U192=0,"nunca",_xlfn.MAXIFS(Contratações!$O$5:$O$504,Contratações!$I$5:$I$504,A192)))</f>
        <v/>
      </c>
      <c r="Y192" s="11"/>
    </row>
    <row r="193" customFormat="false" ht="15" hidden="false" customHeight="false" outlineLevel="0" collapsed="false">
      <c r="A193" s="11"/>
      <c r="B193" s="11"/>
      <c r="C193" s="11"/>
      <c r="D193" s="11"/>
      <c r="E193" s="12" t="str">
        <f aca="false">IF(D193="","",IF(OR(D193="MEI",D193="ME",D193="EPP",D193="Cooperativa",D193="PF autônoma"),"S","N"))</f>
        <v/>
      </c>
      <c r="F193" s="11"/>
      <c r="G193" s="11"/>
      <c r="H193" s="11"/>
      <c r="I193" s="11"/>
      <c r="J193" s="11"/>
      <c r="K193" s="11"/>
      <c r="L193" s="11"/>
      <c r="M193" s="13"/>
      <c r="N193" s="14" t="str">
        <f aca="false">IF(M193="","",EDATE(M193,Parâmetros!$B$12))</f>
        <v/>
      </c>
      <c r="O193" s="11"/>
      <c r="P193" s="13"/>
      <c r="Q193" s="13"/>
      <c r="R193" s="13"/>
      <c r="S193" s="13"/>
      <c r="T193" s="12" t="str">
        <f aca="true">IF(A193="","",IF(OR(AND(P193&lt;&gt;"",P193&lt;=TODAY()+Parâmetros!$B$13),AND(Q193&lt;&gt;"",Q193&lt;=TODAY()+Parâmetros!$B$13),AND(R193&lt;&gt;"",R193&lt;=TODAY()+Parâmetros!$B$13),AND(S193&lt;&gt;"",S193&lt;=TODAY()+Parâmetros!$B$13)),"RENOVAR","OK"))</f>
        <v/>
      </c>
      <c r="U193" s="12" t="str">
        <f aca="false">IF(A193="","",COUNTIF(Contratações!$I$5:$I$504,A193))</f>
        <v/>
      </c>
      <c r="V193" s="15" t="str">
        <f aca="false">IF(A193="","",SUMIF(Contratações!$I$5:$I$504,A193,Contratações!$N$5:$N$504))</f>
        <v/>
      </c>
      <c r="W193" s="16" t="str">
        <f aca="false">IF(A193="","",IFERROR(AVERAGEIFS(Contratações!$R$5:$R$504,Contratações!$I$5:$I$504,A193,Contratações!$R$5:$R$504,"&gt;0"),""))</f>
        <v/>
      </c>
      <c r="X193" s="14" t="str">
        <f aca="false">IF(A193="","",IF(U193=0,"nunca",_xlfn.MAXIFS(Contratações!$O$5:$O$504,Contratações!$I$5:$I$504,A193)))</f>
        <v/>
      </c>
      <c r="Y193" s="11"/>
    </row>
    <row r="194" customFormat="false" ht="15" hidden="false" customHeight="false" outlineLevel="0" collapsed="false">
      <c r="A194" s="11"/>
      <c r="B194" s="11"/>
      <c r="C194" s="11"/>
      <c r="D194" s="11"/>
      <c r="E194" s="12" t="str">
        <f aca="false">IF(D194="","",IF(OR(D194="MEI",D194="ME",D194="EPP",D194="Cooperativa",D194="PF autônoma"),"S","N"))</f>
        <v/>
      </c>
      <c r="F194" s="11"/>
      <c r="G194" s="11"/>
      <c r="H194" s="11"/>
      <c r="I194" s="11"/>
      <c r="J194" s="11"/>
      <c r="K194" s="11"/>
      <c r="L194" s="11"/>
      <c r="M194" s="13"/>
      <c r="N194" s="14" t="str">
        <f aca="false">IF(M194="","",EDATE(M194,Parâmetros!$B$12))</f>
        <v/>
      </c>
      <c r="O194" s="11"/>
      <c r="P194" s="13"/>
      <c r="Q194" s="13"/>
      <c r="R194" s="13"/>
      <c r="S194" s="13"/>
      <c r="T194" s="12" t="str">
        <f aca="true">IF(A194="","",IF(OR(AND(P194&lt;&gt;"",P194&lt;=TODAY()+Parâmetros!$B$13),AND(Q194&lt;&gt;"",Q194&lt;=TODAY()+Parâmetros!$B$13),AND(R194&lt;&gt;"",R194&lt;=TODAY()+Parâmetros!$B$13),AND(S194&lt;&gt;"",S194&lt;=TODAY()+Parâmetros!$B$13)),"RENOVAR","OK"))</f>
        <v/>
      </c>
      <c r="U194" s="12" t="str">
        <f aca="false">IF(A194="","",COUNTIF(Contratações!$I$5:$I$504,A194))</f>
        <v/>
      </c>
      <c r="V194" s="15" t="str">
        <f aca="false">IF(A194="","",SUMIF(Contratações!$I$5:$I$504,A194,Contratações!$N$5:$N$504))</f>
        <v/>
      </c>
      <c r="W194" s="16" t="str">
        <f aca="false">IF(A194="","",IFERROR(AVERAGEIFS(Contratações!$R$5:$R$504,Contratações!$I$5:$I$504,A194,Contratações!$R$5:$R$504,"&gt;0"),""))</f>
        <v/>
      </c>
      <c r="X194" s="14" t="str">
        <f aca="false">IF(A194="","",IF(U194=0,"nunca",_xlfn.MAXIFS(Contratações!$O$5:$O$504,Contratações!$I$5:$I$504,A194)))</f>
        <v/>
      </c>
      <c r="Y194" s="11"/>
    </row>
    <row r="195" customFormat="false" ht="15" hidden="false" customHeight="false" outlineLevel="0" collapsed="false">
      <c r="A195" s="11"/>
      <c r="B195" s="11"/>
      <c r="C195" s="11"/>
      <c r="D195" s="11"/>
      <c r="E195" s="12" t="str">
        <f aca="false">IF(D195="","",IF(OR(D195="MEI",D195="ME",D195="EPP",D195="Cooperativa",D195="PF autônoma"),"S","N"))</f>
        <v/>
      </c>
      <c r="F195" s="11"/>
      <c r="G195" s="11"/>
      <c r="H195" s="11"/>
      <c r="I195" s="11"/>
      <c r="J195" s="11"/>
      <c r="K195" s="11"/>
      <c r="L195" s="11"/>
      <c r="M195" s="13"/>
      <c r="N195" s="14" t="str">
        <f aca="false">IF(M195="","",EDATE(M195,Parâmetros!$B$12))</f>
        <v/>
      </c>
      <c r="O195" s="11"/>
      <c r="P195" s="13"/>
      <c r="Q195" s="13"/>
      <c r="R195" s="13"/>
      <c r="S195" s="13"/>
      <c r="T195" s="12" t="str">
        <f aca="true">IF(A195="","",IF(OR(AND(P195&lt;&gt;"",P195&lt;=TODAY()+Parâmetros!$B$13),AND(Q195&lt;&gt;"",Q195&lt;=TODAY()+Parâmetros!$B$13),AND(R195&lt;&gt;"",R195&lt;=TODAY()+Parâmetros!$B$13),AND(S195&lt;&gt;"",S195&lt;=TODAY()+Parâmetros!$B$13)),"RENOVAR","OK"))</f>
        <v/>
      </c>
      <c r="U195" s="12" t="str">
        <f aca="false">IF(A195="","",COUNTIF(Contratações!$I$5:$I$504,A195))</f>
        <v/>
      </c>
      <c r="V195" s="15" t="str">
        <f aca="false">IF(A195="","",SUMIF(Contratações!$I$5:$I$504,A195,Contratações!$N$5:$N$504))</f>
        <v/>
      </c>
      <c r="W195" s="16" t="str">
        <f aca="false">IF(A195="","",IFERROR(AVERAGEIFS(Contratações!$R$5:$R$504,Contratações!$I$5:$I$504,A195,Contratações!$R$5:$R$504,"&gt;0"),""))</f>
        <v/>
      </c>
      <c r="X195" s="14" t="str">
        <f aca="false">IF(A195="","",IF(U195=0,"nunca",_xlfn.MAXIFS(Contratações!$O$5:$O$504,Contratações!$I$5:$I$504,A195)))</f>
        <v/>
      </c>
      <c r="Y195" s="11"/>
    </row>
    <row r="196" customFormat="false" ht="15" hidden="false" customHeight="false" outlineLevel="0" collapsed="false">
      <c r="A196" s="11"/>
      <c r="B196" s="11"/>
      <c r="C196" s="11"/>
      <c r="D196" s="11"/>
      <c r="E196" s="12" t="str">
        <f aca="false">IF(D196="","",IF(OR(D196="MEI",D196="ME",D196="EPP",D196="Cooperativa",D196="PF autônoma"),"S","N"))</f>
        <v/>
      </c>
      <c r="F196" s="11"/>
      <c r="G196" s="11"/>
      <c r="H196" s="11"/>
      <c r="I196" s="11"/>
      <c r="J196" s="11"/>
      <c r="K196" s="11"/>
      <c r="L196" s="11"/>
      <c r="M196" s="13"/>
      <c r="N196" s="14" t="str">
        <f aca="false">IF(M196="","",EDATE(M196,Parâmetros!$B$12))</f>
        <v/>
      </c>
      <c r="O196" s="11"/>
      <c r="P196" s="13"/>
      <c r="Q196" s="13"/>
      <c r="R196" s="13"/>
      <c r="S196" s="13"/>
      <c r="T196" s="12" t="str">
        <f aca="true">IF(A196="","",IF(OR(AND(P196&lt;&gt;"",P196&lt;=TODAY()+Parâmetros!$B$13),AND(Q196&lt;&gt;"",Q196&lt;=TODAY()+Parâmetros!$B$13),AND(R196&lt;&gt;"",R196&lt;=TODAY()+Parâmetros!$B$13),AND(S196&lt;&gt;"",S196&lt;=TODAY()+Parâmetros!$B$13)),"RENOVAR","OK"))</f>
        <v/>
      </c>
      <c r="U196" s="12" t="str">
        <f aca="false">IF(A196="","",COUNTIF(Contratações!$I$5:$I$504,A196))</f>
        <v/>
      </c>
      <c r="V196" s="15" t="str">
        <f aca="false">IF(A196="","",SUMIF(Contratações!$I$5:$I$504,A196,Contratações!$N$5:$N$504))</f>
        <v/>
      </c>
      <c r="W196" s="16" t="str">
        <f aca="false">IF(A196="","",IFERROR(AVERAGEIFS(Contratações!$R$5:$R$504,Contratações!$I$5:$I$504,A196,Contratações!$R$5:$R$504,"&gt;0"),""))</f>
        <v/>
      </c>
      <c r="X196" s="14" t="str">
        <f aca="false">IF(A196="","",IF(U196=0,"nunca",_xlfn.MAXIFS(Contratações!$O$5:$O$504,Contratações!$I$5:$I$504,A196)))</f>
        <v/>
      </c>
      <c r="Y196" s="11"/>
    </row>
    <row r="197" customFormat="false" ht="15" hidden="false" customHeight="false" outlineLevel="0" collapsed="false">
      <c r="A197" s="11"/>
      <c r="B197" s="11"/>
      <c r="C197" s="11"/>
      <c r="D197" s="11"/>
      <c r="E197" s="12" t="str">
        <f aca="false">IF(D197="","",IF(OR(D197="MEI",D197="ME",D197="EPP",D197="Cooperativa",D197="PF autônoma"),"S","N"))</f>
        <v/>
      </c>
      <c r="F197" s="11"/>
      <c r="G197" s="11"/>
      <c r="H197" s="11"/>
      <c r="I197" s="11"/>
      <c r="J197" s="11"/>
      <c r="K197" s="11"/>
      <c r="L197" s="11"/>
      <c r="M197" s="13"/>
      <c r="N197" s="14" t="str">
        <f aca="false">IF(M197="","",EDATE(M197,Parâmetros!$B$12))</f>
        <v/>
      </c>
      <c r="O197" s="11"/>
      <c r="P197" s="13"/>
      <c r="Q197" s="13"/>
      <c r="R197" s="13"/>
      <c r="S197" s="13"/>
      <c r="T197" s="12" t="str">
        <f aca="true">IF(A197="","",IF(OR(AND(P197&lt;&gt;"",P197&lt;=TODAY()+Parâmetros!$B$13),AND(Q197&lt;&gt;"",Q197&lt;=TODAY()+Parâmetros!$B$13),AND(R197&lt;&gt;"",R197&lt;=TODAY()+Parâmetros!$B$13),AND(S197&lt;&gt;"",S197&lt;=TODAY()+Parâmetros!$B$13)),"RENOVAR","OK"))</f>
        <v/>
      </c>
      <c r="U197" s="12" t="str">
        <f aca="false">IF(A197="","",COUNTIF(Contratações!$I$5:$I$504,A197))</f>
        <v/>
      </c>
      <c r="V197" s="15" t="str">
        <f aca="false">IF(A197="","",SUMIF(Contratações!$I$5:$I$504,A197,Contratações!$N$5:$N$504))</f>
        <v/>
      </c>
      <c r="W197" s="16" t="str">
        <f aca="false">IF(A197="","",IFERROR(AVERAGEIFS(Contratações!$R$5:$R$504,Contratações!$I$5:$I$504,A197,Contratações!$R$5:$R$504,"&gt;0"),""))</f>
        <v/>
      </c>
      <c r="X197" s="14" t="str">
        <f aca="false">IF(A197="","",IF(U197=0,"nunca",_xlfn.MAXIFS(Contratações!$O$5:$O$504,Contratações!$I$5:$I$504,A197)))</f>
        <v/>
      </c>
      <c r="Y197" s="11"/>
    </row>
    <row r="198" customFormat="false" ht="15" hidden="false" customHeight="false" outlineLevel="0" collapsed="false">
      <c r="A198" s="11"/>
      <c r="B198" s="11"/>
      <c r="C198" s="11"/>
      <c r="D198" s="11"/>
      <c r="E198" s="12" t="str">
        <f aca="false">IF(D198="","",IF(OR(D198="MEI",D198="ME",D198="EPP",D198="Cooperativa",D198="PF autônoma"),"S","N"))</f>
        <v/>
      </c>
      <c r="F198" s="11"/>
      <c r="G198" s="11"/>
      <c r="H198" s="11"/>
      <c r="I198" s="11"/>
      <c r="J198" s="11"/>
      <c r="K198" s="11"/>
      <c r="L198" s="11"/>
      <c r="M198" s="13"/>
      <c r="N198" s="14" t="str">
        <f aca="false">IF(M198="","",EDATE(M198,Parâmetros!$B$12))</f>
        <v/>
      </c>
      <c r="O198" s="11"/>
      <c r="P198" s="13"/>
      <c r="Q198" s="13"/>
      <c r="R198" s="13"/>
      <c r="S198" s="13"/>
      <c r="T198" s="12" t="str">
        <f aca="true">IF(A198="","",IF(OR(AND(P198&lt;&gt;"",P198&lt;=TODAY()+Parâmetros!$B$13),AND(Q198&lt;&gt;"",Q198&lt;=TODAY()+Parâmetros!$B$13),AND(R198&lt;&gt;"",R198&lt;=TODAY()+Parâmetros!$B$13),AND(S198&lt;&gt;"",S198&lt;=TODAY()+Parâmetros!$B$13)),"RENOVAR","OK"))</f>
        <v/>
      </c>
      <c r="U198" s="12" t="str">
        <f aca="false">IF(A198="","",COUNTIF(Contratações!$I$5:$I$504,A198))</f>
        <v/>
      </c>
      <c r="V198" s="15" t="str">
        <f aca="false">IF(A198="","",SUMIF(Contratações!$I$5:$I$504,A198,Contratações!$N$5:$N$504))</f>
        <v/>
      </c>
      <c r="W198" s="16" t="str">
        <f aca="false">IF(A198="","",IFERROR(AVERAGEIFS(Contratações!$R$5:$R$504,Contratações!$I$5:$I$504,A198,Contratações!$R$5:$R$504,"&gt;0"),""))</f>
        <v/>
      </c>
      <c r="X198" s="14" t="str">
        <f aca="false">IF(A198="","",IF(U198=0,"nunca",_xlfn.MAXIFS(Contratações!$O$5:$O$504,Contratações!$I$5:$I$504,A198)))</f>
        <v/>
      </c>
      <c r="Y198" s="11"/>
    </row>
    <row r="199" customFormat="false" ht="15" hidden="false" customHeight="false" outlineLevel="0" collapsed="false">
      <c r="A199" s="11"/>
      <c r="B199" s="11"/>
      <c r="C199" s="11"/>
      <c r="D199" s="11"/>
      <c r="E199" s="12" t="str">
        <f aca="false">IF(D199="","",IF(OR(D199="MEI",D199="ME",D199="EPP",D199="Cooperativa",D199="PF autônoma"),"S","N"))</f>
        <v/>
      </c>
      <c r="F199" s="11"/>
      <c r="G199" s="11"/>
      <c r="H199" s="11"/>
      <c r="I199" s="11"/>
      <c r="J199" s="11"/>
      <c r="K199" s="11"/>
      <c r="L199" s="11"/>
      <c r="M199" s="13"/>
      <c r="N199" s="14" t="str">
        <f aca="false">IF(M199="","",EDATE(M199,Parâmetros!$B$12))</f>
        <v/>
      </c>
      <c r="O199" s="11"/>
      <c r="P199" s="13"/>
      <c r="Q199" s="13"/>
      <c r="R199" s="13"/>
      <c r="S199" s="13"/>
      <c r="T199" s="12" t="str">
        <f aca="true">IF(A199="","",IF(OR(AND(P199&lt;&gt;"",P199&lt;=TODAY()+Parâmetros!$B$13),AND(Q199&lt;&gt;"",Q199&lt;=TODAY()+Parâmetros!$B$13),AND(R199&lt;&gt;"",R199&lt;=TODAY()+Parâmetros!$B$13),AND(S199&lt;&gt;"",S199&lt;=TODAY()+Parâmetros!$B$13)),"RENOVAR","OK"))</f>
        <v/>
      </c>
      <c r="U199" s="12" t="str">
        <f aca="false">IF(A199="","",COUNTIF(Contratações!$I$5:$I$504,A199))</f>
        <v/>
      </c>
      <c r="V199" s="15" t="str">
        <f aca="false">IF(A199="","",SUMIF(Contratações!$I$5:$I$504,A199,Contratações!$N$5:$N$504))</f>
        <v/>
      </c>
      <c r="W199" s="16" t="str">
        <f aca="false">IF(A199="","",IFERROR(AVERAGEIFS(Contratações!$R$5:$R$504,Contratações!$I$5:$I$504,A199,Contratações!$R$5:$R$504,"&gt;0"),""))</f>
        <v/>
      </c>
      <c r="X199" s="14" t="str">
        <f aca="false">IF(A199="","",IF(U199=0,"nunca",_xlfn.MAXIFS(Contratações!$O$5:$O$504,Contratações!$I$5:$I$504,A199)))</f>
        <v/>
      </c>
      <c r="Y199" s="11"/>
    </row>
    <row r="200" customFormat="false" ht="15" hidden="false" customHeight="false" outlineLevel="0" collapsed="false">
      <c r="A200" s="11"/>
      <c r="B200" s="11"/>
      <c r="C200" s="11"/>
      <c r="D200" s="11"/>
      <c r="E200" s="12" t="str">
        <f aca="false">IF(D200="","",IF(OR(D200="MEI",D200="ME",D200="EPP",D200="Cooperativa",D200="PF autônoma"),"S","N"))</f>
        <v/>
      </c>
      <c r="F200" s="11"/>
      <c r="G200" s="11"/>
      <c r="H200" s="11"/>
      <c r="I200" s="11"/>
      <c r="J200" s="11"/>
      <c r="K200" s="11"/>
      <c r="L200" s="11"/>
      <c r="M200" s="13"/>
      <c r="N200" s="14" t="str">
        <f aca="false">IF(M200="","",EDATE(M200,Parâmetros!$B$12))</f>
        <v/>
      </c>
      <c r="O200" s="11"/>
      <c r="P200" s="13"/>
      <c r="Q200" s="13"/>
      <c r="R200" s="13"/>
      <c r="S200" s="13"/>
      <c r="T200" s="12" t="str">
        <f aca="true">IF(A200="","",IF(OR(AND(P200&lt;&gt;"",P200&lt;=TODAY()+Parâmetros!$B$13),AND(Q200&lt;&gt;"",Q200&lt;=TODAY()+Parâmetros!$B$13),AND(R200&lt;&gt;"",R200&lt;=TODAY()+Parâmetros!$B$13),AND(S200&lt;&gt;"",S200&lt;=TODAY()+Parâmetros!$B$13)),"RENOVAR","OK"))</f>
        <v/>
      </c>
      <c r="U200" s="12" t="str">
        <f aca="false">IF(A200="","",COUNTIF(Contratações!$I$5:$I$504,A200))</f>
        <v/>
      </c>
      <c r="V200" s="15" t="str">
        <f aca="false">IF(A200="","",SUMIF(Contratações!$I$5:$I$504,A200,Contratações!$N$5:$N$504))</f>
        <v/>
      </c>
      <c r="W200" s="16" t="str">
        <f aca="false">IF(A200="","",IFERROR(AVERAGEIFS(Contratações!$R$5:$R$504,Contratações!$I$5:$I$504,A200,Contratações!$R$5:$R$504,"&gt;0"),""))</f>
        <v/>
      </c>
      <c r="X200" s="14" t="str">
        <f aca="false">IF(A200="","",IF(U200=0,"nunca",_xlfn.MAXIFS(Contratações!$O$5:$O$504,Contratações!$I$5:$I$504,A200)))</f>
        <v/>
      </c>
      <c r="Y200" s="11"/>
    </row>
    <row r="201" customFormat="false" ht="15" hidden="false" customHeight="false" outlineLevel="0" collapsed="false">
      <c r="A201" s="11"/>
      <c r="B201" s="11"/>
      <c r="C201" s="11"/>
      <c r="D201" s="11"/>
      <c r="E201" s="12" t="str">
        <f aca="false">IF(D201="","",IF(OR(D201="MEI",D201="ME",D201="EPP",D201="Cooperativa",D201="PF autônoma"),"S","N"))</f>
        <v/>
      </c>
      <c r="F201" s="11"/>
      <c r="G201" s="11"/>
      <c r="H201" s="11"/>
      <c r="I201" s="11"/>
      <c r="J201" s="11"/>
      <c r="K201" s="11"/>
      <c r="L201" s="11"/>
      <c r="M201" s="13"/>
      <c r="N201" s="14" t="str">
        <f aca="false">IF(M201="","",EDATE(M201,Parâmetros!$B$12))</f>
        <v/>
      </c>
      <c r="O201" s="11"/>
      <c r="P201" s="13"/>
      <c r="Q201" s="13"/>
      <c r="R201" s="13"/>
      <c r="S201" s="13"/>
      <c r="T201" s="12" t="str">
        <f aca="true">IF(A201="","",IF(OR(AND(P201&lt;&gt;"",P201&lt;=TODAY()+Parâmetros!$B$13),AND(Q201&lt;&gt;"",Q201&lt;=TODAY()+Parâmetros!$B$13),AND(R201&lt;&gt;"",R201&lt;=TODAY()+Parâmetros!$B$13),AND(S201&lt;&gt;"",S201&lt;=TODAY()+Parâmetros!$B$13)),"RENOVAR","OK"))</f>
        <v/>
      </c>
      <c r="U201" s="12" t="str">
        <f aca="false">IF(A201="","",COUNTIF(Contratações!$I$5:$I$504,A201))</f>
        <v/>
      </c>
      <c r="V201" s="15" t="str">
        <f aca="false">IF(A201="","",SUMIF(Contratações!$I$5:$I$504,A201,Contratações!$N$5:$N$504))</f>
        <v/>
      </c>
      <c r="W201" s="16" t="str">
        <f aca="false">IF(A201="","",IFERROR(AVERAGEIFS(Contratações!$R$5:$R$504,Contratações!$I$5:$I$504,A201,Contratações!$R$5:$R$504,"&gt;0"),""))</f>
        <v/>
      </c>
      <c r="X201" s="14" t="str">
        <f aca="false">IF(A201="","",IF(U201=0,"nunca",_xlfn.MAXIFS(Contratações!$O$5:$O$504,Contratações!$I$5:$I$504,A201)))</f>
        <v/>
      </c>
      <c r="Y201" s="11"/>
    </row>
    <row r="202" customFormat="false" ht="15" hidden="false" customHeight="false" outlineLevel="0" collapsed="false">
      <c r="A202" s="11"/>
      <c r="B202" s="11"/>
      <c r="C202" s="11"/>
      <c r="D202" s="11"/>
      <c r="E202" s="12" t="str">
        <f aca="false">IF(D202="","",IF(OR(D202="MEI",D202="ME",D202="EPP",D202="Cooperativa",D202="PF autônoma"),"S","N"))</f>
        <v/>
      </c>
      <c r="F202" s="11"/>
      <c r="G202" s="11"/>
      <c r="H202" s="11"/>
      <c r="I202" s="11"/>
      <c r="J202" s="11"/>
      <c r="K202" s="11"/>
      <c r="L202" s="11"/>
      <c r="M202" s="13"/>
      <c r="N202" s="14" t="str">
        <f aca="false">IF(M202="","",EDATE(M202,Parâmetros!$B$12))</f>
        <v/>
      </c>
      <c r="O202" s="11"/>
      <c r="P202" s="13"/>
      <c r="Q202" s="13"/>
      <c r="R202" s="13"/>
      <c r="S202" s="13"/>
      <c r="T202" s="12" t="str">
        <f aca="true">IF(A202="","",IF(OR(AND(P202&lt;&gt;"",P202&lt;=TODAY()+Parâmetros!$B$13),AND(Q202&lt;&gt;"",Q202&lt;=TODAY()+Parâmetros!$B$13),AND(R202&lt;&gt;"",R202&lt;=TODAY()+Parâmetros!$B$13),AND(S202&lt;&gt;"",S202&lt;=TODAY()+Parâmetros!$B$13)),"RENOVAR","OK"))</f>
        <v/>
      </c>
      <c r="U202" s="12" t="str">
        <f aca="false">IF(A202="","",COUNTIF(Contratações!$I$5:$I$504,A202))</f>
        <v/>
      </c>
      <c r="V202" s="15" t="str">
        <f aca="false">IF(A202="","",SUMIF(Contratações!$I$5:$I$504,A202,Contratações!$N$5:$N$504))</f>
        <v/>
      </c>
      <c r="W202" s="16" t="str">
        <f aca="false">IF(A202="","",IFERROR(AVERAGEIFS(Contratações!$R$5:$R$504,Contratações!$I$5:$I$504,A202,Contratações!$R$5:$R$504,"&gt;0"),""))</f>
        <v/>
      </c>
      <c r="X202" s="14" t="str">
        <f aca="false">IF(A202="","",IF(U202=0,"nunca",_xlfn.MAXIFS(Contratações!$O$5:$O$504,Contratações!$I$5:$I$504,A202)))</f>
        <v/>
      </c>
      <c r="Y202" s="11"/>
    </row>
    <row r="203" customFormat="false" ht="15" hidden="false" customHeight="false" outlineLevel="0" collapsed="false">
      <c r="A203" s="11"/>
      <c r="B203" s="11"/>
      <c r="C203" s="11"/>
      <c r="D203" s="11"/>
      <c r="E203" s="12" t="str">
        <f aca="false">IF(D203="","",IF(OR(D203="MEI",D203="ME",D203="EPP",D203="Cooperativa",D203="PF autônoma"),"S","N"))</f>
        <v/>
      </c>
      <c r="F203" s="11"/>
      <c r="G203" s="11"/>
      <c r="H203" s="11"/>
      <c r="I203" s="11"/>
      <c r="J203" s="11"/>
      <c r="K203" s="11"/>
      <c r="L203" s="11"/>
      <c r="M203" s="13"/>
      <c r="N203" s="14" t="str">
        <f aca="false">IF(M203="","",EDATE(M203,Parâmetros!$B$12))</f>
        <v/>
      </c>
      <c r="O203" s="11"/>
      <c r="P203" s="13"/>
      <c r="Q203" s="13"/>
      <c r="R203" s="13"/>
      <c r="S203" s="13"/>
      <c r="T203" s="12" t="str">
        <f aca="true">IF(A203="","",IF(OR(AND(P203&lt;&gt;"",P203&lt;=TODAY()+Parâmetros!$B$13),AND(Q203&lt;&gt;"",Q203&lt;=TODAY()+Parâmetros!$B$13),AND(R203&lt;&gt;"",R203&lt;=TODAY()+Parâmetros!$B$13),AND(S203&lt;&gt;"",S203&lt;=TODAY()+Parâmetros!$B$13)),"RENOVAR","OK"))</f>
        <v/>
      </c>
      <c r="U203" s="12" t="str">
        <f aca="false">IF(A203="","",COUNTIF(Contratações!$I$5:$I$504,A203))</f>
        <v/>
      </c>
      <c r="V203" s="15" t="str">
        <f aca="false">IF(A203="","",SUMIF(Contratações!$I$5:$I$504,A203,Contratações!$N$5:$N$504))</f>
        <v/>
      </c>
      <c r="W203" s="16" t="str">
        <f aca="false">IF(A203="","",IFERROR(AVERAGEIFS(Contratações!$R$5:$R$504,Contratações!$I$5:$I$504,A203,Contratações!$R$5:$R$504,"&gt;0"),""))</f>
        <v/>
      </c>
      <c r="X203" s="14" t="str">
        <f aca="false">IF(A203="","",IF(U203=0,"nunca",_xlfn.MAXIFS(Contratações!$O$5:$O$504,Contratações!$I$5:$I$504,A203)))</f>
        <v/>
      </c>
      <c r="Y203" s="11"/>
    </row>
    <row r="204" customFormat="false" ht="15" hidden="false" customHeight="false" outlineLevel="0" collapsed="false">
      <c r="A204" s="11"/>
      <c r="B204" s="11"/>
      <c r="C204" s="11"/>
      <c r="D204" s="11"/>
      <c r="E204" s="12" t="str">
        <f aca="false">IF(D204="","",IF(OR(D204="MEI",D204="ME",D204="EPP",D204="Cooperativa",D204="PF autônoma"),"S","N"))</f>
        <v/>
      </c>
      <c r="F204" s="11"/>
      <c r="G204" s="11"/>
      <c r="H204" s="11"/>
      <c r="I204" s="11"/>
      <c r="J204" s="11"/>
      <c r="K204" s="11"/>
      <c r="L204" s="11"/>
      <c r="M204" s="13"/>
      <c r="N204" s="14" t="str">
        <f aca="false">IF(M204="","",EDATE(M204,Parâmetros!$B$12))</f>
        <v/>
      </c>
      <c r="O204" s="11"/>
      <c r="P204" s="13"/>
      <c r="Q204" s="13"/>
      <c r="R204" s="13"/>
      <c r="S204" s="13"/>
      <c r="T204" s="12" t="str">
        <f aca="true">IF(A204="","",IF(OR(AND(P204&lt;&gt;"",P204&lt;=TODAY()+Parâmetros!$B$13),AND(Q204&lt;&gt;"",Q204&lt;=TODAY()+Parâmetros!$B$13),AND(R204&lt;&gt;"",R204&lt;=TODAY()+Parâmetros!$B$13),AND(S204&lt;&gt;"",S204&lt;=TODAY()+Parâmetros!$B$13)),"RENOVAR","OK"))</f>
        <v/>
      </c>
      <c r="U204" s="12" t="str">
        <f aca="false">IF(A204="","",COUNTIF(Contratações!$I$5:$I$504,A204))</f>
        <v/>
      </c>
      <c r="V204" s="15" t="str">
        <f aca="false">IF(A204="","",SUMIF(Contratações!$I$5:$I$504,A204,Contratações!$N$5:$N$504))</f>
        <v/>
      </c>
      <c r="W204" s="16" t="str">
        <f aca="false">IF(A204="","",IFERROR(AVERAGEIFS(Contratações!$R$5:$R$504,Contratações!$I$5:$I$504,A204,Contratações!$R$5:$R$504,"&gt;0"),""))</f>
        <v/>
      </c>
      <c r="X204" s="14" t="str">
        <f aca="false">IF(A204="","",IF(U204=0,"nunca",_xlfn.MAXIFS(Contratações!$O$5:$O$504,Contratações!$I$5:$I$504,A204)))</f>
        <v/>
      </c>
      <c r="Y204" s="11"/>
    </row>
    <row r="205" customFormat="false" ht="15" hidden="false" customHeight="false" outlineLevel="0" collapsed="false">
      <c r="A205" s="11"/>
      <c r="B205" s="11"/>
      <c r="C205" s="11"/>
      <c r="D205" s="11"/>
      <c r="E205" s="12" t="str">
        <f aca="false">IF(D205="","",IF(OR(D205="MEI",D205="ME",D205="EPP",D205="Cooperativa",D205="PF autônoma"),"S","N"))</f>
        <v/>
      </c>
      <c r="F205" s="11"/>
      <c r="G205" s="11"/>
      <c r="H205" s="11"/>
      <c r="I205" s="11"/>
      <c r="J205" s="11"/>
      <c r="K205" s="11"/>
      <c r="L205" s="11"/>
      <c r="M205" s="13"/>
      <c r="N205" s="14" t="str">
        <f aca="false">IF(M205="","",EDATE(M205,Parâmetros!$B$12))</f>
        <v/>
      </c>
      <c r="O205" s="11"/>
      <c r="P205" s="13"/>
      <c r="Q205" s="13"/>
      <c r="R205" s="13"/>
      <c r="S205" s="13"/>
      <c r="T205" s="12" t="str">
        <f aca="true">IF(A205="","",IF(OR(AND(P205&lt;&gt;"",P205&lt;=TODAY()+Parâmetros!$B$13),AND(Q205&lt;&gt;"",Q205&lt;=TODAY()+Parâmetros!$B$13),AND(R205&lt;&gt;"",R205&lt;=TODAY()+Parâmetros!$B$13),AND(S205&lt;&gt;"",S205&lt;=TODAY()+Parâmetros!$B$13)),"RENOVAR","OK"))</f>
        <v/>
      </c>
      <c r="U205" s="12" t="str">
        <f aca="false">IF(A205="","",COUNTIF(Contratações!$I$5:$I$504,A205))</f>
        <v/>
      </c>
      <c r="V205" s="15" t="str">
        <f aca="false">IF(A205="","",SUMIF(Contratações!$I$5:$I$504,A205,Contratações!$N$5:$N$504))</f>
        <v/>
      </c>
      <c r="W205" s="16" t="str">
        <f aca="false">IF(A205="","",IFERROR(AVERAGEIFS(Contratações!$R$5:$R$504,Contratações!$I$5:$I$504,A205,Contratações!$R$5:$R$504,"&gt;0"),""))</f>
        <v/>
      </c>
      <c r="X205" s="14" t="str">
        <f aca="false">IF(A205="","",IF(U205=0,"nunca",_xlfn.MAXIFS(Contratações!$O$5:$O$504,Contratações!$I$5:$I$504,A205)))</f>
        <v/>
      </c>
      <c r="Y205" s="11"/>
    </row>
    <row r="206" customFormat="false" ht="15" hidden="false" customHeight="false" outlineLevel="0" collapsed="false">
      <c r="A206" s="11"/>
      <c r="B206" s="11"/>
      <c r="C206" s="11"/>
      <c r="D206" s="11"/>
      <c r="E206" s="12" t="str">
        <f aca="false">IF(D206="","",IF(OR(D206="MEI",D206="ME",D206="EPP",D206="Cooperativa",D206="PF autônoma"),"S","N"))</f>
        <v/>
      </c>
      <c r="F206" s="11"/>
      <c r="G206" s="11"/>
      <c r="H206" s="11"/>
      <c r="I206" s="11"/>
      <c r="J206" s="11"/>
      <c r="K206" s="11"/>
      <c r="L206" s="11"/>
      <c r="M206" s="13"/>
      <c r="N206" s="14" t="str">
        <f aca="false">IF(M206="","",EDATE(M206,Parâmetros!$B$12))</f>
        <v/>
      </c>
      <c r="O206" s="11"/>
      <c r="P206" s="13"/>
      <c r="Q206" s="13"/>
      <c r="R206" s="13"/>
      <c r="S206" s="13"/>
      <c r="T206" s="12" t="str">
        <f aca="true">IF(A206="","",IF(OR(AND(P206&lt;&gt;"",P206&lt;=TODAY()+Parâmetros!$B$13),AND(Q206&lt;&gt;"",Q206&lt;=TODAY()+Parâmetros!$B$13),AND(R206&lt;&gt;"",R206&lt;=TODAY()+Parâmetros!$B$13),AND(S206&lt;&gt;"",S206&lt;=TODAY()+Parâmetros!$B$13)),"RENOVAR","OK"))</f>
        <v/>
      </c>
      <c r="U206" s="12" t="str">
        <f aca="false">IF(A206="","",COUNTIF(Contratações!$I$5:$I$504,A206))</f>
        <v/>
      </c>
      <c r="V206" s="15" t="str">
        <f aca="false">IF(A206="","",SUMIF(Contratações!$I$5:$I$504,A206,Contratações!$N$5:$N$504))</f>
        <v/>
      </c>
      <c r="W206" s="16" t="str">
        <f aca="false">IF(A206="","",IFERROR(AVERAGEIFS(Contratações!$R$5:$R$504,Contratações!$I$5:$I$504,A206,Contratações!$R$5:$R$504,"&gt;0"),""))</f>
        <v/>
      </c>
      <c r="X206" s="14" t="str">
        <f aca="false">IF(A206="","",IF(U206=0,"nunca",_xlfn.MAXIFS(Contratações!$O$5:$O$504,Contratações!$I$5:$I$504,A206)))</f>
        <v/>
      </c>
      <c r="Y206" s="11"/>
    </row>
    <row r="207" customFormat="false" ht="15" hidden="false" customHeight="false" outlineLevel="0" collapsed="false">
      <c r="A207" s="11"/>
      <c r="B207" s="11"/>
      <c r="C207" s="11"/>
      <c r="D207" s="11"/>
      <c r="E207" s="12" t="str">
        <f aca="false">IF(D207="","",IF(OR(D207="MEI",D207="ME",D207="EPP",D207="Cooperativa",D207="PF autônoma"),"S","N"))</f>
        <v/>
      </c>
      <c r="F207" s="11"/>
      <c r="G207" s="11"/>
      <c r="H207" s="11"/>
      <c r="I207" s="11"/>
      <c r="J207" s="11"/>
      <c r="K207" s="11"/>
      <c r="L207" s="11"/>
      <c r="M207" s="13"/>
      <c r="N207" s="14" t="str">
        <f aca="false">IF(M207="","",EDATE(M207,Parâmetros!$B$12))</f>
        <v/>
      </c>
      <c r="O207" s="11"/>
      <c r="P207" s="13"/>
      <c r="Q207" s="13"/>
      <c r="R207" s="13"/>
      <c r="S207" s="13"/>
      <c r="T207" s="12" t="str">
        <f aca="true">IF(A207="","",IF(OR(AND(P207&lt;&gt;"",P207&lt;=TODAY()+Parâmetros!$B$13),AND(Q207&lt;&gt;"",Q207&lt;=TODAY()+Parâmetros!$B$13),AND(R207&lt;&gt;"",R207&lt;=TODAY()+Parâmetros!$B$13),AND(S207&lt;&gt;"",S207&lt;=TODAY()+Parâmetros!$B$13)),"RENOVAR","OK"))</f>
        <v/>
      </c>
      <c r="U207" s="12" t="str">
        <f aca="false">IF(A207="","",COUNTIF(Contratações!$I$5:$I$504,A207))</f>
        <v/>
      </c>
      <c r="V207" s="15" t="str">
        <f aca="false">IF(A207="","",SUMIF(Contratações!$I$5:$I$504,A207,Contratações!$N$5:$N$504))</f>
        <v/>
      </c>
      <c r="W207" s="16" t="str">
        <f aca="false">IF(A207="","",IFERROR(AVERAGEIFS(Contratações!$R$5:$R$504,Contratações!$I$5:$I$504,A207,Contratações!$R$5:$R$504,"&gt;0"),""))</f>
        <v/>
      </c>
      <c r="X207" s="14" t="str">
        <f aca="false">IF(A207="","",IF(U207=0,"nunca",_xlfn.MAXIFS(Contratações!$O$5:$O$504,Contratações!$I$5:$I$504,A207)))</f>
        <v/>
      </c>
      <c r="Y207" s="11"/>
    </row>
    <row r="208" customFormat="false" ht="15" hidden="false" customHeight="false" outlineLevel="0" collapsed="false">
      <c r="A208" s="11"/>
      <c r="B208" s="11"/>
      <c r="C208" s="11"/>
      <c r="D208" s="11"/>
      <c r="E208" s="12" t="str">
        <f aca="false">IF(D208="","",IF(OR(D208="MEI",D208="ME",D208="EPP",D208="Cooperativa",D208="PF autônoma"),"S","N"))</f>
        <v/>
      </c>
      <c r="F208" s="11"/>
      <c r="G208" s="11"/>
      <c r="H208" s="11"/>
      <c r="I208" s="11"/>
      <c r="J208" s="11"/>
      <c r="K208" s="11"/>
      <c r="L208" s="11"/>
      <c r="M208" s="13"/>
      <c r="N208" s="14" t="str">
        <f aca="false">IF(M208="","",EDATE(M208,Parâmetros!$B$12))</f>
        <v/>
      </c>
      <c r="O208" s="11"/>
      <c r="P208" s="13"/>
      <c r="Q208" s="13"/>
      <c r="R208" s="13"/>
      <c r="S208" s="13"/>
      <c r="T208" s="12" t="str">
        <f aca="true">IF(A208="","",IF(OR(AND(P208&lt;&gt;"",P208&lt;=TODAY()+Parâmetros!$B$13),AND(Q208&lt;&gt;"",Q208&lt;=TODAY()+Parâmetros!$B$13),AND(R208&lt;&gt;"",R208&lt;=TODAY()+Parâmetros!$B$13),AND(S208&lt;&gt;"",S208&lt;=TODAY()+Parâmetros!$B$13)),"RENOVAR","OK"))</f>
        <v/>
      </c>
      <c r="U208" s="12" t="str">
        <f aca="false">IF(A208="","",COUNTIF(Contratações!$I$5:$I$504,A208))</f>
        <v/>
      </c>
      <c r="V208" s="15" t="str">
        <f aca="false">IF(A208="","",SUMIF(Contratações!$I$5:$I$504,A208,Contratações!$N$5:$N$504))</f>
        <v/>
      </c>
      <c r="W208" s="16" t="str">
        <f aca="false">IF(A208="","",IFERROR(AVERAGEIFS(Contratações!$R$5:$R$504,Contratações!$I$5:$I$504,A208,Contratações!$R$5:$R$504,"&gt;0"),""))</f>
        <v/>
      </c>
      <c r="X208" s="14" t="str">
        <f aca="false">IF(A208="","",IF(U208=0,"nunca",_xlfn.MAXIFS(Contratações!$O$5:$O$504,Contratações!$I$5:$I$504,A208)))</f>
        <v/>
      </c>
      <c r="Y208" s="11"/>
    </row>
    <row r="209" customFormat="false" ht="15" hidden="false" customHeight="false" outlineLevel="0" collapsed="false">
      <c r="A209" s="11"/>
      <c r="B209" s="11"/>
      <c r="C209" s="11"/>
      <c r="D209" s="11"/>
      <c r="E209" s="12" t="str">
        <f aca="false">IF(D209="","",IF(OR(D209="MEI",D209="ME",D209="EPP",D209="Cooperativa",D209="PF autônoma"),"S","N"))</f>
        <v/>
      </c>
      <c r="F209" s="11"/>
      <c r="G209" s="11"/>
      <c r="H209" s="11"/>
      <c r="I209" s="11"/>
      <c r="J209" s="11"/>
      <c r="K209" s="11"/>
      <c r="L209" s="11"/>
      <c r="M209" s="13"/>
      <c r="N209" s="14" t="str">
        <f aca="false">IF(M209="","",EDATE(M209,Parâmetros!$B$12))</f>
        <v/>
      </c>
      <c r="O209" s="11"/>
      <c r="P209" s="13"/>
      <c r="Q209" s="13"/>
      <c r="R209" s="13"/>
      <c r="S209" s="13"/>
      <c r="T209" s="12" t="str">
        <f aca="true">IF(A209="","",IF(OR(AND(P209&lt;&gt;"",P209&lt;=TODAY()+Parâmetros!$B$13),AND(Q209&lt;&gt;"",Q209&lt;=TODAY()+Parâmetros!$B$13),AND(R209&lt;&gt;"",R209&lt;=TODAY()+Parâmetros!$B$13),AND(S209&lt;&gt;"",S209&lt;=TODAY()+Parâmetros!$B$13)),"RENOVAR","OK"))</f>
        <v/>
      </c>
      <c r="U209" s="12" t="str">
        <f aca="false">IF(A209="","",COUNTIF(Contratações!$I$5:$I$504,A209))</f>
        <v/>
      </c>
      <c r="V209" s="15" t="str">
        <f aca="false">IF(A209="","",SUMIF(Contratações!$I$5:$I$504,A209,Contratações!$N$5:$N$504))</f>
        <v/>
      </c>
      <c r="W209" s="16" t="str">
        <f aca="false">IF(A209="","",IFERROR(AVERAGEIFS(Contratações!$R$5:$R$504,Contratações!$I$5:$I$504,A209,Contratações!$R$5:$R$504,"&gt;0"),""))</f>
        <v/>
      </c>
      <c r="X209" s="14" t="str">
        <f aca="false">IF(A209="","",IF(U209=0,"nunca",_xlfn.MAXIFS(Contratações!$O$5:$O$504,Contratações!$I$5:$I$504,A209)))</f>
        <v/>
      </c>
      <c r="Y209" s="11"/>
    </row>
    <row r="210" customFormat="false" ht="15" hidden="false" customHeight="false" outlineLevel="0" collapsed="false">
      <c r="A210" s="11"/>
      <c r="B210" s="11"/>
      <c r="C210" s="11"/>
      <c r="D210" s="11"/>
      <c r="E210" s="12" t="str">
        <f aca="false">IF(D210="","",IF(OR(D210="MEI",D210="ME",D210="EPP",D210="Cooperativa",D210="PF autônoma"),"S","N"))</f>
        <v/>
      </c>
      <c r="F210" s="11"/>
      <c r="G210" s="11"/>
      <c r="H210" s="11"/>
      <c r="I210" s="11"/>
      <c r="J210" s="11"/>
      <c r="K210" s="11"/>
      <c r="L210" s="11"/>
      <c r="M210" s="13"/>
      <c r="N210" s="14" t="str">
        <f aca="false">IF(M210="","",EDATE(M210,Parâmetros!$B$12))</f>
        <v/>
      </c>
      <c r="O210" s="11"/>
      <c r="P210" s="13"/>
      <c r="Q210" s="13"/>
      <c r="R210" s="13"/>
      <c r="S210" s="13"/>
      <c r="T210" s="12" t="str">
        <f aca="true">IF(A210="","",IF(OR(AND(P210&lt;&gt;"",P210&lt;=TODAY()+Parâmetros!$B$13),AND(Q210&lt;&gt;"",Q210&lt;=TODAY()+Parâmetros!$B$13),AND(R210&lt;&gt;"",R210&lt;=TODAY()+Parâmetros!$B$13),AND(S210&lt;&gt;"",S210&lt;=TODAY()+Parâmetros!$B$13)),"RENOVAR","OK"))</f>
        <v/>
      </c>
      <c r="U210" s="12" t="str">
        <f aca="false">IF(A210="","",COUNTIF(Contratações!$I$5:$I$504,A210))</f>
        <v/>
      </c>
      <c r="V210" s="15" t="str">
        <f aca="false">IF(A210="","",SUMIF(Contratações!$I$5:$I$504,A210,Contratações!$N$5:$N$504))</f>
        <v/>
      </c>
      <c r="W210" s="16" t="str">
        <f aca="false">IF(A210="","",IFERROR(AVERAGEIFS(Contratações!$R$5:$R$504,Contratações!$I$5:$I$504,A210,Contratações!$R$5:$R$504,"&gt;0"),""))</f>
        <v/>
      </c>
      <c r="X210" s="14" t="str">
        <f aca="false">IF(A210="","",IF(U210=0,"nunca",_xlfn.MAXIFS(Contratações!$O$5:$O$504,Contratações!$I$5:$I$504,A210)))</f>
        <v/>
      </c>
      <c r="Y210" s="11"/>
    </row>
    <row r="211" customFormat="false" ht="15" hidden="false" customHeight="false" outlineLevel="0" collapsed="false">
      <c r="A211" s="11"/>
      <c r="B211" s="11"/>
      <c r="C211" s="11"/>
      <c r="D211" s="11"/>
      <c r="E211" s="12" t="str">
        <f aca="false">IF(D211="","",IF(OR(D211="MEI",D211="ME",D211="EPP",D211="Cooperativa",D211="PF autônoma"),"S","N"))</f>
        <v/>
      </c>
      <c r="F211" s="11"/>
      <c r="G211" s="11"/>
      <c r="H211" s="11"/>
      <c r="I211" s="11"/>
      <c r="J211" s="11"/>
      <c r="K211" s="11"/>
      <c r="L211" s="11"/>
      <c r="M211" s="13"/>
      <c r="N211" s="14" t="str">
        <f aca="false">IF(M211="","",EDATE(M211,Parâmetros!$B$12))</f>
        <v/>
      </c>
      <c r="O211" s="11"/>
      <c r="P211" s="13"/>
      <c r="Q211" s="13"/>
      <c r="R211" s="13"/>
      <c r="S211" s="13"/>
      <c r="T211" s="12" t="str">
        <f aca="true">IF(A211="","",IF(OR(AND(P211&lt;&gt;"",P211&lt;=TODAY()+Parâmetros!$B$13),AND(Q211&lt;&gt;"",Q211&lt;=TODAY()+Parâmetros!$B$13),AND(R211&lt;&gt;"",R211&lt;=TODAY()+Parâmetros!$B$13),AND(S211&lt;&gt;"",S211&lt;=TODAY()+Parâmetros!$B$13)),"RENOVAR","OK"))</f>
        <v/>
      </c>
      <c r="U211" s="12" t="str">
        <f aca="false">IF(A211="","",COUNTIF(Contratações!$I$5:$I$504,A211))</f>
        <v/>
      </c>
      <c r="V211" s="15" t="str">
        <f aca="false">IF(A211="","",SUMIF(Contratações!$I$5:$I$504,A211,Contratações!$N$5:$N$504))</f>
        <v/>
      </c>
      <c r="W211" s="16" t="str">
        <f aca="false">IF(A211="","",IFERROR(AVERAGEIFS(Contratações!$R$5:$R$504,Contratações!$I$5:$I$504,A211,Contratações!$R$5:$R$504,"&gt;0"),""))</f>
        <v/>
      </c>
      <c r="X211" s="14" t="str">
        <f aca="false">IF(A211="","",IF(U211=0,"nunca",_xlfn.MAXIFS(Contratações!$O$5:$O$504,Contratações!$I$5:$I$504,A211)))</f>
        <v/>
      </c>
      <c r="Y211" s="11"/>
    </row>
    <row r="212" customFormat="false" ht="15" hidden="false" customHeight="false" outlineLevel="0" collapsed="false">
      <c r="A212" s="11"/>
      <c r="B212" s="11"/>
      <c r="C212" s="11"/>
      <c r="D212" s="11"/>
      <c r="E212" s="12" t="str">
        <f aca="false">IF(D212="","",IF(OR(D212="MEI",D212="ME",D212="EPP",D212="Cooperativa",D212="PF autônoma"),"S","N"))</f>
        <v/>
      </c>
      <c r="F212" s="11"/>
      <c r="G212" s="11"/>
      <c r="H212" s="11"/>
      <c r="I212" s="11"/>
      <c r="J212" s="11"/>
      <c r="K212" s="11"/>
      <c r="L212" s="11"/>
      <c r="M212" s="13"/>
      <c r="N212" s="14" t="str">
        <f aca="false">IF(M212="","",EDATE(M212,Parâmetros!$B$12))</f>
        <v/>
      </c>
      <c r="O212" s="11"/>
      <c r="P212" s="13"/>
      <c r="Q212" s="13"/>
      <c r="R212" s="13"/>
      <c r="S212" s="13"/>
      <c r="T212" s="12" t="str">
        <f aca="true">IF(A212="","",IF(OR(AND(P212&lt;&gt;"",P212&lt;=TODAY()+Parâmetros!$B$13),AND(Q212&lt;&gt;"",Q212&lt;=TODAY()+Parâmetros!$B$13),AND(R212&lt;&gt;"",R212&lt;=TODAY()+Parâmetros!$B$13),AND(S212&lt;&gt;"",S212&lt;=TODAY()+Parâmetros!$B$13)),"RENOVAR","OK"))</f>
        <v/>
      </c>
      <c r="U212" s="12" t="str">
        <f aca="false">IF(A212="","",COUNTIF(Contratações!$I$5:$I$504,A212))</f>
        <v/>
      </c>
      <c r="V212" s="15" t="str">
        <f aca="false">IF(A212="","",SUMIF(Contratações!$I$5:$I$504,A212,Contratações!$N$5:$N$504))</f>
        <v/>
      </c>
      <c r="W212" s="16" t="str">
        <f aca="false">IF(A212="","",IFERROR(AVERAGEIFS(Contratações!$R$5:$R$504,Contratações!$I$5:$I$504,A212,Contratações!$R$5:$R$504,"&gt;0"),""))</f>
        <v/>
      </c>
      <c r="X212" s="14" t="str">
        <f aca="false">IF(A212="","",IF(U212=0,"nunca",_xlfn.MAXIFS(Contratações!$O$5:$O$504,Contratações!$I$5:$I$504,A212)))</f>
        <v/>
      </c>
      <c r="Y212" s="11"/>
    </row>
    <row r="213" customFormat="false" ht="15" hidden="false" customHeight="false" outlineLevel="0" collapsed="false">
      <c r="A213" s="11"/>
      <c r="B213" s="11"/>
      <c r="C213" s="11"/>
      <c r="D213" s="11"/>
      <c r="E213" s="12" t="str">
        <f aca="false">IF(D213="","",IF(OR(D213="MEI",D213="ME",D213="EPP",D213="Cooperativa",D213="PF autônoma"),"S","N"))</f>
        <v/>
      </c>
      <c r="F213" s="11"/>
      <c r="G213" s="11"/>
      <c r="H213" s="11"/>
      <c r="I213" s="11"/>
      <c r="J213" s="11"/>
      <c r="K213" s="11"/>
      <c r="L213" s="11"/>
      <c r="M213" s="13"/>
      <c r="N213" s="14" t="str">
        <f aca="false">IF(M213="","",EDATE(M213,Parâmetros!$B$12))</f>
        <v/>
      </c>
      <c r="O213" s="11"/>
      <c r="P213" s="13"/>
      <c r="Q213" s="13"/>
      <c r="R213" s="13"/>
      <c r="S213" s="13"/>
      <c r="T213" s="12" t="str">
        <f aca="true">IF(A213="","",IF(OR(AND(P213&lt;&gt;"",P213&lt;=TODAY()+Parâmetros!$B$13),AND(Q213&lt;&gt;"",Q213&lt;=TODAY()+Parâmetros!$B$13),AND(R213&lt;&gt;"",R213&lt;=TODAY()+Parâmetros!$B$13),AND(S213&lt;&gt;"",S213&lt;=TODAY()+Parâmetros!$B$13)),"RENOVAR","OK"))</f>
        <v/>
      </c>
      <c r="U213" s="12" t="str">
        <f aca="false">IF(A213="","",COUNTIF(Contratações!$I$5:$I$504,A213))</f>
        <v/>
      </c>
      <c r="V213" s="15" t="str">
        <f aca="false">IF(A213="","",SUMIF(Contratações!$I$5:$I$504,A213,Contratações!$N$5:$N$504))</f>
        <v/>
      </c>
      <c r="W213" s="16" t="str">
        <f aca="false">IF(A213="","",IFERROR(AVERAGEIFS(Contratações!$R$5:$R$504,Contratações!$I$5:$I$504,A213,Contratações!$R$5:$R$504,"&gt;0"),""))</f>
        <v/>
      </c>
      <c r="X213" s="14" t="str">
        <f aca="false">IF(A213="","",IF(U213=0,"nunca",_xlfn.MAXIFS(Contratações!$O$5:$O$504,Contratações!$I$5:$I$504,A213)))</f>
        <v/>
      </c>
      <c r="Y213" s="11"/>
    </row>
    <row r="214" customFormat="false" ht="15" hidden="false" customHeight="false" outlineLevel="0" collapsed="false">
      <c r="A214" s="11"/>
      <c r="B214" s="11"/>
      <c r="C214" s="11"/>
      <c r="D214" s="11"/>
      <c r="E214" s="12" t="str">
        <f aca="false">IF(D214="","",IF(OR(D214="MEI",D214="ME",D214="EPP",D214="Cooperativa",D214="PF autônoma"),"S","N"))</f>
        <v/>
      </c>
      <c r="F214" s="11"/>
      <c r="G214" s="11"/>
      <c r="H214" s="11"/>
      <c r="I214" s="11"/>
      <c r="J214" s="11"/>
      <c r="K214" s="11"/>
      <c r="L214" s="11"/>
      <c r="M214" s="13"/>
      <c r="N214" s="14" t="str">
        <f aca="false">IF(M214="","",EDATE(M214,Parâmetros!$B$12))</f>
        <v/>
      </c>
      <c r="O214" s="11"/>
      <c r="P214" s="13"/>
      <c r="Q214" s="13"/>
      <c r="R214" s="13"/>
      <c r="S214" s="13"/>
      <c r="T214" s="12" t="str">
        <f aca="true">IF(A214="","",IF(OR(AND(P214&lt;&gt;"",P214&lt;=TODAY()+Parâmetros!$B$13),AND(Q214&lt;&gt;"",Q214&lt;=TODAY()+Parâmetros!$B$13),AND(R214&lt;&gt;"",R214&lt;=TODAY()+Parâmetros!$B$13),AND(S214&lt;&gt;"",S214&lt;=TODAY()+Parâmetros!$B$13)),"RENOVAR","OK"))</f>
        <v/>
      </c>
      <c r="U214" s="12" t="str">
        <f aca="false">IF(A214="","",COUNTIF(Contratações!$I$5:$I$504,A214))</f>
        <v/>
      </c>
      <c r="V214" s="15" t="str">
        <f aca="false">IF(A214="","",SUMIF(Contratações!$I$5:$I$504,A214,Contratações!$N$5:$N$504))</f>
        <v/>
      </c>
      <c r="W214" s="16" t="str">
        <f aca="false">IF(A214="","",IFERROR(AVERAGEIFS(Contratações!$R$5:$R$504,Contratações!$I$5:$I$504,A214,Contratações!$R$5:$R$504,"&gt;0"),""))</f>
        <v/>
      </c>
      <c r="X214" s="14" t="str">
        <f aca="false">IF(A214="","",IF(U214=0,"nunca",_xlfn.MAXIFS(Contratações!$O$5:$O$504,Contratações!$I$5:$I$504,A214)))</f>
        <v/>
      </c>
      <c r="Y214" s="11"/>
    </row>
    <row r="215" customFormat="false" ht="15" hidden="false" customHeight="false" outlineLevel="0" collapsed="false">
      <c r="A215" s="11"/>
      <c r="B215" s="11"/>
      <c r="C215" s="11"/>
      <c r="D215" s="11"/>
      <c r="E215" s="12" t="str">
        <f aca="false">IF(D215="","",IF(OR(D215="MEI",D215="ME",D215="EPP",D215="Cooperativa",D215="PF autônoma"),"S","N"))</f>
        <v/>
      </c>
      <c r="F215" s="11"/>
      <c r="G215" s="11"/>
      <c r="H215" s="11"/>
      <c r="I215" s="11"/>
      <c r="J215" s="11"/>
      <c r="K215" s="11"/>
      <c r="L215" s="11"/>
      <c r="M215" s="13"/>
      <c r="N215" s="14" t="str">
        <f aca="false">IF(M215="","",EDATE(M215,Parâmetros!$B$12))</f>
        <v/>
      </c>
      <c r="O215" s="11"/>
      <c r="P215" s="13"/>
      <c r="Q215" s="13"/>
      <c r="R215" s="13"/>
      <c r="S215" s="13"/>
      <c r="T215" s="12" t="str">
        <f aca="true">IF(A215="","",IF(OR(AND(P215&lt;&gt;"",P215&lt;=TODAY()+Parâmetros!$B$13),AND(Q215&lt;&gt;"",Q215&lt;=TODAY()+Parâmetros!$B$13),AND(R215&lt;&gt;"",R215&lt;=TODAY()+Parâmetros!$B$13),AND(S215&lt;&gt;"",S215&lt;=TODAY()+Parâmetros!$B$13)),"RENOVAR","OK"))</f>
        <v/>
      </c>
      <c r="U215" s="12" t="str">
        <f aca="false">IF(A215="","",COUNTIF(Contratações!$I$5:$I$504,A215))</f>
        <v/>
      </c>
      <c r="V215" s="15" t="str">
        <f aca="false">IF(A215="","",SUMIF(Contratações!$I$5:$I$504,A215,Contratações!$N$5:$N$504))</f>
        <v/>
      </c>
      <c r="W215" s="16" t="str">
        <f aca="false">IF(A215="","",IFERROR(AVERAGEIFS(Contratações!$R$5:$R$504,Contratações!$I$5:$I$504,A215,Contratações!$R$5:$R$504,"&gt;0"),""))</f>
        <v/>
      </c>
      <c r="X215" s="14" t="str">
        <f aca="false">IF(A215="","",IF(U215=0,"nunca",_xlfn.MAXIFS(Contratações!$O$5:$O$504,Contratações!$I$5:$I$504,A215)))</f>
        <v/>
      </c>
      <c r="Y215" s="11"/>
    </row>
    <row r="216" customFormat="false" ht="15" hidden="false" customHeight="false" outlineLevel="0" collapsed="false">
      <c r="A216" s="11"/>
      <c r="B216" s="11"/>
      <c r="C216" s="11"/>
      <c r="D216" s="11"/>
      <c r="E216" s="12" t="str">
        <f aca="false">IF(D216="","",IF(OR(D216="MEI",D216="ME",D216="EPP",D216="Cooperativa",D216="PF autônoma"),"S","N"))</f>
        <v/>
      </c>
      <c r="F216" s="11"/>
      <c r="G216" s="11"/>
      <c r="H216" s="11"/>
      <c r="I216" s="11"/>
      <c r="J216" s="11"/>
      <c r="K216" s="11"/>
      <c r="L216" s="11"/>
      <c r="M216" s="13"/>
      <c r="N216" s="14" t="str">
        <f aca="false">IF(M216="","",EDATE(M216,Parâmetros!$B$12))</f>
        <v/>
      </c>
      <c r="O216" s="11"/>
      <c r="P216" s="13"/>
      <c r="Q216" s="13"/>
      <c r="R216" s="13"/>
      <c r="S216" s="13"/>
      <c r="T216" s="12" t="str">
        <f aca="true">IF(A216="","",IF(OR(AND(P216&lt;&gt;"",P216&lt;=TODAY()+Parâmetros!$B$13),AND(Q216&lt;&gt;"",Q216&lt;=TODAY()+Parâmetros!$B$13),AND(R216&lt;&gt;"",R216&lt;=TODAY()+Parâmetros!$B$13),AND(S216&lt;&gt;"",S216&lt;=TODAY()+Parâmetros!$B$13)),"RENOVAR","OK"))</f>
        <v/>
      </c>
      <c r="U216" s="12" t="str">
        <f aca="false">IF(A216="","",COUNTIF(Contratações!$I$5:$I$504,A216))</f>
        <v/>
      </c>
      <c r="V216" s="15" t="str">
        <f aca="false">IF(A216="","",SUMIF(Contratações!$I$5:$I$504,A216,Contratações!$N$5:$N$504))</f>
        <v/>
      </c>
      <c r="W216" s="16" t="str">
        <f aca="false">IF(A216="","",IFERROR(AVERAGEIFS(Contratações!$R$5:$R$504,Contratações!$I$5:$I$504,A216,Contratações!$R$5:$R$504,"&gt;0"),""))</f>
        <v/>
      </c>
      <c r="X216" s="14" t="str">
        <f aca="false">IF(A216="","",IF(U216=0,"nunca",_xlfn.MAXIFS(Contratações!$O$5:$O$504,Contratações!$I$5:$I$504,A216)))</f>
        <v/>
      </c>
      <c r="Y216" s="11"/>
    </row>
    <row r="217" customFormat="false" ht="15" hidden="false" customHeight="false" outlineLevel="0" collapsed="false">
      <c r="A217" s="11"/>
      <c r="B217" s="11"/>
      <c r="C217" s="11"/>
      <c r="D217" s="11"/>
      <c r="E217" s="12" t="str">
        <f aca="false">IF(D217="","",IF(OR(D217="MEI",D217="ME",D217="EPP",D217="Cooperativa",D217="PF autônoma"),"S","N"))</f>
        <v/>
      </c>
      <c r="F217" s="11"/>
      <c r="G217" s="11"/>
      <c r="H217" s="11"/>
      <c r="I217" s="11"/>
      <c r="J217" s="11"/>
      <c r="K217" s="11"/>
      <c r="L217" s="11"/>
      <c r="M217" s="13"/>
      <c r="N217" s="14" t="str">
        <f aca="false">IF(M217="","",EDATE(M217,Parâmetros!$B$12))</f>
        <v/>
      </c>
      <c r="O217" s="11"/>
      <c r="P217" s="13"/>
      <c r="Q217" s="13"/>
      <c r="R217" s="13"/>
      <c r="S217" s="13"/>
      <c r="T217" s="12" t="str">
        <f aca="true">IF(A217="","",IF(OR(AND(P217&lt;&gt;"",P217&lt;=TODAY()+Parâmetros!$B$13),AND(Q217&lt;&gt;"",Q217&lt;=TODAY()+Parâmetros!$B$13),AND(R217&lt;&gt;"",R217&lt;=TODAY()+Parâmetros!$B$13),AND(S217&lt;&gt;"",S217&lt;=TODAY()+Parâmetros!$B$13)),"RENOVAR","OK"))</f>
        <v/>
      </c>
      <c r="U217" s="12" t="str">
        <f aca="false">IF(A217="","",COUNTIF(Contratações!$I$5:$I$504,A217))</f>
        <v/>
      </c>
      <c r="V217" s="15" t="str">
        <f aca="false">IF(A217="","",SUMIF(Contratações!$I$5:$I$504,A217,Contratações!$N$5:$N$504))</f>
        <v/>
      </c>
      <c r="W217" s="16" t="str">
        <f aca="false">IF(A217="","",IFERROR(AVERAGEIFS(Contratações!$R$5:$R$504,Contratações!$I$5:$I$504,A217,Contratações!$R$5:$R$504,"&gt;0"),""))</f>
        <v/>
      </c>
      <c r="X217" s="14" t="str">
        <f aca="false">IF(A217="","",IF(U217=0,"nunca",_xlfn.MAXIFS(Contratações!$O$5:$O$504,Contratações!$I$5:$I$504,A217)))</f>
        <v/>
      </c>
      <c r="Y217" s="11"/>
    </row>
    <row r="218" customFormat="false" ht="15" hidden="false" customHeight="false" outlineLevel="0" collapsed="false">
      <c r="A218" s="11"/>
      <c r="B218" s="11"/>
      <c r="C218" s="11"/>
      <c r="D218" s="11"/>
      <c r="E218" s="12" t="str">
        <f aca="false">IF(D218="","",IF(OR(D218="MEI",D218="ME",D218="EPP",D218="Cooperativa",D218="PF autônoma"),"S","N"))</f>
        <v/>
      </c>
      <c r="F218" s="11"/>
      <c r="G218" s="11"/>
      <c r="H218" s="11"/>
      <c r="I218" s="11"/>
      <c r="J218" s="11"/>
      <c r="K218" s="11"/>
      <c r="L218" s="11"/>
      <c r="M218" s="13"/>
      <c r="N218" s="14" t="str">
        <f aca="false">IF(M218="","",EDATE(M218,Parâmetros!$B$12))</f>
        <v/>
      </c>
      <c r="O218" s="11"/>
      <c r="P218" s="13"/>
      <c r="Q218" s="13"/>
      <c r="R218" s="13"/>
      <c r="S218" s="13"/>
      <c r="T218" s="12" t="str">
        <f aca="true">IF(A218="","",IF(OR(AND(P218&lt;&gt;"",P218&lt;=TODAY()+Parâmetros!$B$13),AND(Q218&lt;&gt;"",Q218&lt;=TODAY()+Parâmetros!$B$13),AND(R218&lt;&gt;"",R218&lt;=TODAY()+Parâmetros!$B$13),AND(S218&lt;&gt;"",S218&lt;=TODAY()+Parâmetros!$B$13)),"RENOVAR","OK"))</f>
        <v/>
      </c>
      <c r="U218" s="12" t="str">
        <f aca="false">IF(A218="","",COUNTIF(Contratações!$I$5:$I$504,A218))</f>
        <v/>
      </c>
      <c r="V218" s="15" t="str">
        <f aca="false">IF(A218="","",SUMIF(Contratações!$I$5:$I$504,A218,Contratações!$N$5:$N$504))</f>
        <v/>
      </c>
      <c r="W218" s="16" t="str">
        <f aca="false">IF(A218="","",IFERROR(AVERAGEIFS(Contratações!$R$5:$R$504,Contratações!$I$5:$I$504,A218,Contratações!$R$5:$R$504,"&gt;0"),""))</f>
        <v/>
      </c>
      <c r="X218" s="14" t="str">
        <f aca="false">IF(A218="","",IF(U218=0,"nunca",_xlfn.MAXIFS(Contratações!$O$5:$O$504,Contratações!$I$5:$I$504,A218)))</f>
        <v/>
      </c>
      <c r="Y218" s="11"/>
    </row>
    <row r="219" customFormat="false" ht="15" hidden="false" customHeight="false" outlineLevel="0" collapsed="false">
      <c r="A219" s="11"/>
      <c r="B219" s="11"/>
      <c r="C219" s="11"/>
      <c r="D219" s="11"/>
      <c r="E219" s="12" t="str">
        <f aca="false">IF(D219="","",IF(OR(D219="MEI",D219="ME",D219="EPP",D219="Cooperativa",D219="PF autônoma"),"S","N"))</f>
        <v/>
      </c>
      <c r="F219" s="11"/>
      <c r="G219" s="11"/>
      <c r="H219" s="11"/>
      <c r="I219" s="11"/>
      <c r="J219" s="11"/>
      <c r="K219" s="11"/>
      <c r="L219" s="11"/>
      <c r="M219" s="13"/>
      <c r="N219" s="14" t="str">
        <f aca="false">IF(M219="","",EDATE(M219,Parâmetros!$B$12))</f>
        <v/>
      </c>
      <c r="O219" s="11"/>
      <c r="P219" s="13"/>
      <c r="Q219" s="13"/>
      <c r="R219" s="13"/>
      <c r="S219" s="13"/>
      <c r="T219" s="12" t="str">
        <f aca="true">IF(A219="","",IF(OR(AND(P219&lt;&gt;"",P219&lt;=TODAY()+Parâmetros!$B$13),AND(Q219&lt;&gt;"",Q219&lt;=TODAY()+Parâmetros!$B$13),AND(R219&lt;&gt;"",R219&lt;=TODAY()+Parâmetros!$B$13),AND(S219&lt;&gt;"",S219&lt;=TODAY()+Parâmetros!$B$13)),"RENOVAR","OK"))</f>
        <v/>
      </c>
      <c r="U219" s="12" t="str">
        <f aca="false">IF(A219="","",COUNTIF(Contratações!$I$5:$I$504,A219))</f>
        <v/>
      </c>
      <c r="V219" s="15" t="str">
        <f aca="false">IF(A219="","",SUMIF(Contratações!$I$5:$I$504,A219,Contratações!$N$5:$N$504))</f>
        <v/>
      </c>
      <c r="W219" s="16" t="str">
        <f aca="false">IF(A219="","",IFERROR(AVERAGEIFS(Contratações!$R$5:$R$504,Contratações!$I$5:$I$504,A219,Contratações!$R$5:$R$504,"&gt;0"),""))</f>
        <v/>
      </c>
      <c r="X219" s="14" t="str">
        <f aca="false">IF(A219="","",IF(U219=0,"nunca",_xlfn.MAXIFS(Contratações!$O$5:$O$504,Contratações!$I$5:$I$504,A219)))</f>
        <v/>
      </c>
      <c r="Y219" s="11"/>
    </row>
    <row r="220" customFormat="false" ht="15" hidden="false" customHeight="false" outlineLevel="0" collapsed="false">
      <c r="A220" s="11"/>
      <c r="B220" s="11"/>
      <c r="C220" s="11"/>
      <c r="D220" s="11"/>
      <c r="E220" s="12" t="str">
        <f aca="false">IF(D220="","",IF(OR(D220="MEI",D220="ME",D220="EPP",D220="Cooperativa",D220="PF autônoma"),"S","N"))</f>
        <v/>
      </c>
      <c r="F220" s="11"/>
      <c r="G220" s="11"/>
      <c r="H220" s="11"/>
      <c r="I220" s="11"/>
      <c r="J220" s="11"/>
      <c r="K220" s="11"/>
      <c r="L220" s="11"/>
      <c r="M220" s="13"/>
      <c r="N220" s="14" t="str">
        <f aca="false">IF(M220="","",EDATE(M220,Parâmetros!$B$12))</f>
        <v/>
      </c>
      <c r="O220" s="11"/>
      <c r="P220" s="13"/>
      <c r="Q220" s="13"/>
      <c r="R220" s="13"/>
      <c r="S220" s="13"/>
      <c r="T220" s="12" t="str">
        <f aca="true">IF(A220="","",IF(OR(AND(P220&lt;&gt;"",P220&lt;=TODAY()+Parâmetros!$B$13),AND(Q220&lt;&gt;"",Q220&lt;=TODAY()+Parâmetros!$B$13),AND(R220&lt;&gt;"",R220&lt;=TODAY()+Parâmetros!$B$13),AND(S220&lt;&gt;"",S220&lt;=TODAY()+Parâmetros!$B$13)),"RENOVAR","OK"))</f>
        <v/>
      </c>
      <c r="U220" s="12" t="str">
        <f aca="false">IF(A220="","",COUNTIF(Contratações!$I$5:$I$504,A220))</f>
        <v/>
      </c>
      <c r="V220" s="15" t="str">
        <f aca="false">IF(A220="","",SUMIF(Contratações!$I$5:$I$504,A220,Contratações!$N$5:$N$504))</f>
        <v/>
      </c>
      <c r="W220" s="16" t="str">
        <f aca="false">IF(A220="","",IFERROR(AVERAGEIFS(Contratações!$R$5:$R$504,Contratações!$I$5:$I$504,A220,Contratações!$R$5:$R$504,"&gt;0"),""))</f>
        <v/>
      </c>
      <c r="X220" s="14" t="str">
        <f aca="false">IF(A220="","",IF(U220=0,"nunca",_xlfn.MAXIFS(Contratações!$O$5:$O$504,Contratações!$I$5:$I$504,A220)))</f>
        <v/>
      </c>
      <c r="Y220" s="11"/>
    </row>
    <row r="221" customFormat="false" ht="15" hidden="false" customHeight="false" outlineLevel="0" collapsed="false">
      <c r="A221" s="11"/>
      <c r="B221" s="11"/>
      <c r="C221" s="11"/>
      <c r="D221" s="11"/>
      <c r="E221" s="12" t="str">
        <f aca="false">IF(D221="","",IF(OR(D221="MEI",D221="ME",D221="EPP",D221="Cooperativa",D221="PF autônoma"),"S","N"))</f>
        <v/>
      </c>
      <c r="F221" s="11"/>
      <c r="G221" s="11"/>
      <c r="H221" s="11"/>
      <c r="I221" s="11"/>
      <c r="J221" s="11"/>
      <c r="K221" s="11"/>
      <c r="L221" s="11"/>
      <c r="M221" s="13"/>
      <c r="N221" s="14" t="str">
        <f aca="false">IF(M221="","",EDATE(M221,Parâmetros!$B$12))</f>
        <v/>
      </c>
      <c r="O221" s="11"/>
      <c r="P221" s="13"/>
      <c r="Q221" s="13"/>
      <c r="R221" s="13"/>
      <c r="S221" s="13"/>
      <c r="T221" s="12" t="str">
        <f aca="true">IF(A221="","",IF(OR(AND(P221&lt;&gt;"",P221&lt;=TODAY()+Parâmetros!$B$13),AND(Q221&lt;&gt;"",Q221&lt;=TODAY()+Parâmetros!$B$13),AND(R221&lt;&gt;"",R221&lt;=TODAY()+Parâmetros!$B$13),AND(S221&lt;&gt;"",S221&lt;=TODAY()+Parâmetros!$B$13)),"RENOVAR","OK"))</f>
        <v/>
      </c>
      <c r="U221" s="12" t="str">
        <f aca="false">IF(A221="","",COUNTIF(Contratações!$I$5:$I$504,A221))</f>
        <v/>
      </c>
      <c r="V221" s="15" t="str">
        <f aca="false">IF(A221="","",SUMIF(Contratações!$I$5:$I$504,A221,Contratações!$N$5:$N$504))</f>
        <v/>
      </c>
      <c r="W221" s="16" t="str">
        <f aca="false">IF(A221="","",IFERROR(AVERAGEIFS(Contratações!$R$5:$R$504,Contratações!$I$5:$I$504,A221,Contratações!$R$5:$R$504,"&gt;0"),""))</f>
        <v/>
      </c>
      <c r="X221" s="14" t="str">
        <f aca="false">IF(A221="","",IF(U221=0,"nunca",_xlfn.MAXIFS(Contratações!$O$5:$O$504,Contratações!$I$5:$I$504,A221)))</f>
        <v/>
      </c>
      <c r="Y221" s="11"/>
    </row>
    <row r="222" customFormat="false" ht="15" hidden="false" customHeight="false" outlineLevel="0" collapsed="false">
      <c r="A222" s="11"/>
      <c r="B222" s="11"/>
      <c r="C222" s="11"/>
      <c r="D222" s="11"/>
      <c r="E222" s="12" t="str">
        <f aca="false">IF(D222="","",IF(OR(D222="MEI",D222="ME",D222="EPP",D222="Cooperativa",D222="PF autônoma"),"S","N"))</f>
        <v/>
      </c>
      <c r="F222" s="11"/>
      <c r="G222" s="11"/>
      <c r="H222" s="11"/>
      <c r="I222" s="11"/>
      <c r="J222" s="11"/>
      <c r="K222" s="11"/>
      <c r="L222" s="11"/>
      <c r="M222" s="13"/>
      <c r="N222" s="14" t="str">
        <f aca="false">IF(M222="","",EDATE(M222,Parâmetros!$B$12))</f>
        <v/>
      </c>
      <c r="O222" s="11"/>
      <c r="P222" s="13"/>
      <c r="Q222" s="13"/>
      <c r="R222" s="13"/>
      <c r="S222" s="13"/>
      <c r="T222" s="12" t="str">
        <f aca="true">IF(A222="","",IF(OR(AND(P222&lt;&gt;"",P222&lt;=TODAY()+Parâmetros!$B$13),AND(Q222&lt;&gt;"",Q222&lt;=TODAY()+Parâmetros!$B$13),AND(R222&lt;&gt;"",R222&lt;=TODAY()+Parâmetros!$B$13),AND(S222&lt;&gt;"",S222&lt;=TODAY()+Parâmetros!$B$13)),"RENOVAR","OK"))</f>
        <v/>
      </c>
      <c r="U222" s="12" t="str">
        <f aca="false">IF(A222="","",COUNTIF(Contratações!$I$5:$I$504,A222))</f>
        <v/>
      </c>
      <c r="V222" s="15" t="str">
        <f aca="false">IF(A222="","",SUMIF(Contratações!$I$5:$I$504,A222,Contratações!$N$5:$N$504))</f>
        <v/>
      </c>
      <c r="W222" s="16" t="str">
        <f aca="false">IF(A222="","",IFERROR(AVERAGEIFS(Contratações!$R$5:$R$504,Contratações!$I$5:$I$504,A222,Contratações!$R$5:$R$504,"&gt;0"),""))</f>
        <v/>
      </c>
      <c r="X222" s="14" t="str">
        <f aca="false">IF(A222="","",IF(U222=0,"nunca",_xlfn.MAXIFS(Contratações!$O$5:$O$504,Contratações!$I$5:$I$504,A222)))</f>
        <v/>
      </c>
      <c r="Y222" s="11"/>
    </row>
    <row r="223" customFormat="false" ht="15" hidden="false" customHeight="false" outlineLevel="0" collapsed="false">
      <c r="A223" s="11"/>
      <c r="B223" s="11"/>
      <c r="C223" s="11"/>
      <c r="D223" s="11"/>
      <c r="E223" s="12" t="str">
        <f aca="false">IF(D223="","",IF(OR(D223="MEI",D223="ME",D223="EPP",D223="Cooperativa",D223="PF autônoma"),"S","N"))</f>
        <v/>
      </c>
      <c r="F223" s="11"/>
      <c r="G223" s="11"/>
      <c r="H223" s="11"/>
      <c r="I223" s="11"/>
      <c r="J223" s="11"/>
      <c r="K223" s="11"/>
      <c r="L223" s="11"/>
      <c r="M223" s="13"/>
      <c r="N223" s="14" t="str">
        <f aca="false">IF(M223="","",EDATE(M223,Parâmetros!$B$12))</f>
        <v/>
      </c>
      <c r="O223" s="11"/>
      <c r="P223" s="13"/>
      <c r="Q223" s="13"/>
      <c r="R223" s="13"/>
      <c r="S223" s="13"/>
      <c r="T223" s="12" t="str">
        <f aca="true">IF(A223="","",IF(OR(AND(P223&lt;&gt;"",P223&lt;=TODAY()+Parâmetros!$B$13),AND(Q223&lt;&gt;"",Q223&lt;=TODAY()+Parâmetros!$B$13),AND(R223&lt;&gt;"",R223&lt;=TODAY()+Parâmetros!$B$13),AND(S223&lt;&gt;"",S223&lt;=TODAY()+Parâmetros!$B$13)),"RENOVAR","OK"))</f>
        <v/>
      </c>
      <c r="U223" s="12" t="str">
        <f aca="false">IF(A223="","",COUNTIF(Contratações!$I$5:$I$504,A223))</f>
        <v/>
      </c>
      <c r="V223" s="15" t="str">
        <f aca="false">IF(A223="","",SUMIF(Contratações!$I$5:$I$504,A223,Contratações!$N$5:$N$504))</f>
        <v/>
      </c>
      <c r="W223" s="16" t="str">
        <f aca="false">IF(A223="","",IFERROR(AVERAGEIFS(Contratações!$R$5:$R$504,Contratações!$I$5:$I$504,A223,Contratações!$R$5:$R$504,"&gt;0"),""))</f>
        <v/>
      </c>
      <c r="X223" s="14" t="str">
        <f aca="false">IF(A223="","",IF(U223=0,"nunca",_xlfn.MAXIFS(Contratações!$O$5:$O$504,Contratações!$I$5:$I$504,A223)))</f>
        <v/>
      </c>
      <c r="Y223" s="11"/>
    </row>
    <row r="224" customFormat="false" ht="15" hidden="false" customHeight="false" outlineLevel="0" collapsed="false">
      <c r="A224" s="11"/>
      <c r="B224" s="11"/>
      <c r="C224" s="11"/>
      <c r="D224" s="11"/>
      <c r="E224" s="12" t="str">
        <f aca="false">IF(D224="","",IF(OR(D224="MEI",D224="ME",D224="EPP",D224="Cooperativa",D224="PF autônoma"),"S","N"))</f>
        <v/>
      </c>
      <c r="F224" s="11"/>
      <c r="G224" s="11"/>
      <c r="H224" s="11"/>
      <c r="I224" s="11"/>
      <c r="J224" s="11"/>
      <c r="K224" s="11"/>
      <c r="L224" s="11"/>
      <c r="M224" s="13"/>
      <c r="N224" s="14" t="str">
        <f aca="false">IF(M224="","",EDATE(M224,Parâmetros!$B$12))</f>
        <v/>
      </c>
      <c r="O224" s="11"/>
      <c r="P224" s="13"/>
      <c r="Q224" s="13"/>
      <c r="R224" s="13"/>
      <c r="S224" s="13"/>
      <c r="T224" s="12" t="str">
        <f aca="true">IF(A224="","",IF(OR(AND(P224&lt;&gt;"",P224&lt;=TODAY()+Parâmetros!$B$13),AND(Q224&lt;&gt;"",Q224&lt;=TODAY()+Parâmetros!$B$13),AND(R224&lt;&gt;"",R224&lt;=TODAY()+Parâmetros!$B$13),AND(S224&lt;&gt;"",S224&lt;=TODAY()+Parâmetros!$B$13)),"RENOVAR","OK"))</f>
        <v/>
      </c>
      <c r="U224" s="12" t="str">
        <f aca="false">IF(A224="","",COUNTIF(Contratações!$I$5:$I$504,A224))</f>
        <v/>
      </c>
      <c r="V224" s="15" t="str">
        <f aca="false">IF(A224="","",SUMIF(Contratações!$I$5:$I$504,A224,Contratações!$N$5:$N$504))</f>
        <v/>
      </c>
      <c r="W224" s="16" t="str">
        <f aca="false">IF(A224="","",IFERROR(AVERAGEIFS(Contratações!$R$5:$R$504,Contratações!$I$5:$I$504,A224,Contratações!$R$5:$R$504,"&gt;0"),""))</f>
        <v/>
      </c>
      <c r="X224" s="14" t="str">
        <f aca="false">IF(A224="","",IF(U224=0,"nunca",_xlfn.MAXIFS(Contratações!$O$5:$O$504,Contratações!$I$5:$I$504,A224)))</f>
        <v/>
      </c>
      <c r="Y224" s="11"/>
    </row>
    <row r="225" customFormat="false" ht="15" hidden="false" customHeight="false" outlineLevel="0" collapsed="false">
      <c r="A225" s="11"/>
      <c r="B225" s="11"/>
      <c r="C225" s="11"/>
      <c r="D225" s="11"/>
      <c r="E225" s="12" t="str">
        <f aca="false">IF(D225="","",IF(OR(D225="MEI",D225="ME",D225="EPP",D225="Cooperativa",D225="PF autônoma"),"S","N"))</f>
        <v/>
      </c>
      <c r="F225" s="11"/>
      <c r="G225" s="11"/>
      <c r="H225" s="11"/>
      <c r="I225" s="11"/>
      <c r="J225" s="11"/>
      <c r="K225" s="11"/>
      <c r="L225" s="11"/>
      <c r="M225" s="13"/>
      <c r="N225" s="14" t="str">
        <f aca="false">IF(M225="","",EDATE(M225,Parâmetros!$B$12))</f>
        <v/>
      </c>
      <c r="O225" s="11"/>
      <c r="P225" s="13"/>
      <c r="Q225" s="13"/>
      <c r="R225" s="13"/>
      <c r="S225" s="13"/>
      <c r="T225" s="12" t="str">
        <f aca="true">IF(A225="","",IF(OR(AND(P225&lt;&gt;"",P225&lt;=TODAY()+Parâmetros!$B$13),AND(Q225&lt;&gt;"",Q225&lt;=TODAY()+Parâmetros!$B$13),AND(R225&lt;&gt;"",R225&lt;=TODAY()+Parâmetros!$B$13),AND(S225&lt;&gt;"",S225&lt;=TODAY()+Parâmetros!$B$13)),"RENOVAR","OK"))</f>
        <v/>
      </c>
      <c r="U225" s="12" t="str">
        <f aca="false">IF(A225="","",COUNTIF(Contratações!$I$5:$I$504,A225))</f>
        <v/>
      </c>
      <c r="V225" s="15" t="str">
        <f aca="false">IF(A225="","",SUMIF(Contratações!$I$5:$I$504,A225,Contratações!$N$5:$N$504))</f>
        <v/>
      </c>
      <c r="W225" s="16" t="str">
        <f aca="false">IF(A225="","",IFERROR(AVERAGEIFS(Contratações!$R$5:$R$504,Contratações!$I$5:$I$504,A225,Contratações!$R$5:$R$504,"&gt;0"),""))</f>
        <v/>
      </c>
      <c r="X225" s="14" t="str">
        <f aca="false">IF(A225="","",IF(U225=0,"nunca",_xlfn.MAXIFS(Contratações!$O$5:$O$504,Contratações!$I$5:$I$504,A225)))</f>
        <v/>
      </c>
      <c r="Y225" s="11"/>
    </row>
    <row r="226" customFormat="false" ht="15" hidden="false" customHeight="false" outlineLevel="0" collapsed="false">
      <c r="A226" s="11"/>
      <c r="B226" s="11"/>
      <c r="C226" s="11"/>
      <c r="D226" s="11"/>
      <c r="E226" s="12" t="str">
        <f aca="false">IF(D226="","",IF(OR(D226="MEI",D226="ME",D226="EPP",D226="Cooperativa",D226="PF autônoma"),"S","N"))</f>
        <v/>
      </c>
      <c r="F226" s="11"/>
      <c r="G226" s="11"/>
      <c r="H226" s="11"/>
      <c r="I226" s="11"/>
      <c r="J226" s="11"/>
      <c r="K226" s="11"/>
      <c r="L226" s="11"/>
      <c r="M226" s="13"/>
      <c r="N226" s="14" t="str">
        <f aca="false">IF(M226="","",EDATE(M226,Parâmetros!$B$12))</f>
        <v/>
      </c>
      <c r="O226" s="11"/>
      <c r="P226" s="13"/>
      <c r="Q226" s="13"/>
      <c r="R226" s="13"/>
      <c r="S226" s="13"/>
      <c r="T226" s="12" t="str">
        <f aca="true">IF(A226="","",IF(OR(AND(P226&lt;&gt;"",P226&lt;=TODAY()+Parâmetros!$B$13),AND(Q226&lt;&gt;"",Q226&lt;=TODAY()+Parâmetros!$B$13),AND(R226&lt;&gt;"",R226&lt;=TODAY()+Parâmetros!$B$13),AND(S226&lt;&gt;"",S226&lt;=TODAY()+Parâmetros!$B$13)),"RENOVAR","OK"))</f>
        <v/>
      </c>
      <c r="U226" s="12" t="str">
        <f aca="false">IF(A226="","",COUNTIF(Contratações!$I$5:$I$504,A226))</f>
        <v/>
      </c>
      <c r="V226" s="15" t="str">
        <f aca="false">IF(A226="","",SUMIF(Contratações!$I$5:$I$504,A226,Contratações!$N$5:$N$504))</f>
        <v/>
      </c>
      <c r="W226" s="16" t="str">
        <f aca="false">IF(A226="","",IFERROR(AVERAGEIFS(Contratações!$R$5:$R$504,Contratações!$I$5:$I$504,A226,Contratações!$R$5:$R$504,"&gt;0"),""))</f>
        <v/>
      </c>
      <c r="X226" s="14" t="str">
        <f aca="false">IF(A226="","",IF(U226=0,"nunca",_xlfn.MAXIFS(Contratações!$O$5:$O$504,Contratações!$I$5:$I$504,A226)))</f>
        <v/>
      </c>
      <c r="Y226" s="11"/>
    </row>
    <row r="227" customFormat="false" ht="15" hidden="false" customHeight="false" outlineLevel="0" collapsed="false">
      <c r="A227" s="11"/>
      <c r="B227" s="11"/>
      <c r="C227" s="11"/>
      <c r="D227" s="11"/>
      <c r="E227" s="12" t="str">
        <f aca="false">IF(D227="","",IF(OR(D227="MEI",D227="ME",D227="EPP",D227="Cooperativa",D227="PF autônoma"),"S","N"))</f>
        <v/>
      </c>
      <c r="F227" s="11"/>
      <c r="G227" s="11"/>
      <c r="H227" s="11"/>
      <c r="I227" s="11"/>
      <c r="J227" s="11"/>
      <c r="K227" s="11"/>
      <c r="L227" s="11"/>
      <c r="M227" s="13"/>
      <c r="N227" s="14" t="str">
        <f aca="false">IF(M227="","",EDATE(M227,Parâmetros!$B$12))</f>
        <v/>
      </c>
      <c r="O227" s="11"/>
      <c r="P227" s="13"/>
      <c r="Q227" s="13"/>
      <c r="R227" s="13"/>
      <c r="S227" s="13"/>
      <c r="T227" s="12" t="str">
        <f aca="true">IF(A227="","",IF(OR(AND(P227&lt;&gt;"",P227&lt;=TODAY()+Parâmetros!$B$13),AND(Q227&lt;&gt;"",Q227&lt;=TODAY()+Parâmetros!$B$13),AND(R227&lt;&gt;"",R227&lt;=TODAY()+Parâmetros!$B$13),AND(S227&lt;&gt;"",S227&lt;=TODAY()+Parâmetros!$B$13)),"RENOVAR","OK"))</f>
        <v/>
      </c>
      <c r="U227" s="12" t="str">
        <f aca="false">IF(A227="","",COUNTIF(Contratações!$I$5:$I$504,A227))</f>
        <v/>
      </c>
      <c r="V227" s="15" t="str">
        <f aca="false">IF(A227="","",SUMIF(Contratações!$I$5:$I$504,A227,Contratações!$N$5:$N$504))</f>
        <v/>
      </c>
      <c r="W227" s="16" t="str">
        <f aca="false">IF(A227="","",IFERROR(AVERAGEIFS(Contratações!$R$5:$R$504,Contratações!$I$5:$I$504,A227,Contratações!$R$5:$R$504,"&gt;0"),""))</f>
        <v/>
      </c>
      <c r="X227" s="14" t="str">
        <f aca="false">IF(A227="","",IF(U227=0,"nunca",_xlfn.MAXIFS(Contratações!$O$5:$O$504,Contratações!$I$5:$I$504,A227)))</f>
        <v/>
      </c>
      <c r="Y227" s="11"/>
    </row>
    <row r="228" customFormat="false" ht="15" hidden="false" customHeight="false" outlineLevel="0" collapsed="false">
      <c r="A228" s="11"/>
      <c r="B228" s="11"/>
      <c r="C228" s="11"/>
      <c r="D228" s="11"/>
      <c r="E228" s="12" t="str">
        <f aca="false">IF(D228="","",IF(OR(D228="MEI",D228="ME",D228="EPP",D228="Cooperativa",D228="PF autônoma"),"S","N"))</f>
        <v/>
      </c>
      <c r="F228" s="11"/>
      <c r="G228" s="11"/>
      <c r="H228" s="11"/>
      <c r="I228" s="11"/>
      <c r="J228" s="11"/>
      <c r="K228" s="11"/>
      <c r="L228" s="11"/>
      <c r="M228" s="13"/>
      <c r="N228" s="14" t="str">
        <f aca="false">IF(M228="","",EDATE(M228,Parâmetros!$B$12))</f>
        <v/>
      </c>
      <c r="O228" s="11"/>
      <c r="P228" s="13"/>
      <c r="Q228" s="13"/>
      <c r="R228" s="13"/>
      <c r="S228" s="13"/>
      <c r="T228" s="12" t="str">
        <f aca="true">IF(A228="","",IF(OR(AND(P228&lt;&gt;"",P228&lt;=TODAY()+Parâmetros!$B$13),AND(Q228&lt;&gt;"",Q228&lt;=TODAY()+Parâmetros!$B$13),AND(R228&lt;&gt;"",R228&lt;=TODAY()+Parâmetros!$B$13),AND(S228&lt;&gt;"",S228&lt;=TODAY()+Parâmetros!$B$13)),"RENOVAR","OK"))</f>
        <v/>
      </c>
      <c r="U228" s="12" t="str">
        <f aca="false">IF(A228="","",COUNTIF(Contratações!$I$5:$I$504,A228))</f>
        <v/>
      </c>
      <c r="V228" s="15" t="str">
        <f aca="false">IF(A228="","",SUMIF(Contratações!$I$5:$I$504,A228,Contratações!$N$5:$N$504))</f>
        <v/>
      </c>
      <c r="W228" s="16" t="str">
        <f aca="false">IF(A228="","",IFERROR(AVERAGEIFS(Contratações!$R$5:$R$504,Contratações!$I$5:$I$504,A228,Contratações!$R$5:$R$504,"&gt;0"),""))</f>
        <v/>
      </c>
      <c r="X228" s="14" t="str">
        <f aca="false">IF(A228="","",IF(U228=0,"nunca",_xlfn.MAXIFS(Contratações!$O$5:$O$504,Contratações!$I$5:$I$504,A228)))</f>
        <v/>
      </c>
      <c r="Y228" s="11"/>
    </row>
    <row r="229" customFormat="false" ht="15" hidden="false" customHeight="false" outlineLevel="0" collapsed="false">
      <c r="A229" s="11"/>
      <c r="B229" s="11"/>
      <c r="C229" s="11"/>
      <c r="D229" s="11"/>
      <c r="E229" s="12" t="str">
        <f aca="false">IF(D229="","",IF(OR(D229="MEI",D229="ME",D229="EPP",D229="Cooperativa",D229="PF autônoma"),"S","N"))</f>
        <v/>
      </c>
      <c r="F229" s="11"/>
      <c r="G229" s="11"/>
      <c r="H229" s="11"/>
      <c r="I229" s="11"/>
      <c r="J229" s="11"/>
      <c r="K229" s="11"/>
      <c r="L229" s="11"/>
      <c r="M229" s="13"/>
      <c r="N229" s="14" t="str">
        <f aca="false">IF(M229="","",EDATE(M229,Parâmetros!$B$12))</f>
        <v/>
      </c>
      <c r="O229" s="11"/>
      <c r="P229" s="13"/>
      <c r="Q229" s="13"/>
      <c r="R229" s="13"/>
      <c r="S229" s="13"/>
      <c r="T229" s="12" t="str">
        <f aca="true">IF(A229="","",IF(OR(AND(P229&lt;&gt;"",P229&lt;=TODAY()+Parâmetros!$B$13),AND(Q229&lt;&gt;"",Q229&lt;=TODAY()+Parâmetros!$B$13),AND(R229&lt;&gt;"",R229&lt;=TODAY()+Parâmetros!$B$13),AND(S229&lt;&gt;"",S229&lt;=TODAY()+Parâmetros!$B$13)),"RENOVAR","OK"))</f>
        <v/>
      </c>
      <c r="U229" s="12" t="str">
        <f aca="false">IF(A229="","",COUNTIF(Contratações!$I$5:$I$504,A229))</f>
        <v/>
      </c>
      <c r="V229" s="15" t="str">
        <f aca="false">IF(A229="","",SUMIF(Contratações!$I$5:$I$504,A229,Contratações!$N$5:$N$504))</f>
        <v/>
      </c>
      <c r="W229" s="16" t="str">
        <f aca="false">IF(A229="","",IFERROR(AVERAGEIFS(Contratações!$R$5:$R$504,Contratações!$I$5:$I$504,A229,Contratações!$R$5:$R$504,"&gt;0"),""))</f>
        <v/>
      </c>
      <c r="X229" s="14" t="str">
        <f aca="false">IF(A229="","",IF(U229=0,"nunca",_xlfn.MAXIFS(Contratações!$O$5:$O$504,Contratações!$I$5:$I$504,A229)))</f>
        <v/>
      </c>
      <c r="Y229" s="11"/>
    </row>
    <row r="230" customFormat="false" ht="15" hidden="false" customHeight="false" outlineLevel="0" collapsed="false">
      <c r="A230" s="11"/>
      <c r="B230" s="11"/>
      <c r="C230" s="11"/>
      <c r="D230" s="11"/>
      <c r="E230" s="12" t="str">
        <f aca="false">IF(D230="","",IF(OR(D230="MEI",D230="ME",D230="EPP",D230="Cooperativa",D230="PF autônoma"),"S","N"))</f>
        <v/>
      </c>
      <c r="F230" s="11"/>
      <c r="G230" s="11"/>
      <c r="H230" s="11"/>
      <c r="I230" s="11"/>
      <c r="J230" s="11"/>
      <c r="K230" s="11"/>
      <c r="L230" s="11"/>
      <c r="M230" s="13"/>
      <c r="N230" s="14" t="str">
        <f aca="false">IF(M230="","",EDATE(M230,Parâmetros!$B$12))</f>
        <v/>
      </c>
      <c r="O230" s="11"/>
      <c r="P230" s="13"/>
      <c r="Q230" s="13"/>
      <c r="R230" s="13"/>
      <c r="S230" s="13"/>
      <c r="T230" s="12" t="str">
        <f aca="true">IF(A230="","",IF(OR(AND(P230&lt;&gt;"",P230&lt;=TODAY()+Parâmetros!$B$13),AND(Q230&lt;&gt;"",Q230&lt;=TODAY()+Parâmetros!$B$13),AND(R230&lt;&gt;"",R230&lt;=TODAY()+Parâmetros!$B$13),AND(S230&lt;&gt;"",S230&lt;=TODAY()+Parâmetros!$B$13)),"RENOVAR","OK"))</f>
        <v/>
      </c>
      <c r="U230" s="12" t="str">
        <f aca="false">IF(A230="","",COUNTIF(Contratações!$I$5:$I$504,A230))</f>
        <v/>
      </c>
      <c r="V230" s="15" t="str">
        <f aca="false">IF(A230="","",SUMIF(Contratações!$I$5:$I$504,A230,Contratações!$N$5:$N$504))</f>
        <v/>
      </c>
      <c r="W230" s="16" t="str">
        <f aca="false">IF(A230="","",IFERROR(AVERAGEIFS(Contratações!$R$5:$R$504,Contratações!$I$5:$I$504,A230,Contratações!$R$5:$R$504,"&gt;0"),""))</f>
        <v/>
      </c>
      <c r="X230" s="14" t="str">
        <f aca="false">IF(A230="","",IF(U230=0,"nunca",_xlfn.MAXIFS(Contratações!$O$5:$O$504,Contratações!$I$5:$I$504,A230)))</f>
        <v/>
      </c>
      <c r="Y230" s="11"/>
    </row>
    <row r="231" customFormat="false" ht="15" hidden="false" customHeight="false" outlineLevel="0" collapsed="false">
      <c r="A231" s="11"/>
      <c r="B231" s="11"/>
      <c r="C231" s="11"/>
      <c r="D231" s="11"/>
      <c r="E231" s="12" t="str">
        <f aca="false">IF(D231="","",IF(OR(D231="MEI",D231="ME",D231="EPP",D231="Cooperativa",D231="PF autônoma"),"S","N"))</f>
        <v/>
      </c>
      <c r="F231" s="11"/>
      <c r="G231" s="11"/>
      <c r="H231" s="11"/>
      <c r="I231" s="11"/>
      <c r="J231" s="11"/>
      <c r="K231" s="11"/>
      <c r="L231" s="11"/>
      <c r="M231" s="13"/>
      <c r="N231" s="14" t="str">
        <f aca="false">IF(M231="","",EDATE(M231,Parâmetros!$B$12))</f>
        <v/>
      </c>
      <c r="O231" s="11"/>
      <c r="P231" s="13"/>
      <c r="Q231" s="13"/>
      <c r="R231" s="13"/>
      <c r="S231" s="13"/>
      <c r="T231" s="12" t="str">
        <f aca="true">IF(A231="","",IF(OR(AND(P231&lt;&gt;"",P231&lt;=TODAY()+Parâmetros!$B$13),AND(Q231&lt;&gt;"",Q231&lt;=TODAY()+Parâmetros!$B$13),AND(R231&lt;&gt;"",R231&lt;=TODAY()+Parâmetros!$B$13),AND(S231&lt;&gt;"",S231&lt;=TODAY()+Parâmetros!$B$13)),"RENOVAR","OK"))</f>
        <v/>
      </c>
      <c r="U231" s="12" t="str">
        <f aca="false">IF(A231="","",COUNTIF(Contratações!$I$5:$I$504,A231))</f>
        <v/>
      </c>
      <c r="V231" s="15" t="str">
        <f aca="false">IF(A231="","",SUMIF(Contratações!$I$5:$I$504,A231,Contratações!$N$5:$N$504))</f>
        <v/>
      </c>
      <c r="W231" s="16" t="str">
        <f aca="false">IF(A231="","",IFERROR(AVERAGEIFS(Contratações!$R$5:$R$504,Contratações!$I$5:$I$504,A231,Contratações!$R$5:$R$504,"&gt;0"),""))</f>
        <v/>
      </c>
      <c r="X231" s="14" t="str">
        <f aca="false">IF(A231="","",IF(U231=0,"nunca",_xlfn.MAXIFS(Contratações!$O$5:$O$504,Contratações!$I$5:$I$504,A231)))</f>
        <v/>
      </c>
      <c r="Y231" s="11"/>
    </row>
    <row r="232" customFormat="false" ht="15" hidden="false" customHeight="false" outlineLevel="0" collapsed="false">
      <c r="A232" s="11"/>
      <c r="B232" s="11"/>
      <c r="C232" s="11"/>
      <c r="D232" s="11"/>
      <c r="E232" s="12" t="str">
        <f aca="false">IF(D232="","",IF(OR(D232="MEI",D232="ME",D232="EPP",D232="Cooperativa",D232="PF autônoma"),"S","N"))</f>
        <v/>
      </c>
      <c r="F232" s="11"/>
      <c r="G232" s="11"/>
      <c r="H232" s="11"/>
      <c r="I232" s="11"/>
      <c r="J232" s="11"/>
      <c r="K232" s="11"/>
      <c r="L232" s="11"/>
      <c r="M232" s="13"/>
      <c r="N232" s="14" t="str">
        <f aca="false">IF(M232="","",EDATE(M232,Parâmetros!$B$12))</f>
        <v/>
      </c>
      <c r="O232" s="11"/>
      <c r="P232" s="13"/>
      <c r="Q232" s="13"/>
      <c r="R232" s="13"/>
      <c r="S232" s="13"/>
      <c r="T232" s="12" t="str">
        <f aca="true">IF(A232="","",IF(OR(AND(P232&lt;&gt;"",P232&lt;=TODAY()+Parâmetros!$B$13),AND(Q232&lt;&gt;"",Q232&lt;=TODAY()+Parâmetros!$B$13),AND(R232&lt;&gt;"",R232&lt;=TODAY()+Parâmetros!$B$13),AND(S232&lt;&gt;"",S232&lt;=TODAY()+Parâmetros!$B$13)),"RENOVAR","OK"))</f>
        <v/>
      </c>
      <c r="U232" s="12" t="str">
        <f aca="false">IF(A232="","",COUNTIF(Contratações!$I$5:$I$504,A232))</f>
        <v/>
      </c>
      <c r="V232" s="15" t="str">
        <f aca="false">IF(A232="","",SUMIF(Contratações!$I$5:$I$504,A232,Contratações!$N$5:$N$504))</f>
        <v/>
      </c>
      <c r="W232" s="16" t="str">
        <f aca="false">IF(A232="","",IFERROR(AVERAGEIFS(Contratações!$R$5:$R$504,Contratações!$I$5:$I$504,A232,Contratações!$R$5:$R$504,"&gt;0"),""))</f>
        <v/>
      </c>
      <c r="X232" s="14" t="str">
        <f aca="false">IF(A232="","",IF(U232=0,"nunca",_xlfn.MAXIFS(Contratações!$O$5:$O$504,Contratações!$I$5:$I$504,A232)))</f>
        <v/>
      </c>
      <c r="Y232" s="11"/>
    </row>
    <row r="233" customFormat="false" ht="15" hidden="false" customHeight="false" outlineLevel="0" collapsed="false">
      <c r="A233" s="11"/>
      <c r="B233" s="11"/>
      <c r="C233" s="11"/>
      <c r="D233" s="11"/>
      <c r="E233" s="12" t="str">
        <f aca="false">IF(D233="","",IF(OR(D233="MEI",D233="ME",D233="EPP",D233="Cooperativa",D233="PF autônoma"),"S","N"))</f>
        <v/>
      </c>
      <c r="F233" s="11"/>
      <c r="G233" s="11"/>
      <c r="H233" s="11"/>
      <c r="I233" s="11"/>
      <c r="J233" s="11"/>
      <c r="K233" s="11"/>
      <c r="L233" s="11"/>
      <c r="M233" s="13"/>
      <c r="N233" s="14" t="str">
        <f aca="false">IF(M233="","",EDATE(M233,Parâmetros!$B$12))</f>
        <v/>
      </c>
      <c r="O233" s="11"/>
      <c r="P233" s="13"/>
      <c r="Q233" s="13"/>
      <c r="R233" s="13"/>
      <c r="S233" s="13"/>
      <c r="T233" s="12" t="str">
        <f aca="true">IF(A233="","",IF(OR(AND(P233&lt;&gt;"",P233&lt;=TODAY()+Parâmetros!$B$13),AND(Q233&lt;&gt;"",Q233&lt;=TODAY()+Parâmetros!$B$13),AND(R233&lt;&gt;"",R233&lt;=TODAY()+Parâmetros!$B$13),AND(S233&lt;&gt;"",S233&lt;=TODAY()+Parâmetros!$B$13)),"RENOVAR","OK"))</f>
        <v/>
      </c>
      <c r="U233" s="12" t="str">
        <f aca="false">IF(A233="","",COUNTIF(Contratações!$I$5:$I$504,A233))</f>
        <v/>
      </c>
      <c r="V233" s="15" t="str">
        <f aca="false">IF(A233="","",SUMIF(Contratações!$I$5:$I$504,A233,Contratações!$N$5:$N$504))</f>
        <v/>
      </c>
      <c r="W233" s="16" t="str">
        <f aca="false">IF(A233="","",IFERROR(AVERAGEIFS(Contratações!$R$5:$R$504,Contratações!$I$5:$I$504,A233,Contratações!$R$5:$R$504,"&gt;0"),""))</f>
        <v/>
      </c>
      <c r="X233" s="14" t="str">
        <f aca="false">IF(A233="","",IF(U233=0,"nunca",_xlfn.MAXIFS(Contratações!$O$5:$O$504,Contratações!$I$5:$I$504,A233)))</f>
        <v/>
      </c>
      <c r="Y233" s="11"/>
    </row>
    <row r="234" customFormat="false" ht="15" hidden="false" customHeight="false" outlineLevel="0" collapsed="false">
      <c r="A234" s="11"/>
      <c r="B234" s="11"/>
      <c r="C234" s="11"/>
      <c r="D234" s="11"/>
      <c r="E234" s="12" t="str">
        <f aca="false">IF(D234="","",IF(OR(D234="MEI",D234="ME",D234="EPP",D234="Cooperativa",D234="PF autônoma"),"S","N"))</f>
        <v/>
      </c>
      <c r="F234" s="11"/>
      <c r="G234" s="11"/>
      <c r="H234" s="11"/>
      <c r="I234" s="11"/>
      <c r="J234" s="11"/>
      <c r="K234" s="11"/>
      <c r="L234" s="11"/>
      <c r="M234" s="13"/>
      <c r="N234" s="14" t="str">
        <f aca="false">IF(M234="","",EDATE(M234,Parâmetros!$B$12))</f>
        <v/>
      </c>
      <c r="O234" s="11"/>
      <c r="P234" s="13"/>
      <c r="Q234" s="13"/>
      <c r="R234" s="13"/>
      <c r="S234" s="13"/>
      <c r="T234" s="12" t="str">
        <f aca="true">IF(A234="","",IF(OR(AND(P234&lt;&gt;"",P234&lt;=TODAY()+Parâmetros!$B$13),AND(Q234&lt;&gt;"",Q234&lt;=TODAY()+Parâmetros!$B$13),AND(R234&lt;&gt;"",R234&lt;=TODAY()+Parâmetros!$B$13),AND(S234&lt;&gt;"",S234&lt;=TODAY()+Parâmetros!$B$13)),"RENOVAR","OK"))</f>
        <v/>
      </c>
      <c r="U234" s="12" t="str">
        <f aca="false">IF(A234="","",COUNTIF(Contratações!$I$5:$I$504,A234))</f>
        <v/>
      </c>
      <c r="V234" s="15" t="str">
        <f aca="false">IF(A234="","",SUMIF(Contratações!$I$5:$I$504,A234,Contratações!$N$5:$N$504))</f>
        <v/>
      </c>
      <c r="W234" s="16" t="str">
        <f aca="false">IF(A234="","",IFERROR(AVERAGEIFS(Contratações!$R$5:$R$504,Contratações!$I$5:$I$504,A234,Contratações!$R$5:$R$504,"&gt;0"),""))</f>
        <v/>
      </c>
      <c r="X234" s="14" t="str">
        <f aca="false">IF(A234="","",IF(U234=0,"nunca",_xlfn.MAXIFS(Contratações!$O$5:$O$504,Contratações!$I$5:$I$504,A234)))</f>
        <v/>
      </c>
      <c r="Y234" s="11"/>
    </row>
    <row r="235" customFormat="false" ht="15" hidden="false" customHeight="false" outlineLevel="0" collapsed="false">
      <c r="A235" s="11"/>
      <c r="B235" s="11"/>
      <c r="C235" s="11"/>
      <c r="D235" s="11"/>
      <c r="E235" s="12" t="str">
        <f aca="false">IF(D235="","",IF(OR(D235="MEI",D235="ME",D235="EPP",D235="Cooperativa",D235="PF autônoma"),"S","N"))</f>
        <v/>
      </c>
      <c r="F235" s="11"/>
      <c r="G235" s="11"/>
      <c r="H235" s="11"/>
      <c r="I235" s="11"/>
      <c r="J235" s="11"/>
      <c r="K235" s="11"/>
      <c r="L235" s="11"/>
      <c r="M235" s="13"/>
      <c r="N235" s="14" t="str">
        <f aca="false">IF(M235="","",EDATE(M235,Parâmetros!$B$12))</f>
        <v/>
      </c>
      <c r="O235" s="11"/>
      <c r="P235" s="13"/>
      <c r="Q235" s="13"/>
      <c r="R235" s="13"/>
      <c r="S235" s="13"/>
      <c r="T235" s="12" t="str">
        <f aca="true">IF(A235="","",IF(OR(AND(P235&lt;&gt;"",P235&lt;=TODAY()+Parâmetros!$B$13),AND(Q235&lt;&gt;"",Q235&lt;=TODAY()+Parâmetros!$B$13),AND(R235&lt;&gt;"",R235&lt;=TODAY()+Parâmetros!$B$13),AND(S235&lt;&gt;"",S235&lt;=TODAY()+Parâmetros!$B$13)),"RENOVAR","OK"))</f>
        <v/>
      </c>
      <c r="U235" s="12" t="str">
        <f aca="false">IF(A235="","",COUNTIF(Contratações!$I$5:$I$504,A235))</f>
        <v/>
      </c>
      <c r="V235" s="15" t="str">
        <f aca="false">IF(A235="","",SUMIF(Contratações!$I$5:$I$504,A235,Contratações!$N$5:$N$504))</f>
        <v/>
      </c>
      <c r="W235" s="16" t="str">
        <f aca="false">IF(A235="","",IFERROR(AVERAGEIFS(Contratações!$R$5:$R$504,Contratações!$I$5:$I$504,A235,Contratações!$R$5:$R$504,"&gt;0"),""))</f>
        <v/>
      </c>
      <c r="X235" s="14" t="str">
        <f aca="false">IF(A235="","",IF(U235=0,"nunca",_xlfn.MAXIFS(Contratações!$O$5:$O$504,Contratações!$I$5:$I$504,A235)))</f>
        <v/>
      </c>
      <c r="Y235" s="11"/>
    </row>
    <row r="236" customFormat="false" ht="15" hidden="false" customHeight="false" outlineLevel="0" collapsed="false">
      <c r="A236" s="11"/>
      <c r="B236" s="11"/>
      <c r="C236" s="11"/>
      <c r="D236" s="11"/>
      <c r="E236" s="12" t="str">
        <f aca="false">IF(D236="","",IF(OR(D236="MEI",D236="ME",D236="EPP",D236="Cooperativa",D236="PF autônoma"),"S","N"))</f>
        <v/>
      </c>
      <c r="F236" s="11"/>
      <c r="G236" s="11"/>
      <c r="H236" s="11"/>
      <c r="I236" s="11"/>
      <c r="J236" s="11"/>
      <c r="K236" s="11"/>
      <c r="L236" s="11"/>
      <c r="M236" s="13"/>
      <c r="N236" s="14" t="str">
        <f aca="false">IF(M236="","",EDATE(M236,Parâmetros!$B$12))</f>
        <v/>
      </c>
      <c r="O236" s="11"/>
      <c r="P236" s="13"/>
      <c r="Q236" s="13"/>
      <c r="R236" s="13"/>
      <c r="S236" s="13"/>
      <c r="T236" s="12" t="str">
        <f aca="true">IF(A236="","",IF(OR(AND(P236&lt;&gt;"",P236&lt;=TODAY()+Parâmetros!$B$13),AND(Q236&lt;&gt;"",Q236&lt;=TODAY()+Parâmetros!$B$13),AND(R236&lt;&gt;"",R236&lt;=TODAY()+Parâmetros!$B$13),AND(S236&lt;&gt;"",S236&lt;=TODAY()+Parâmetros!$B$13)),"RENOVAR","OK"))</f>
        <v/>
      </c>
      <c r="U236" s="12" t="str">
        <f aca="false">IF(A236="","",COUNTIF(Contratações!$I$5:$I$504,A236))</f>
        <v/>
      </c>
      <c r="V236" s="15" t="str">
        <f aca="false">IF(A236="","",SUMIF(Contratações!$I$5:$I$504,A236,Contratações!$N$5:$N$504))</f>
        <v/>
      </c>
      <c r="W236" s="16" t="str">
        <f aca="false">IF(A236="","",IFERROR(AVERAGEIFS(Contratações!$R$5:$R$504,Contratações!$I$5:$I$504,A236,Contratações!$R$5:$R$504,"&gt;0"),""))</f>
        <v/>
      </c>
      <c r="X236" s="14" t="str">
        <f aca="false">IF(A236="","",IF(U236=0,"nunca",_xlfn.MAXIFS(Contratações!$O$5:$O$504,Contratações!$I$5:$I$504,A236)))</f>
        <v/>
      </c>
      <c r="Y236" s="11"/>
    </row>
    <row r="237" customFormat="false" ht="15" hidden="false" customHeight="false" outlineLevel="0" collapsed="false">
      <c r="A237" s="11"/>
      <c r="B237" s="11"/>
      <c r="C237" s="11"/>
      <c r="D237" s="11"/>
      <c r="E237" s="12" t="str">
        <f aca="false">IF(D237="","",IF(OR(D237="MEI",D237="ME",D237="EPP",D237="Cooperativa",D237="PF autônoma"),"S","N"))</f>
        <v/>
      </c>
      <c r="F237" s="11"/>
      <c r="G237" s="11"/>
      <c r="H237" s="11"/>
      <c r="I237" s="11"/>
      <c r="J237" s="11"/>
      <c r="K237" s="11"/>
      <c r="L237" s="11"/>
      <c r="M237" s="13"/>
      <c r="N237" s="14" t="str">
        <f aca="false">IF(M237="","",EDATE(M237,Parâmetros!$B$12))</f>
        <v/>
      </c>
      <c r="O237" s="11"/>
      <c r="P237" s="13"/>
      <c r="Q237" s="13"/>
      <c r="R237" s="13"/>
      <c r="S237" s="13"/>
      <c r="T237" s="12" t="str">
        <f aca="true">IF(A237="","",IF(OR(AND(P237&lt;&gt;"",P237&lt;=TODAY()+Parâmetros!$B$13),AND(Q237&lt;&gt;"",Q237&lt;=TODAY()+Parâmetros!$B$13),AND(R237&lt;&gt;"",R237&lt;=TODAY()+Parâmetros!$B$13),AND(S237&lt;&gt;"",S237&lt;=TODAY()+Parâmetros!$B$13)),"RENOVAR","OK"))</f>
        <v/>
      </c>
      <c r="U237" s="12" t="str">
        <f aca="false">IF(A237="","",COUNTIF(Contratações!$I$5:$I$504,A237))</f>
        <v/>
      </c>
      <c r="V237" s="15" t="str">
        <f aca="false">IF(A237="","",SUMIF(Contratações!$I$5:$I$504,A237,Contratações!$N$5:$N$504))</f>
        <v/>
      </c>
      <c r="W237" s="16" t="str">
        <f aca="false">IF(A237="","",IFERROR(AVERAGEIFS(Contratações!$R$5:$R$504,Contratações!$I$5:$I$504,A237,Contratações!$R$5:$R$504,"&gt;0"),""))</f>
        <v/>
      </c>
      <c r="X237" s="14" t="str">
        <f aca="false">IF(A237="","",IF(U237=0,"nunca",_xlfn.MAXIFS(Contratações!$O$5:$O$504,Contratações!$I$5:$I$504,A237)))</f>
        <v/>
      </c>
      <c r="Y237" s="11"/>
    </row>
    <row r="238" customFormat="false" ht="15" hidden="false" customHeight="false" outlineLevel="0" collapsed="false">
      <c r="A238" s="11"/>
      <c r="B238" s="11"/>
      <c r="C238" s="11"/>
      <c r="D238" s="11"/>
      <c r="E238" s="12" t="str">
        <f aca="false">IF(D238="","",IF(OR(D238="MEI",D238="ME",D238="EPP",D238="Cooperativa",D238="PF autônoma"),"S","N"))</f>
        <v/>
      </c>
      <c r="F238" s="11"/>
      <c r="G238" s="11"/>
      <c r="H238" s="11"/>
      <c r="I238" s="11"/>
      <c r="J238" s="11"/>
      <c r="K238" s="11"/>
      <c r="L238" s="11"/>
      <c r="M238" s="13"/>
      <c r="N238" s="14" t="str">
        <f aca="false">IF(M238="","",EDATE(M238,Parâmetros!$B$12))</f>
        <v/>
      </c>
      <c r="O238" s="11"/>
      <c r="P238" s="13"/>
      <c r="Q238" s="13"/>
      <c r="R238" s="13"/>
      <c r="S238" s="13"/>
      <c r="T238" s="12" t="str">
        <f aca="true">IF(A238="","",IF(OR(AND(P238&lt;&gt;"",P238&lt;=TODAY()+Parâmetros!$B$13),AND(Q238&lt;&gt;"",Q238&lt;=TODAY()+Parâmetros!$B$13),AND(R238&lt;&gt;"",R238&lt;=TODAY()+Parâmetros!$B$13),AND(S238&lt;&gt;"",S238&lt;=TODAY()+Parâmetros!$B$13)),"RENOVAR","OK"))</f>
        <v/>
      </c>
      <c r="U238" s="12" t="str">
        <f aca="false">IF(A238="","",COUNTIF(Contratações!$I$5:$I$504,A238))</f>
        <v/>
      </c>
      <c r="V238" s="15" t="str">
        <f aca="false">IF(A238="","",SUMIF(Contratações!$I$5:$I$504,A238,Contratações!$N$5:$N$504))</f>
        <v/>
      </c>
      <c r="W238" s="16" t="str">
        <f aca="false">IF(A238="","",IFERROR(AVERAGEIFS(Contratações!$R$5:$R$504,Contratações!$I$5:$I$504,A238,Contratações!$R$5:$R$504,"&gt;0"),""))</f>
        <v/>
      </c>
      <c r="X238" s="14" t="str">
        <f aca="false">IF(A238="","",IF(U238=0,"nunca",_xlfn.MAXIFS(Contratações!$O$5:$O$504,Contratações!$I$5:$I$504,A238)))</f>
        <v/>
      </c>
      <c r="Y238" s="11"/>
    </row>
    <row r="239" customFormat="false" ht="15" hidden="false" customHeight="false" outlineLevel="0" collapsed="false">
      <c r="A239" s="11"/>
      <c r="B239" s="11"/>
      <c r="C239" s="11"/>
      <c r="D239" s="11"/>
      <c r="E239" s="12" t="str">
        <f aca="false">IF(D239="","",IF(OR(D239="MEI",D239="ME",D239="EPP",D239="Cooperativa",D239="PF autônoma"),"S","N"))</f>
        <v/>
      </c>
      <c r="F239" s="11"/>
      <c r="G239" s="11"/>
      <c r="H239" s="11"/>
      <c r="I239" s="11"/>
      <c r="J239" s="11"/>
      <c r="K239" s="11"/>
      <c r="L239" s="11"/>
      <c r="M239" s="13"/>
      <c r="N239" s="14" t="str">
        <f aca="false">IF(M239="","",EDATE(M239,Parâmetros!$B$12))</f>
        <v/>
      </c>
      <c r="O239" s="11"/>
      <c r="P239" s="13"/>
      <c r="Q239" s="13"/>
      <c r="R239" s="13"/>
      <c r="S239" s="13"/>
      <c r="T239" s="12" t="str">
        <f aca="true">IF(A239="","",IF(OR(AND(P239&lt;&gt;"",P239&lt;=TODAY()+Parâmetros!$B$13),AND(Q239&lt;&gt;"",Q239&lt;=TODAY()+Parâmetros!$B$13),AND(R239&lt;&gt;"",R239&lt;=TODAY()+Parâmetros!$B$13),AND(S239&lt;&gt;"",S239&lt;=TODAY()+Parâmetros!$B$13)),"RENOVAR","OK"))</f>
        <v/>
      </c>
      <c r="U239" s="12" t="str">
        <f aca="false">IF(A239="","",COUNTIF(Contratações!$I$5:$I$504,A239))</f>
        <v/>
      </c>
      <c r="V239" s="15" t="str">
        <f aca="false">IF(A239="","",SUMIF(Contratações!$I$5:$I$504,A239,Contratações!$N$5:$N$504))</f>
        <v/>
      </c>
      <c r="W239" s="16" t="str">
        <f aca="false">IF(A239="","",IFERROR(AVERAGEIFS(Contratações!$R$5:$R$504,Contratações!$I$5:$I$504,A239,Contratações!$R$5:$R$504,"&gt;0"),""))</f>
        <v/>
      </c>
      <c r="X239" s="14" t="str">
        <f aca="false">IF(A239="","",IF(U239=0,"nunca",_xlfn.MAXIFS(Contratações!$O$5:$O$504,Contratações!$I$5:$I$504,A239)))</f>
        <v/>
      </c>
      <c r="Y239" s="11"/>
    </row>
    <row r="240" customFormat="false" ht="15" hidden="false" customHeight="false" outlineLevel="0" collapsed="false">
      <c r="A240" s="11"/>
      <c r="B240" s="11"/>
      <c r="C240" s="11"/>
      <c r="D240" s="11"/>
      <c r="E240" s="12" t="str">
        <f aca="false">IF(D240="","",IF(OR(D240="MEI",D240="ME",D240="EPP",D240="Cooperativa",D240="PF autônoma"),"S","N"))</f>
        <v/>
      </c>
      <c r="F240" s="11"/>
      <c r="G240" s="11"/>
      <c r="H240" s="11"/>
      <c r="I240" s="11"/>
      <c r="J240" s="11"/>
      <c r="K240" s="11"/>
      <c r="L240" s="11"/>
      <c r="M240" s="13"/>
      <c r="N240" s="14" t="str">
        <f aca="false">IF(M240="","",EDATE(M240,Parâmetros!$B$12))</f>
        <v/>
      </c>
      <c r="O240" s="11"/>
      <c r="P240" s="13"/>
      <c r="Q240" s="13"/>
      <c r="R240" s="13"/>
      <c r="S240" s="13"/>
      <c r="T240" s="12" t="str">
        <f aca="true">IF(A240="","",IF(OR(AND(P240&lt;&gt;"",P240&lt;=TODAY()+Parâmetros!$B$13),AND(Q240&lt;&gt;"",Q240&lt;=TODAY()+Parâmetros!$B$13),AND(R240&lt;&gt;"",R240&lt;=TODAY()+Parâmetros!$B$13),AND(S240&lt;&gt;"",S240&lt;=TODAY()+Parâmetros!$B$13)),"RENOVAR","OK"))</f>
        <v/>
      </c>
      <c r="U240" s="12" t="str">
        <f aca="false">IF(A240="","",COUNTIF(Contratações!$I$5:$I$504,A240))</f>
        <v/>
      </c>
      <c r="V240" s="15" t="str">
        <f aca="false">IF(A240="","",SUMIF(Contratações!$I$5:$I$504,A240,Contratações!$N$5:$N$504))</f>
        <v/>
      </c>
      <c r="W240" s="16" t="str">
        <f aca="false">IF(A240="","",IFERROR(AVERAGEIFS(Contratações!$R$5:$R$504,Contratações!$I$5:$I$504,A240,Contratações!$R$5:$R$504,"&gt;0"),""))</f>
        <v/>
      </c>
      <c r="X240" s="14" t="str">
        <f aca="false">IF(A240="","",IF(U240=0,"nunca",_xlfn.MAXIFS(Contratações!$O$5:$O$504,Contratações!$I$5:$I$504,A240)))</f>
        <v/>
      </c>
      <c r="Y240" s="11"/>
    </row>
    <row r="241" customFormat="false" ht="15" hidden="false" customHeight="false" outlineLevel="0" collapsed="false">
      <c r="A241" s="11"/>
      <c r="B241" s="11"/>
      <c r="C241" s="11"/>
      <c r="D241" s="11"/>
      <c r="E241" s="12" t="str">
        <f aca="false">IF(D241="","",IF(OR(D241="MEI",D241="ME",D241="EPP",D241="Cooperativa",D241="PF autônoma"),"S","N"))</f>
        <v/>
      </c>
      <c r="F241" s="11"/>
      <c r="G241" s="11"/>
      <c r="H241" s="11"/>
      <c r="I241" s="11"/>
      <c r="J241" s="11"/>
      <c r="K241" s="11"/>
      <c r="L241" s="11"/>
      <c r="M241" s="13"/>
      <c r="N241" s="14" t="str">
        <f aca="false">IF(M241="","",EDATE(M241,Parâmetros!$B$12))</f>
        <v/>
      </c>
      <c r="O241" s="11"/>
      <c r="P241" s="13"/>
      <c r="Q241" s="13"/>
      <c r="R241" s="13"/>
      <c r="S241" s="13"/>
      <c r="T241" s="12" t="str">
        <f aca="true">IF(A241="","",IF(OR(AND(P241&lt;&gt;"",P241&lt;=TODAY()+Parâmetros!$B$13),AND(Q241&lt;&gt;"",Q241&lt;=TODAY()+Parâmetros!$B$13),AND(R241&lt;&gt;"",R241&lt;=TODAY()+Parâmetros!$B$13),AND(S241&lt;&gt;"",S241&lt;=TODAY()+Parâmetros!$B$13)),"RENOVAR","OK"))</f>
        <v/>
      </c>
      <c r="U241" s="12" t="str">
        <f aca="false">IF(A241="","",COUNTIF(Contratações!$I$5:$I$504,A241))</f>
        <v/>
      </c>
      <c r="V241" s="15" t="str">
        <f aca="false">IF(A241="","",SUMIF(Contratações!$I$5:$I$504,A241,Contratações!$N$5:$N$504))</f>
        <v/>
      </c>
      <c r="W241" s="16" t="str">
        <f aca="false">IF(A241="","",IFERROR(AVERAGEIFS(Contratações!$R$5:$R$504,Contratações!$I$5:$I$504,A241,Contratações!$R$5:$R$504,"&gt;0"),""))</f>
        <v/>
      </c>
      <c r="X241" s="14" t="str">
        <f aca="false">IF(A241="","",IF(U241=0,"nunca",_xlfn.MAXIFS(Contratações!$O$5:$O$504,Contratações!$I$5:$I$504,A241)))</f>
        <v/>
      </c>
      <c r="Y241" s="11"/>
    </row>
    <row r="242" customFormat="false" ht="15" hidden="false" customHeight="false" outlineLevel="0" collapsed="false">
      <c r="A242" s="11"/>
      <c r="B242" s="11"/>
      <c r="C242" s="11"/>
      <c r="D242" s="11"/>
      <c r="E242" s="12" t="str">
        <f aca="false">IF(D242="","",IF(OR(D242="MEI",D242="ME",D242="EPP",D242="Cooperativa",D242="PF autônoma"),"S","N"))</f>
        <v/>
      </c>
      <c r="F242" s="11"/>
      <c r="G242" s="11"/>
      <c r="H242" s="11"/>
      <c r="I242" s="11"/>
      <c r="J242" s="11"/>
      <c r="K242" s="11"/>
      <c r="L242" s="11"/>
      <c r="M242" s="13"/>
      <c r="N242" s="14" t="str">
        <f aca="false">IF(M242="","",EDATE(M242,Parâmetros!$B$12))</f>
        <v/>
      </c>
      <c r="O242" s="11"/>
      <c r="P242" s="13"/>
      <c r="Q242" s="13"/>
      <c r="R242" s="13"/>
      <c r="S242" s="13"/>
      <c r="T242" s="12" t="str">
        <f aca="true">IF(A242="","",IF(OR(AND(P242&lt;&gt;"",P242&lt;=TODAY()+Parâmetros!$B$13),AND(Q242&lt;&gt;"",Q242&lt;=TODAY()+Parâmetros!$B$13),AND(R242&lt;&gt;"",R242&lt;=TODAY()+Parâmetros!$B$13),AND(S242&lt;&gt;"",S242&lt;=TODAY()+Parâmetros!$B$13)),"RENOVAR","OK"))</f>
        <v/>
      </c>
      <c r="U242" s="12" t="str">
        <f aca="false">IF(A242="","",COUNTIF(Contratações!$I$5:$I$504,A242))</f>
        <v/>
      </c>
      <c r="V242" s="15" t="str">
        <f aca="false">IF(A242="","",SUMIF(Contratações!$I$5:$I$504,A242,Contratações!$N$5:$N$504))</f>
        <v/>
      </c>
      <c r="W242" s="16" t="str">
        <f aca="false">IF(A242="","",IFERROR(AVERAGEIFS(Contratações!$R$5:$R$504,Contratações!$I$5:$I$504,A242,Contratações!$R$5:$R$504,"&gt;0"),""))</f>
        <v/>
      </c>
      <c r="X242" s="14" t="str">
        <f aca="false">IF(A242="","",IF(U242=0,"nunca",_xlfn.MAXIFS(Contratações!$O$5:$O$504,Contratações!$I$5:$I$504,A242)))</f>
        <v/>
      </c>
      <c r="Y242" s="11"/>
    </row>
    <row r="243" customFormat="false" ht="15" hidden="false" customHeight="false" outlineLevel="0" collapsed="false">
      <c r="A243" s="11"/>
      <c r="B243" s="11"/>
      <c r="C243" s="11"/>
      <c r="D243" s="11"/>
      <c r="E243" s="12" t="str">
        <f aca="false">IF(D243="","",IF(OR(D243="MEI",D243="ME",D243="EPP",D243="Cooperativa",D243="PF autônoma"),"S","N"))</f>
        <v/>
      </c>
      <c r="F243" s="11"/>
      <c r="G243" s="11"/>
      <c r="H243" s="11"/>
      <c r="I243" s="11"/>
      <c r="J243" s="11"/>
      <c r="K243" s="11"/>
      <c r="L243" s="11"/>
      <c r="M243" s="13"/>
      <c r="N243" s="14" t="str">
        <f aca="false">IF(M243="","",EDATE(M243,Parâmetros!$B$12))</f>
        <v/>
      </c>
      <c r="O243" s="11"/>
      <c r="P243" s="13"/>
      <c r="Q243" s="13"/>
      <c r="R243" s="13"/>
      <c r="S243" s="13"/>
      <c r="T243" s="12" t="str">
        <f aca="true">IF(A243="","",IF(OR(AND(P243&lt;&gt;"",P243&lt;=TODAY()+Parâmetros!$B$13),AND(Q243&lt;&gt;"",Q243&lt;=TODAY()+Parâmetros!$B$13),AND(R243&lt;&gt;"",R243&lt;=TODAY()+Parâmetros!$B$13),AND(S243&lt;&gt;"",S243&lt;=TODAY()+Parâmetros!$B$13)),"RENOVAR","OK"))</f>
        <v/>
      </c>
      <c r="U243" s="12" t="str">
        <f aca="false">IF(A243="","",COUNTIF(Contratações!$I$5:$I$504,A243))</f>
        <v/>
      </c>
      <c r="V243" s="15" t="str">
        <f aca="false">IF(A243="","",SUMIF(Contratações!$I$5:$I$504,A243,Contratações!$N$5:$N$504))</f>
        <v/>
      </c>
      <c r="W243" s="16" t="str">
        <f aca="false">IF(A243="","",IFERROR(AVERAGEIFS(Contratações!$R$5:$R$504,Contratações!$I$5:$I$504,A243,Contratações!$R$5:$R$504,"&gt;0"),""))</f>
        <v/>
      </c>
      <c r="X243" s="14" t="str">
        <f aca="false">IF(A243="","",IF(U243=0,"nunca",_xlfn.MAXIFS(Contratações!$O$5:$O$504,Contratações!$I$5:$I$504,A243)))</f>
        <v/>
      </c>
      <c r="Y243" s="11"/>
    </row>
    <row r="244" customFormat="false" ht="15" hidden="false" customHeight="false" outlineLevel="0" collapsed="false">
      <c r="A244" s="11"/>
      <c r="B244" s="11"/>
      <c r="C244" s="11"/>
      <c r="D244" s="11"/>
      <c r="E244" s="12" t="str">
        <f aca="false">IF(D244="","",IF(OR(D244="MEI",D244="ME",D244="EPP",D244="Cooperativa",D244="PF autônoma"),"S","N"))</f>
        <v/>
      </c>
      <c r="F244" s="11"/>
      <c r="G244" s="11"/>
      <c r="H244" s="11"/>
      <c r="I244" s="11"/>
      <c r="J244" s="11"/>
      <c r="K244" s="11"/>
      <c r="L244" s="11"/>
      <c r="M244" s="13"/>
      <c r="N244" s="14" t="str">
        <f aca="false">IF(M244="","",EDATE(M244,Parâmetros!$B$12))</f>
        <v/>
      </c>
      <c r="O244" s="11"/>
      <c r="P244" s="13"/>
      <c r="Q244" s="13"/>
      <c r="R244" s="13"/>
      <c r="S244" s="13"/>
      <c r="T244" s="12" t="str">
        <f aca="true">IF(A244="","",IF(OR(AND(P244&lt;&gt;"",P244&lt;=TODAY()+Parâmetros!$B$13),AND(Q244&lt;&gt;"",Q244&lt;=TODAY()+Parâmetros!$B$13),AND(R244&lt;&gt;"",R244&lt;=TODAY()+Parâmetros!$B$13),AND(S244&lt;&gt;"",S244&lt;=TODAY()+Parâmetros!$B$13)),"RENOVAR","OK"))</f>
        <v/>
      </c>
      <c r="U244" s="12" t="str">
        <f aca="false">IF(A244="","",COUNTIF(Contratações!$I$5:$I$504,A244))</f>
        <v/>
      </c>
      <c r="V244" s="15" t="str">
        <f aca="false">IF(A244="","",SUMIF(Contratações!$I$5:$I$504,A244,Contratações!$N$5:$N$504))</f>
        <v/>
      </c>
      <c r="W244" s="16" t="str">
        <f aca="false">IF(A244="","",IFERROR(AVERAGEIFS(Contratações!$R$5:$R$504,Contratações!$I$5:$I$504,A244,Contratações!$R$5:$R$504,"&gt;0"),""))</f>
        <v/>
      </c>
      <c r="X244" s="14" t="str">
        <f aca="false">IF(A244="","",IF(U244=0,"nunca",_xlfn.MAXIFS(Contratações!$O$5:$O$504,Contratações!$I$5:$I$504,A244)))</f>
        <v/>
      </c>
      <c r="Y244" s="11"/>
    </row>
    <row r="245" customFormat="false" ht="15" hidden="false" customHeight="false" outlineLevel="0" collapsed="false">
      <c r="A245" s="11"/>
      <c r="B245" s="11"/>
      <c r="C245" s="11"/>
      <c r="D245" s="11"/>
      <c r="E245" s="12" t="str">
        <f aca="false">IF(D245="","",IF(OR(D245="MEI",D245="ME",D245="EPP",D245="Cooperativa",D245="PF autônoma"),"S","N"))</f>
        <v/>
      </c>
      <c r="F245" s="11"/>
      <c r="G245" s="11"/>
      <c r="H245" s="11"/>
      <c r="I245" s="11"/>
      <c r="J245" s="11"/>
      <c r="K245" s="11"/>
      <c r="L245" s="11"/>
      <c r="M245" s="13"/>
      <c r="N245" s="14" t="str">
        <f aca="false">IF(M245="","",EDATE(M245,Parâmetros!$B$12))</f>
        <v/>
      </c>
      <c r="O245" s="11"/>
      <c r="P245" s="13"/>
      <c r="Q245" s="13"/>
      <c r="R245" s="13"/>
      <c r="S245" s="13"/>
      <c r="T245" s="12" t="str">
        <f aca="true">IF(A245="","",IF(OR(AND(P245&lt;&gt;"",P245&lt;=TODAY()+Parâmetros!$B$13),AND(Q245&lt;&gt;"",Q245&lt;=TODAY()+Parâmetros!$B$13),AND(R245&lt;&gt;"",R245&lt;=TODAY()+Parâmetros!$B$13),AND(S245&lt;&gt;"",S245&lt;=TODAY()+Parâmetros!$B$13)),"RENOVAR","OK"))</f>
        <v/>
      </c>
      <c r="U245" s="12" t="str">
        <f aca="false">IF(A245="","",COUNTIF(Contratações!$I$5:$I$504,A245))</f>
        <v/>
      </c>
      <c r="V245" s="15" t="str">
        <f aca="false">IF(A245="","",SUMIF(Contratações!$I$5:$I$504,A245,Contratações!$N$5:$N$504))</f>
        <v/>
      </c>
      <c r="W245" s="16" t="str">
        <f aca="false">IF(A245="","",IFERROR(AVERAGEIFS(Contratações!$R$5:$R$504,Contratações!$I$5:$I$504,A245,Contratações!$R$5:$R$504,"&gt;0"),""))</f>
        <v/>
      </c>
      <c r="X245" s="14" t="str">
        <f aca="false">IF(A245="","",IF(U245=0,"nunca",_xlfn.MAXIFS(Contratações!$O$5:$O$504,Contratações!$I$5:$I$504,A245)))</f>
        <v/>
      </c>
      <c r="Y245" s="11"/>
    </row>
    <row r="246" customFormat="false" ht="15" hidden="false" customHeight="false" outlineLevel="0" collapsed="false">
      <c r="A246" s="11"/>
      <c r="B246" s="11"/>
      <c r="C246" s="11"/>
      <c r="D246" s="11"/>
      <c r="E246" s="12" t="str">
        <f aca="false">IF(D246="","",IF(OR(D246="MEI",D246="ME",D246="EPP",D246="Cooperativa",D246="PF autônoma"),"S","N"))</f>
        <v/>
      </c>
      <c r="F246" s="11"/>
      <c r="G246" s="11"/>
      <c r="H246" s="11"/>
      <c r="I246" s="11"/>
      <c r="J246" s="11"/>
      <c r="K246" s="11"/>
      <c r="L246" s="11"/>
      <c r="M246" s="13"/>
      <c r="N246" s="14" t="str">
        <f aca="false">IF(M246="","",EDATE(M246,Parâmetros!$B$12))</f>
        <v/>
      </c>
      <c r="O246" s="11"/>
      <c r="P246" s="13"/>
      <c r="Q246" s="13"/>
      <c r="R246" s="13"/>
      <c r="S246" s="13"/>
      <c r="T246" s="12" t="str">
        <f aca="true">IF(A246="","",IF(OR(AND(P246&lt;&gt;"",P246&lt;=TODAY()+Parâmetros!$B$13),AND(Q246&lt;&gt;"",Q246&lt;=TODAY()+Parâmetros!$B$13),AND(R246&lt;&gt;"",R246&lt;=TODAY()+Parâmetros!$B$13),AND(S246&lt;&gt;"",S246&lt;=TODAY()+Parâmetros!$B$13)),"RENOVAR","OK"))</f>
        <v/>
      </c>
      <c r="U246" s="12" t="str">
        <f aca="false">IF(A246="","",COUNTIF(Contratações!$I$5:$I$504,A246))</f>
        <v/>
      </c>
      <c r="V246" s="15" t="str">
        <f aca="false">IF(A246="","",SUMIF(Contratações!$I$5:$I$504,A246,Contratações!$N$5:$N$504))</f>
        <v/>
      </c>
      <c r="W246" s="16" t="str">
        <f aca="false">IF(A246="","",IFERROR(AVERAGEIFS(Contratações!$R$5:$R$504,Contratações!$I$5:$I$504,A246,Contratações!$R$5:$R$504,"&gt;0"),""))</f>
        <v/>
      </c>
      <c r="X246" s="14" t="str">
        <f aca="false">IF(A246="","",IF(U246=0,"nunca",_xlfn.MAXIFS(Contratações!$O$5:$O$504,Contratações!$I$5:$I$504,A246)))</f>
        <v/>
      </c>
      <c r="Y246" s="11"/>
    </row>
    <row r="247" customFormat="false" ht="15" hidden="false" customHeight="false" outlineLevel="0" collapsed="false">
      <c r="A247" s="11"/>
      <c r="B247" s="11"/>
      <c r="C247" s="11"/>
      <c r="D247" s="11"/>
      <c r="E247" s="12" t="str">
        <f aca="false">IF(D247="","",IF(OR(D247="MEI",D247="ME",D247="EPP",D247="Cooperativa",D247="PF autônoma"),"S","N"))</f>
        <v/>
      </c>
      <c r="F247" s="11"/>
      <c r="G247" s="11"/>
      <c r="H247" s="11"/>
      <c r="I247" s="11"/>
      <c r="J247" s="11"/>
      <c r="K247" s="11"/>
      <c r="L247" s="11"/>
      <c r="M247" s="13"/>
      <c r="N247" s="14" t="str">
        <f aca="false">IF(M247="","",EDATE(M247,Parâmetros!$B$12))</f>
        <v/>
      </c>
      <c r="O247" s="11"/>
      <c r="P247" s="13"/>
      <c r="Q247" s="13"/>
      <c r="R247" s="13"/>
      <c r="S247" s="13"/>
      <c r="T247" s="12" t="str">
        <f aca="true">IF(A247="","",IF(OR(AND(P247&lt;&gt;"",P247&lt;=TODAY()+Parâmetros!$B$13),AND(Q247&lt;&gt;"",Q247&lt;=TODAY()+Parâmetros!$B$13),AND(R247&lt;&gt;"",R247&lt;=TODAY()+Parâmetros!$B$13),AND(S247&lt;&gt;"",S247&lt;=TODAY()+Parâmetros!$B$13)),"RENOVAR","OK"))</f>
        <v/>
      </c>
      <c r="U247" s="12" t="str">
        <f aca="false">IF(A247="","",COUNTIF(Contratações!$I$5:$I$504,A247))</f>
        <v/>
      </c>
      <c r="V247" s="15" t="str">
        <f aca="false">IF(A247="","",SUMIF(Contratações!$I$5:$I$504,A247,Contratações!$N$5:$N$504))</f>
        <v/>
      </c>
      <c r="W247" s="16" t="str">
        <f aca="false">IF(A247="","",IFERROR(AVERAGEIFS(Contratações!$R$5:$R$504,Contratações!$I$5:$I$504,A247,Contratações!$R$5:$R$504,"&gt;0"),""))</f>
        <v/>
      </c>
      <c r="X247" s="14" t="str">
        <f aca="false">IF(A247="","",IF(U247=0,"nunca",_xlfn.MAXIFS(Contratações!$O$5:$O$504,Contratações!$I$5:$I$504,A247)))</f>
        <v/>
      </c>
      <c r="Y247" s="11"/>
    </row>
    <row r="248" customFormat="false" ht="15" hidden="false" customHeight="false" outlineLevel="0" collapsed="false">
      <c r="A248" s="11"/>
      <c r="B248" s="11"/>
      <c r="C248" s="11"/>
      <c r="D248" s="11"/>
      <c r="E248" s="12" t="str">
        <f aca="false">IF(D248="","",IF(OR(D248="MEI",D248="ME",D248="EPP",D248="Cooperativa",D248="PF autônoma"),"S","N"))</f>
        <v/>
      </c>
      <c r="F248" s="11"/>
      <c r="G248" s="11"/>
      <c r="H248" s="11"/>
      <c r="I248" s="11"/>
      <c r="J248" s="11"/>
      <c r="K248" s="11"/>
      <c r="L248" s="11"/>
      <c r="M248" s="13"/>
      <c r="N248" s="14" t="str">
        <f aca="false">IF(M248="","",EDATE(M248,Parâmetros!$B$12))</f>
        <v/>
      </c>
      <c r="O248" s="11"/>
      <c r="P248" s="13"/>
      <c r="Q248" s="13"/>
      <c r="R248" s="13"/>
      <c r="S248" s="13"/>
      <c r="T248" s="12" t="str">
        <f aca="true">IF(A248="","",IF(OR(AND(P248&lt;&gt;"",P248&lt;=TODAY()+Parâmetros!$B$13),AND(Q248&lt;&gt;"",Q248&lt;=TODAY()+Parâmetros!$B$13),AND(R248&lt;&gt;"",R248&lt;=TODAY()+Parâmetros!$B$13),AND(S248&lt;&gt;"",S248&lt;=TODAY()+Parâmetros!$B$13)),"RENOVAR","OK"))</f>
        <v/>
      </c>
      <c r="U248" s="12" t="str">
        <f aca="false">IF(A248="","",COUNTIF(Contratações!$I$5:$I$504,A248))</f>
        <v/>
      </c>
      <c r="V248" s="15" t="str">
        <f aca="false">IF(A248="","",SUMIF(Contratações!$I$5:$I$504,A248,Contratações!$N$5:$N$504))</f>
        <v/>
      </c>
      <c r="W248" s="16" t="str">
        <f aca="false">IF(A248="","",IFERROR(AVERAGEIFS(Contratações!$R$5:$R$504,Contratações!$I$5:$I$504,A248,Contratações!$R$5:$R$504,"&gt;0"),""))</f>
        <v/>
      </c>
      <c r="X248" s="14" t="str">
        <f aca="false">IF(A248="","",IF(U248=0,"nunca",_xlfn.MAXIFS(Contratações!$O$5:$O$504,Contratações!$I$5:$I$504,A248)))</f>
        <v/>
      </c>
      <c r="Y248" s="11"/>
    </row>
    <row r="249" customFormat="false" ht="15" hidden="false" customHeight="false" outlineLevel="0" collapsed="false">
      <c r="A249" s="11"/>
      <c r="B249" s="11"/>
      <c r="C249" s="11"/>
      <c r="D249" s="11"/>
      <c r="E249" s="12" t="str">
        <f aca="false">IF(D249="","",IF(OR(D249="MEI",D249="ME",D249="EPP",D249="Cooperativa",D249="PF autônoma"),"S","N"))</f>
        <v/>
      </c>
      <c r="F249" s="11"/>
      <c r="G249" s="11"/>
      <c r="H249" s="11"/>
      <c r="I249" s="11"/>
      <c r="J249" s="11"/>
      <c r="K249" s="11"/>
      <c r="L249" s="11"/>
      <c r="M249" s="13"/>
      <c r="N249" s="14" t="str">
        <f aca="false">IF(M249="","",EDATE(M249,Parâmetros!$B$12))</f>
        <v/>
      </c>
      <c r="O249" s="11"/>
      <c r="P249" s="13"/>
      <c r="Q249" s="13"/>
      <c r="R249" s="13"/>
      <c r="S249" s="13"/>
      <c r="T249" s="12" t="str">
        <f aca="true">IF(A249="","",IF(OR(AND(P249&lt;&gt;"",P249&lt;=TODAY()+Parâmetros!$B$13),AND(Q249&lt;&gt;"",Q249&lt;=TODAY()+Parâmetros!$B$13),AND(R249&lt;&gt;"",R249&lt;=TODAY()+Parâmetros!$B$13),AND(S249&lt;&gt;"",S249&lt;=TODAY()+Parâmetros!$B$13)),"RENOVAR","OK"))</f>
        <v/>
      </c>
      <c r="U249" s="12" t="str">
        <f aca="false">IF(A249="","",COUNTIF(Contratações!$I$5:$I$504,A249))</f>
        <v/>
      </c>
      <c r="V249" s="15" t="str">
        <f aca="false">IF(A249="","",SUMIF(Contratações!$I$5:$I$504,A249,Contratações!$N$5:$N$504))</f>
        <v/>
      </c>
      <c r="W249" s="16" t="str">
        <f aca="false">IF(A249="","",IFERROR(AVERAGEIFS(Contratações!$R$5:$R$504,Contratações!$I$5:$I$504,A249,Contratações!$R$5:$R$504,"&gt;0"),""))</f>
        <v/>
      </c>
      <c r="X249" s="14" t="str">
        <f aca="false">IF(A249="","",IF(U249=0,"nunca",_xlfn.MAXIFS(Contratações!$O$5:$O$504,Contratações!$I$5:$I$504,A249)))</f>
        <v/>
      </c>
      <c r="Y249" s="11"/>
    </row>
    <row r="250" customFormat="false" ht="15" hidden="false" customHeight="false" outlineLevel="0" collapsed="false">
      <c r="A250" s="11"/>
      <c r="B250" s="11"/>
      <c r="C250" s="11"/>
      <c r="D250" s="11"/>
      <c r="E250" s="12" t="str">
        <f aca="false">IF(D250="","",IF(OR(D250="MEI",D250="ME",D250="EPP",D250="Cooperativa",D250="PF autônoma"),"S","N"))</f>
        <v/>
      </c>
      <c r="F250" s="11"/>
      <c r="G250" s="11"/>
      <c r="H250" s="11"/>
      <c r="I250" s="11"/>
      <c r="J250" s="11"/>
      <c r="K250" s="11"/>
      <c r="L250" s="11"/>
      <c r="M250" s="13"/>
      <c r="N250" s="14" t="str">
        <f aca="false">IF(M250="","",EDATE(M250,Parâmetros!$B$12))</f>
        <v/>
      </c>
      <c r="O250" s="11"/>
      <c r="P250" s="13"/>
      <c r="Q250" s="13"/>
      <c r="R250" s="13"/>
      <c r="S250" s="13"/>
      <c r="T250" s="12" t="str">
        <f aca="true">IF(A250="","",IF(OR(AND(P250&lt;&gt;"",P250&lt;=TODAY()+Parâmetros!$B$13),AND(Q250&lt;&gt;"",Q250&lt;=TODAY()+Parâmetros!$B$13),AND(R250&lt;&gt;"",R250&lt;=TODAY()+Parâmetros!$B$13),AND(S250&lt;&gt;"",S250&lt;=TODAY()+Parâmetros!$B$13)),"RENOVAR","OK"))</f>
        <v/>
      </c>
      <c r="U250" s="12" t="str">
        <f aca="false">IF(A250="","",COUNTIF(Contratações!$I$5:$I$504,A250))</f>
        <v/>
      </c>
      <c r="V250" s="15" t="str">
        <f aca="false">IF(A250="","",SUMIF(Contratações!$I$5:$I$504,A250,Contratações!$N$5:$N$504))</f>
        <v/>
      </c>
      <c r="W250" s="16" t="str">
        <f aca="false">IF(A250="","",IFERROR(AVERAGEIFS(Contratações!$R$5:$R$504,Contratações!$I$5:$I$504,A250,Contratações!$R$5:$R$504,"&gt;0"),""))</f>
        <v/>
      </c>
      <c r="X250" s="14" t="str">
        <f aca="false">IF(A250="","",IF(U250=0,"nunca",_xlfn.MAXIFS(Contratações!$O$5:$O$504,Contratações!$I$5:$I$504,A250)))</f>
        <v/>
      </c>
      <c r="Y250" s="11"/>
    </row>
    <row r="251" customFormat="false" ht="15" hidden="false" customHeight="false" outlineLevel="0" collapsed="false">
      <c r="A251" s="11"/>
      <c r="B251" s="11"/>
      <c r="C251" s="11"/>
      <c r="D251" s="11"/>
      <c r="E251" s="12" t="str">
        <f aca="false">IF(D251="","",IF(OR(D251="MEI",D251="ME",D251="EPP",D251="Cooperativa",D251="PF autônoma"),"S","N"))</f>
        <v/>
      </c>
      <c r="F251" s="11"/>
      <c r="G251" s="11"/>
      <c r="H251" s="11"/>
      <c r="I251" s="11"/>
      <c r="J251" s="11"/>
      <c r="K251" s="11"/>
      <c r="L251" s="11"/>
      <c r="M251" s="13"/>
      <c r="N251" s="14" t="str">
        <f aca="false">IF(M251="","",EDATE(M251,Parâmetros!$B$12))</f>
        <v/>
      </c>
      <c r="O251" s="11"/>
      <c r="P251" s="13"/>
      <c r="Q251" s="13"/>
      <c r="R251" s="13"/>
      <c r="S251" s="13"/>
      <c r="T251" s="12" t="str">
        <f aca="true">IF(A251="","",IF(OR(AND(P251&lt;&gt;"",P251&lt;=TODAY()+Parâmetros!$B$13),AND(Q251&lt;&gt;"",Q251&lt;=TODAY()+Parâmetros!$B$13),AND(R251&lt;&gt;"",R251&lt;=TODAY()+Parâmetros!$B$13),AND(S251&lt;&gt;"",S251&lt;=TODAY()+Parâmetros!$B$13)),"RENOVAR","OK"))</f>
        <v/>
      </c>
      <c r="U251" s="12" t="str">
        <f aca="false">IF(A251="","",COUNTIF(Contratações!$I$5:$I$504,A251))</f>
        <v/>
      </c>
      <c r="V251" s="15" t="str">
        <f aca="false">IF(A251="","",SUMIF(Contratações!$I$5:$I$504,A251,Contratações!$N$5:$N$504))</f>
        <v/>
      </c>
      <c r="W251" s="16" t="str">
        <f aca="false">IF(A251="","",IFERROR(AVERAGEIFS(Contratações!$R$5:$R$504,Contratações!$I$5:$I$504,A251,Contratações!$R$5:$R$504,"&gt;0"),""))</f>
        <v/>
      </c>
      <c r="X251" s="14" t="str">
        <f aca="false">IF(A251="","",IF(U251=0,"nunca",_xlfn.MAXIFS(Contratações!$O$5:$O$504,Contratações!$I$5:$I$504,A251)))</f>
        <v/>
      </c>
      <c r="Y251" s="11"/>
    </row>
    <row r="252" customFormat="false" ht="15" hidden="false" customHeight="false" outlineLevel="0" collapsed="false">
      <c r="A252" s="11"/>
      <c r="B252" s="11"/>
      <c r="C252" s="11"/>
      <c r="D252" s="11"/>
      <c r="E252" s="12" t="str">
        <f aca="false">IF(D252="","",IF(OR(D252="MEI",D252="ME",D252="EPP",D252="Cooperativa",D252="PF autônoma"),"S","N"))</f>
        <v/>
      </c>
      <c r="F252" s="11"/>
      <c r="G252" s="11"/>
      <c r="H252" s="11"/>
      <c r="I252" s="11"/>
      <c r="J252" s="11"/>
      <c r="K252" s="11"/>
      <c r="L252" s="11"/>
      <c r="M252" s="13"/>
      <c r="N252" s="14" t="str">
        <f aca="false">IF(M252="","",EDATE(M252,Parâmetros!$B$12))</f>
        <v/>
      </c>
      <c r="O252" s="11"/>
      <c r="P252" s="13"/>
      <c r="Q252" s="13"/>
      <c r="R252" s="13"/>
      <c r="S252" s="13"/>
      <c r="T252" s="12" t="str">
        <f aca="true">IF(A252="","",IF(OR(AND(P252&lt;&gt;"",P252&lt;=TODAY()+Parâmetros!$B$13),AND(Q252&lt;&gt;"",Q252&lt;=TODAY()+Parâmetros!$B$13),AND(R252&lt;&gt;"",R252&lt;=TODAY()+Parâmetros!$B$13),AND(S252&lt;&gt;"",S252&lt;=TODAY()+Parâmetros!$B$13)),"RENOVAR","OK"))</f>
        <v/>
      </c>
      <c r="U252" s="12" t="str">
        <f aca="false">IF(A252="","",COUNTIF(Contratações!$I$5:$I$504,A252))</f>
        <v/>
      </c>
      <c r="V252" s="15" t="str">
        <f aca="false">IF(A252="","",SUMIF(Contratações!$I$5:$I$504,A252,Contratações!$N$5:$N$504))</f>
        <v/>
      </c>
      <c r="W252" s="16" t="str">
        <f aca="false">IF(A252="","",IFERROR(AVERAGEIFS(Contratações!$R$5:$R$504,Contratações!$I$5:$I$504,A252,Contratações!$R$5:$R$504,"&gt;0"),""))</f>
        <v/>
      </c>
      <c r="X252" s="14" t="str">
        <f aca="false">IF(A252="","",IF(U252=0,"nunca",_xlfn.MAXIFS(Contratações!$O$5:$O$504,Contratações!$I$5:$I$504,A252)))</f>
        <v/>
      </c>
      <c r="Y252" s="11"/>
    </row>
    <row r="253" customFormat="false" ht="15" hidden="false" customHeight="false" outlineLevel="0" collapsed="false">
      <c r="A253" s="11"/>
      <c r="B253" s="11"/>
      <c r="C253" s="11"/>
      <c r="D253" s="11"/>
      <c r="E253" s="12" t="str">
        <f aca="false">IF(D253="","",IF(OR(D253="MEI",D253="ME",D253="EPP",D253="Cooperativa",D253="PF autônoma"),"S","N"))</f>
        <v/>
      </c>
      <c r="F253" s="11"/>
      <c r="G253" s="11"/>
      <c r="H253" s="11"/>
      <c r="I253" s="11"/>
      <c r="J253" s="11"/>
      <c r="K253" s="11"/>
      <c r="L253" s="11"/>
      <c r="M253" s="13"/>
      <c r="N253" s="14" t="str">
        <f aca="false">IF(M253="","",EDATE(M253,Parâmetros!$B$12))</f>
        <v/>
      </c>
      <c r="O253" s="11"/>
      <c r="P253" s="13"/>
      <c r="Q253" s="13"/>
      <c r="R253" s="13"/>
      <c r="S253" s="13"/>
      <c r="T253" s="12" t="str">
        <f aca="true">IF(A253="","",IF(OR(AND(P253&lt;&gt;"",P253&lt;=TODAY()+Parâmetros!$B$13),AND(Q253&lt;&gt;"",Q253&lt;=TODAY()+Parâmetros!$B$13),AND(R253&lt;&gt;"",R253&lt;=TODAY()+Parâmetros!$B$13),AND(S253&lt;&gt;"",S253&lt;=TODAY()+Parâmetros!$B$13)),"RENOVAR","OK"))</f>
        <v/>
      </c>
      <c r="U253" s="12" t="str">
        <f aca="false">IF(A253="","",COUNTIF(Contratações!$I$5:$I$504,A253))</f>
        <v/>
      </c>
      <c r="V253" s="15" t="str">
        <f aca="false">IF(A253="","",SUMIF(Contratações!$I$5:$I$504,A253,Contratações!$N$5:$N$504))</f>
        <v/>
      </c>
      <c r="W253" s="16" t="str">
        <f aca="false">IF(A253="","",IFERROR(AVERAGEIFS(Contratações!$R$5:$R$504,Contratações!$I$5:$I$504,A253,Contratações!$R$5:$R$504,"&gt;0"),""))</f>
        <v/>
      </c>
      <c r="X253" s="14" t="str">
        <f aca="false">IF(A253="","",IF(U253=0,"nunca",_xlfn.MAXIFS(Contratações!$O$5:$O$504,Contratações!$I$5:$I$504,A253)))</f>
        <v/>
      </c>
      <c r="Y253" s="11"/>
    </row>
    <row r="254" customFormat="false" ht="15" hidden="false" customHeight="false" outlineLevel="0" collapsed="false">
      <c r="A254" s="11"/>
      <c r="B254" s="11"/>
      <c r="C254" s="11"/>
      <c r="D254" s="11"/>
      <c r="E254" s="12" t="str">
        <f aca="false">IF(D254="","",IF(OR(D254="MEI",D254="ME",D254="EPP",D254="Cooperativa",D254="PF autônoma"),"S","N"))</f>
        <v/>
      </c>
      <c r="F254" s="11"/>
      <c r="G254" s="11"/>
      <c r="H254" s="11"/>
      <c r="I254" s="11"/>
      <c r="J254" s="11"/>
      <c r="K254" s="11"/>
      <c r="L254" s="11"/>
      <c r="M254" s="13"/>
      <c r="N254" s="14" t="str">
        <f aca="false">IF(M254="","",EDATE(M254,Parâmetros!$B$12))</f>
        <v/>
      </c>
      <c r="O254" s="11"/>
      <c r="P254" s="13"/>
      <c r="Q254" s="13"/>
      <c r="R254" s="13"/>
      <c r="S254" s="13"/>
      <c r="T254" s="12" t="str">
        <f aca="true">IF(A254="","",IF(OR(AND(P254&lt;&gt;"",P254&lt;=TODAY()+Parâmetros!$B$13),AND(Q254&lt;&gt;"",Q254&lt;=TODAY()+Parâmetros!$B$13),AND(R254&lt;&gt;"",R254&lt;=TODAY()+Parâmetros!$B$13),AND(S254&lt;&gt;"",S254&lt;=TODAY()+Parâmetros!$B$13)),"RENOVAR","OK"))</f>
        <v/>
      </c>
      <c r="U254" s="12" t="str">
        <f aca="false">IF(A254="","",COUNTIF(Contratações!$I$5:$I$504,A254))</f>
        <v/>
      </c>
      <c r="V254" s="15" t="str">
        <f aca="false">IF(A254="","",SUMIF(Contratações!$I$5:$I$504,A254,Contratações!$N$5:$N$504))</f>
        <v/>
      </c>
      <c r="W254" s="16" t="str">
        <f aca="false">IF(A254="","",IFERROR(AVERAGEIFS(Contratações!$R$5:$R$504,Contratações!$I$5:$I$504,A254,Contratações!$R$5:$R$504,"&gt;0"),""))</f>
        <v/>
      </c>
      <c r="X254" s="14" t="str">
        <f aca="false">IF(A254="","",IF(U254=0,"nunca",_xlfn.MAXIFS(Contratações!$O$5:$O$504,Contratações!$I$5:$I$504,A254)))</f>
        <v/>
      </c>
      <c r="Y254" s="11"/>
    </row>
    <row r="255" customFormat="false" ht="15" hidden="false" customHeight="false" outlineLevel="0" collapsed="false">
      <c r="A255" s="11"/>
      <c r="B255" s="11"/>
      <c r="C255" s="11"/>
      <c r="D255" s="11"/>
      <c r="E255" s="12" t="str">
        <f aca="false">IF(D255="","",IF(OR(D255="MEI",D255="ME",D255="EPP",D255="Cooperativa",D255="PF autônoma"),"S","N"))</f>
        <v/>
      </c>
      <c r="F255" s="11"/>
      <c r="G255" s="11"/>
      <c r="H255" s="11"/>
      <c r="I255" s="11"/>
      <c r="J255" s="11"/>
      <c r="K255" s="11"/>
      <c r="L255" s="11"/>
      <c r="M255" s="13"/>
      <c r="N255" s="14" t="str">
        <f aca="false">IF(M255="","",EDATE(M255,Parâmetros!$B$12))</f>
        <v/>
      </c>
      <c r="O255" s="11"/>
      <c r="P255" s="13"/>
      <c r="Q255" s="13"/>
      <c r="R255" s="13"/>
      <c r="S255" s="13"/>
      <c r="T255" s="12" t="str">
        <f aca="true">IF(A255="","",IF(OR(AND(P255&lt;&gt;"",P255&lt;=TODAY()+Parâmetros!$B$13),AND(Q255&lt;&gt;"",Q255&lt;=TODAY()+Parâmetros!$B$13),AND(R255&lt;&gt;"",R255&lt;=TODAY()+Parâmetros!$B$13),AND(S255&lt;&gt;"",S255&lt;=TODAY()+Parâmetros!$B$13)),"RENOVAR","OK"))</f>
        <v/>
      </c>
      <c r="U255" s="12" t="str">
        <f aca="false">IF(A255="","",COUNTIF(Contratações!$I$5:$I$504,A255))</f>
        <v/>
      </c>
      <c r="V255" s="15" t="str">
        <f aca="false">IF(A255="","",SUMIF(Contratações!$I$5:$I$504,A255,Contratações!$N$5:$N$504))</f>
        <v/>
      </c>
      <c r="W255" s="16" t="str">
        <f aca="false">IF(A255="","",IFERROR(AVERAGEIFS(Contratações!$R$5:$R$504,Contratações!$I$5:$I$504,A255,Contratações!$R$5:$R$504,"&gt;0"),""))</f>
        <v/>
      </c>
      <c r="X255" s="14" t="str">
        <f aca="false">IF(A255="","",IF(U255=0,"nunca",_xlfn.MAXIFS(Contratações!$O$5:$O$504,Contratações!$I$5:$I$504,A255)))</f>
        <v/>
      </c>
      <c r="Y255" s="11"/>
    </row>
    <row r="256" customFormat="false" ht="15" hidden="false" customHeight="false" outlineLevel="0" collapsed="false">
      <c r="A256" s="11"/>
      <c r="B256" s="11"/>
      <c r="C256" s="11"/>
      <c r="D256" s="11"/>
      <c r="E256" s="12" t="str">
        <f aca="false">IF(D256="","",IF(OR(D256="MEI",D256="ME",D256="EPP",D256="Cooperativa",D256="PF autônoma"),"S","N"))</f>
        <v/>
      </c>
      <c r="F256" s="11"/>
      <c r="G256" s="11"/>
      <c r="H256" s="11"/>
      <c r="I256" s="11"/>
      <c r="J256" s="11"/>
      <c r="K256" s="11"/>
      <c r="L256" s="11"/>
      <c r="M256" s="13"/>
      <c r="N256" s="14" t="str">
        <f aca="false">IF(M256="","",EDATE(M256,Parâmetros!$B$12))</f>
        <v/>
      </c>
      <c r="O256" s="11"/>
      <c r="P256" s="13"/>
      <c r="Q256" s="13"/>
      <c r="R256" s="13"/>
      <c r="S256" s="13"/>
      <c r="T256" s="12" t="str">
        <f aca="true">IF(A256="","",IF(OR(AND(P256&lt;&gt;"",P256&lt;=TODAY()+Parâmetros!$B$13),AND(Q256&lt;&gt;"",Q256&lt;=TODAY()+Parâmetros!$B$13),AND(R256&lt;&gt;"",R256&lt;=TODAY()+Parâmetros!$B$13),AND(S256&lt;&gt;"",S256&lt;=TODAY()+Parâmetros!$B$13)),"RENOVAR","OK"))</f>
        <v/>
      </c>
      <c r="U256" s="12" t="str">
        <f aca="false">IF(A256="","",COUNTIF(Contratações!$I$5:$I$504,A256))</f>
        <v/>
      </c>
      <c r="V256" s="15" t="str">
        <f aca="false">IF(A256="","",SUMIF(Contratações!$I$5:$I$504,A256,Contratações!$N$5:$N$504))</f>
        <v/>
      </c>
      <c r="W256" s="16" t="str">
        <f aca="false">IF(A256="","",IFERROR(AVERAGEIFS(Contratações!$R$5:$R$504,Contratações!$I$5:$I$504,A256,Contratações!$R$5:$R$504,"&gt;0"),""))</f>
        <v/>
      </c>
      <c r="X256" s="14" t="str">
        <f aca="false">IF(A256="","",IF(U256=0,"nunca",_xlfn.MAXIFS(Contratações!$O$5:$O$504,Contratações!$I$5:$I$504,A256)))</f>
        <v/>
      </c>
      <c r="Y256" s="11"/>
    </row>
    <row r="257" customFormat="false" ht="15" hidden="false" customHeight="false" outlineLevel="0" collapsed="false">
      <c r="A257" s="11"/>
      <c r="B257" s="11"/>
      <c r="C257" s="11"/>
      <c r="D257" s="11"/>
      <c r="E257" s="12" t="str">
        <f aca="false">IF(D257="","",IF(OR(D257="MEI",D257="ME",D257="EPP",D257="Cooperativa",D257="PF autônoma"),"S","N"))</f>
        <v/>
      </c>
      <c r="F257" s="11"/>
      <c r="G257" s="11"/>
      <c r="H257" s="11"/>
      <c r="I257" s="11"/>
      <c r="J257" s="11"/>
      <c r="K257" s="11"/>
      <c r="L257" s="11"/>
      <c r="M257" s="13"/>
      <c r="N257" s="14" t="str">
        <f aca="false">IF(M257="","",EDATE(M257,Parâmetros!$B$12))</f>
        <v/>
      </c>
      <c r="O257" s="11"/>
      <c r="P257" s="13"/>
      <c r="Q257" s="13"/>
      <c r="R257" s="13"/>
      <c r="S257" s="13"/>
      <c r="T257" s="12" t="str">
        <f aca="true">IF(A257="","",IF(OR(AND(P257&lt;&gt;"",P257&lt;=TODAY()+Parâmetros!$B$13),AND(Q257&lt;&gt;"",Q257&lt;=TODAY()+Parâmetros!$B$13),AND(R257&lt;&gt;"",R257&lt;=TODAY()+Parâmetros!$B$13),AND(S257&lt;&gt;"",S257&lt;=TODAY()+Parâmetros!$B$13)),"RENOVAR","OK"))</f>
        <v/>
      </c>
      <c r="U257" s="12" t="str">
        <f aca="false">IF(A257="","",COUNTIF(Contratações!$I$5:$I$504,A257))</f>
        <v/>
      </c>
      <c r="V257" s="15" t="str">
        <f aca="false">IF(A257="","",SUMIF(Contratações!$I$5:$I$504,A257,Contratações!$N$5:$N$504))</f>
        <v/>
      </c>
      <c r="W257" s="16" t="str">
        <f aca="false">IF(A257="","",IFERROR(AVERAGEIFS(Contratações!$R$5:$R$504,Contratações!$I$5:$I$504,A257,Contratações!$R$5:$R$504,"&gt;0"),""))</f>
        <v/>
      </c>
      <c r="X257" s="14" t="str">
        <f aca="false">IF(A257="","",IF(U257=0,"nunca",_xlfn.MAXIFS(Contratações!$O$5:$O$504,Contratações!$I$5:$I$504,A257)))</f>
        <v/>
      </c>
      <c r="Y257" s="11"/>
    </row>
    <row r="258" customFormat="false" ht="15" hidden="false" customHeight="false" outlineLevel="0" collapsed="false">
      <c r="A258" s="11"/>
      <c r="B258" s="11"/>
      <c r="C258" s="11"/>
      <c r="D258" s="11"/>
      <c r="E258" s="12" t="str">
        <f aca="false">IF(D258="","",IF(OR(D258="MEI",D258="ME",D258="EPP",D258="Cooperativa",D258="PF autônoma"),"S","N"))</f>
        <v/>
      </c>
      <c r="F258" s="11"/>
      <c r="G258" s="11"/>
      <c r="H258" s="11"/>
      <c r="I258" s="11"/>
      <c r="J258" s="11"/>
      <c r="K258" s="11"/>
      <c r="L258" s="11"/>
      <c r="M258" s="13"/>
      <c r="N258" s="14" t="str">
        <f aca="false">IF(M258="","",EDATE(M258,Parâmetros!$B$12))</f>
        <v/>
      </c>
      <c r="O258" s="11"/>
      <c r="P258" s="13"/>
      <c r="Q258" s="13"/>
      <c r="R258" s="13"/>
      <c r="S258" s="13"/>
      <c r="T258" s="12" t="str">
        <f aca="true">IF(A258="","",IF(OR(AND(P258&lt;&gt;"",P258&lt;=TODAY()+Parâmetros!$B$13),AND(Q258&lt;&gt;"",Q258&lt;=TODAY()+Parâmetros!$B$13),AND(R258&lt;&gt;"",R258&lt;=TODAY()+Parâmetros!$B$13),AND(S258&lt;&gt;"",S258&lt;=TODAY()+Parâmetros!$B$13)),"RENOVAR","OK"))</f>
        <v/>
      </c>
      <c r="U258" s="12" t="str">
        <f aca="false">IF(A258="","",COUNTIF(Contratações!$I$5:$I$504,A258))</f>
        <v/>
      </c>
      <c r="V258" s="15" t="str">
        <f aca="false">IF(A258="","",SUMIF(Contratações!$I$5:$I$504,A258,Contratações!$N$5:$N$504))</f>
        <v/>
      </c>
      <c r="W258" s="16" t="str">
        <f aca="false">IF(A258="","",IFERROR(AVERAGEIFS(Contratações!$R$5:$R$504,Contratações!$I$5:$I$504,A258,Contratações!$R$5:$R$504,"&gt;0"),""))</f>
        <v/>
      </c>
      <c r="X258" s="14" t="str">
        <f aca="false">IF(A258="","",IF(U258=0,"nunca",_xlfn.MAXIFS(Contratações!$O$5:$O$504,Contratações!$I$5:$I$504,A258)))</f>
        <v/>
      </c>
      <c r="Y258" s="11"/>
    </row>
    <row r="259" customFormat="false" ht="15" hidden="false" customHeight="false" outlineLevel="0" collapsed="false">
      <c r="A259" s="11"/>
      <c r="B259" s="11"/>
      <c r="C259" s="11"/>
      <c r="D259" s="11"/>
      <c r="E259" s="12" t="str">
        <f aca="false">IF(D259="","",IF(OR(D259="MEI",D259="ME",D259="EPP",D259="Cooperativa",D259="PF autônoma"),"S","N"))</f>
        <v/>
      </c>
      <c r="F259" s="11"/>
      <c r="G259" s="11"/>
      <c r="H259" s="11"/>
      <c r="I259" s="11"/>
      <c r="J259" s="11"/>
      <c r="K259" s="11"/>
      <c r="L259" s="11"/>
      <c r="M259" s="13"/>
      <c r="N259" s="14" t="str">
        <f aca="false">IF(M259="","",EDATE(M259,Parâmetros!$B$12))</f>
        <v/>
      </c>
      <c r="O259" s="11"/>
      <c r="P259" s="13"/>
      <c r="Q259" s="13"/>
      <c r="R259" s="13"/>
      <c r="S259" s="13"/>
      <c r="T259" s="12" t="str">
        <f aca="true">IF(A259="","",IF(OR(AND(P259&lt;&gt;"",P259&lt;=TODAY()+Parâmetros!$B$13),AND(Q259&lt;&gt;"",Q259&lt;=TODAY()+Parâmetros!$B$13),AND(R259&lt;&gt;"",R259&lt;=TODAY()+Parâmetros!$B$13),AND(S259&lt;&gt;"",S259&lt;=TODAY()+Parâmetros!$B$13)),"RENOVAR","OK"))</f>
        <v/>
      </c>
      <c r="U259" s="12" t="str">
        <f aca="false">IF(A259="","",COUNTIF(Contratações!$I$5:$I$504,A259))</f>
        <v/>
      </c>
      <c r="V259" s="15" t="str">
        <f aca="false">IF(A259="","",SUMIF(Contratações!$I$5:$I$504,A259,Contratações!$N$5:$N$504))</f>
        <v/>
      </c>
      <c r="W259" s="16" t="str">
        <f aca="false">IF(A259="","",IFERROR(AVERAGEIFS(Contratações!$R$5:$R$504,Contratações!$I$5:$I$504,A259,Contratações!$R$5:$R$504,"&gt;0"),""))</f>
        <v/>
      </c>
      <c r="X259" s="14" t="str">
        <f aca="false">IF(A259="","",IF(U259=0,"nunca",_xlfn.MAXIFS(Contratações!$O$5:$O$504,Contratações!$I$5:$I$504,A259)))</f>
        <v/>
      </c>
      <c r="Y259" s="11"/>
    </row>
    <row r="260" customFormat="false" ht="15" hidden="false" customHeight="false" outlineLevel="0" collapsed="false">
      <c r="A260" s="11"/>
      <c r="B260" s="11"/>
      <c r="C260" s="11"/>
      <c r="D260" s="11"/>
      <c r="E260" s="12" t="str">
        <f aca="false">IF(D260="","",IF(OR(D260="MEI",D260="ME",D260="EPP",D260="Cooperativa",D260="PF autônoma"),"S","N"))</f>
        <v/>
      </c>
      <c r="F260" s="11"/>
      <c r="G260" s="11"/>
      <c r="H260" s="11"/>
      <c r="I260" s="11"/>
      <c r="J260" s="11"/>
      <c r="K260" s="11"/>
      <c r="L260" s="11"/>
      <c r="M260" s="13"/>
      <c r="N260" s="14" t="str">
        <f aca="false">IF(M260="","",EDATE(M260,Parâmetros!$B$12))</f>
        <v/>
      </c>
      <c r="O260" s="11"/>
      <c r="P260" s="13"/>
      <c r="Q260" s="13"/>
      <c r="R260" s="13"/>
      <c r="S260" s="13"/>
      <c r="T260" s="12" t="str">
        <f aca="true">IF(A260="","",IF(OR(AND(P260&lt;&gt;"",P260&lt;=TODAY()+Parâmetros!$B$13),AND(Q260&lt;&gt;"",Q260&lt;=TODAY()+Parâmetros!$B$13),AND(R260&lt;&gt;"",R260&lt;=TODAY()+Parâmetros!$B$13),AND(S260&lt;&gt;"",S260&lt;=TODAY()+Parâmetros!$B$13)),"RENOVAR","OK"))</f>
        <v/>
      </c>
      <c r="U260" s="12" t="str">
        <f aca="false">IF(A260="","",COUNTIF(Contratações!$I$5:$I$504,A260))</f>
        <v/>
      </c>
      <c r="V260" s="15" t="str">
        <f aca="false">IF(A260="","",SUMIF(Contratações!$I$5:$I$504,A260,Contratações!$N$5:$N$504))</f>
        <v/>
      </c>
      <c r="W260" s="16" t="str">
        <f aca="false">IF(A260="","",IFERROR(AVERAGEIFS(Contratações!$R$5:$R$504,Contratações!$I$5:$I$504,A260,Contratações!$R$5:$R$504,"&gt;0"),""))</f>
        <v/>
      </c>
      <c r="X260" s="14" t="str">
        <f aca="false">IF(A260="","",IF(U260=0,"nunca",_xlfn.MAXIFS(Contratações!$O$5:$O$504,Contratações!$I$5:$I$504,A260)))</f>
        <v/>
      </c>
      <c r="Y260" s="11"/>
    </row>
    <row r="261" customFormat="false" ht="15" hidden="false" customHeight="false" outlineLevel="0" collapsed="false">
      <c r="A261" s="11"/>
      <c r="B261" s="11"/>
      <c r="C261" s="11"/>
      <c r="D261" s="11"/>
      <c r="E261" s="12" t="str">
        <f aca="false">IF(D261="","",IF(OR(D261="MEI",D261="ME",D261="EPP",D261="Cooperativa",D261="PF autônoma"),"S","N"))</f>
        <v/>
      </c>
      <c r="F261" s="11"/>
      <c r="G261" s="11"/>
      <c r="H261" s="11"/>
      <c r="I261" s="11"/>
      <c r="J261" s="11"/>
      <c r="K261" s="11"/>
      <c r="L261" s="11"/>
      <c r="M261" s="13"/>
      <c r="N261" s="14" t="str">
        <f aca="false">IF(M261="","",EDATE(M261,Parâmetros!$B$12))</f>
        <v/>
      </c>
      <c r="O261" s="11"/>
      <c r="P261" s="13"/>
      <c r="Q261" s="13"/>
      <c r="R261" s="13"/>
      <c r="S261" s="13"/>
      <c r="T261" s="12" t="str">
        <f aca="true">IF(A261="","",IF(OR(AND(P261&lt;&gt;"",P261&lt;=TODAY()+Parâmetros!$B$13),AND(Q261&lt;&gt;"",Q261&lt;=TODAY()+Parâmetros!$B$13),AND(R261&lt;&gt;"",R261&lt;=TODAY()+Parâmetros!$B$13),AND(S261&lt;&gt;"",S261&lt;=TODAY()+Parâmetros!$B$13)),"RENOVAR","OK"))</f>
        <v/>
      </c>
      <c r="U261" s="12" t="str">
        <f aca="false">IF(A261="","",COUNTIF(Contratações!$I$5:$I$504,A261))</f>
        <v/>
      </c>
      <c r="V261" s="15" t="str">
        <f aca="false">IF(A261="","",SUMIF(Contratações!$I$5:$I$504,A261,Contratações!$N$5:$N$504))</f>
        <v/>
      </c>
      <c r="W261" s="16" t="str">
        <f aca="false">IF(A261="","",IFERROR(AVERAGEIFS(Contratações!$R$5:$R$504,Contratações!$I$5:$I$504,A261,Contratações!$R$5:$R$504,"&gt;0"),""))</f>
        <v/>
      </c>
      <c r="X261" s="14" t="str">
        <f aca="false">IF(A261="","",IF(U261=0,"nunca",_xlfn.MAXIFS(Contratações!$O$5:$O$504,Contratações!$I$5:$I$504,A261)))</f>
        <v/>
      </c>
      <c r="Y261" s="11"/>
    </row>
    <row r="262" customFormat="false" ht="15" hidden="false" customHeight="false" outlineLevel="0" collapsed="false">
      <c r="A262" s="11"/>
      <c r="B262" s="11"/>
      <c r="C262" s="11"/>
      <c r="D262" s="11"/>
      <c r="E262" s="12" t="str">
        <f aca="false">IF(D262="","",IF(OR(D262="MEI",D262="ME",D262="EPP",D262="Cooperativa",D262="PF autônoma"),"S","N"))</f>
        <v/>
      </c>
      <c r="F262" s="11"/>
      <c r="G262" s="11"/>
      <c r="H262" s="11"/>
      <c r="I262" s="11"/>
      <c r="J262" s="11"/>
      <c r="K262" s="11"/>
      <c r="L262" s="11"/>
      <c r="M262" s="13"/>
      <c r="N262" s="14" t="str">
        <f aca="false">IF(M262="","",EDATE(M262,Parâmetros!$B$12))</f>
        <v/>
      </c>
      <c r="O262" s="11"/>
      <c r="P262" s="13"/>
      <c r="Q262" s="13"/>
      <c r="R262" s="13"/>
      <c r="S262" s="13"/>
      <c r="T262" s="12" t="str">
        <f aca="true">IF(A262="","",IF(OR(AND(P262&lt;&gt;"",P262&lt;=TODAY()+Parâmetros!$B$13),AND(Q262&lt;&gt;"",Q262&lt;=TODAY()+Parâmetros!$B$13),AND(R262&lt;&gt;"",R262&lt;=TODAY()+Parâmetros!$B$13),AND(S262&lt;&gt;"",S262&lt;=TODAY()+Parâmetros!$B$13)),"RENOVAR","OK"))</f>
        <v/>
      </c>
      <c r="U262" s="12" t="str">
        <f aca="false">IF(A262="","",COUNTIF(Contratações!$I$5:$I$504,A262))</f>
        <v/>
      </c>
      <c r="V262" s="15" t="str">
        <f aca="false">IF(A262="","",SUMIF(Contratações!$I$5:$I$504,A262,Contratações!$N$5:$N$504))</f>
        <v/>
      </c>
      <c r="W262" s="16" t="str">
        <f aca="false">IF(A262="","",IFERROR(AVERAGEIFS(Contratações!$R$5:$R$504,Contratações!$I$5:$I$504,A262,Contratações!$R$5:$R$504,"&gt;0"),""))</f>
        <v/>
      </c>
      <c r="X262" s="14" t="str">
        <f aca="false">IF(A262="","",IF(U262=0,"nunca",_xlfn.MAXIFS(Contratações!$O$5:$O$504,Contratações!$I$5:$I$504,A262)))</f>
        <v/>
      </c>
      <c r="Y262" s="11"/>
    </row>
    <row r="263" customFormat="false" ht="15" hidden="false" customHeight="false" outlineLevel="0" collapsed="false">
      <c r="A263" s="11"/>
      <c r="B263" s="11"/>
      <c r="C263" s="11"/>
      <c r="D263" s="11"/>
      <c r="E263" s="12" t="str">
        <f aca="false">IF(D263="","",IF(OR(D263="MEI",D263="ME",D263="EPP",D263="Cooperativa",D263="PF autônoma"),"S","N"))</f>
        <v/>
      </c>
      <c r="F263" s="11"/>
      <c r="G263" s="11"/>
      <c r="H263" s="11"/>
      <c r="I263" s="11"/>
      <c r="J263" s="11"/>
      <c r="K263" s="11"/>
      <c r="L263" s="11"/>
      <c r="M263" s="13"/>
      <c r="N263" s="14" t="str">
        <f aca="false">IF(M263="","",EDATE(M263,Parâmetros!$B$12))</f>
        <v/>
      </c>
      <c r="O263" s="11"/>
      <c r="P263" s="13"/>
      <c r="Q263" s="13"/>
      <c r="R263" s="13"/>
      <c r="S263" s="13"/>
      <c r="T263" s="12" t="str">
        <f aca="true">IF(A263="","",IF(OR(AND(P263&lt;&gt;"",P263&lt;=TODAY()+Parâmetros!$B$13),AND(Q263&lt;&gt;"",Q263&lt;=TODAY()+Parâmetros!$B$13),AND(R263&lt;&gt;"",R263&lt;=TODAY()+Parâmetros!$B$13),AND(S263&lt;&gt;"",S263&lt;=TODAY()+Parâmetros!$B$13)),"RENOVAR","OK"))</f>
        <v/>
      </c>
      <c r="U263" s="12" t="str">
        <f aca="false">IF(A263="","",COUNTIF(Contratações!$I$5:$I$504,A263))</f>
        <v/>
      </c>
      <c r="V263" s="15" t="str">
        <f aca="false">IF(A263="","",SUMIF(Contratações!$I$5:$I$504,A263,Contratações!$N$5:$N$504))</f>
        <v/>
      </c>
      <c r="W263" s="16" t="str">
        <f aca="false">IF(A263="","",IFERROR(AVERAGEIFS(Contratações!$R$5:$R$504,Contratações!$I$5:$I$504,A263,Contratações!$R$5:$R$504,"&gt;0"),""))</f>
        <v/>
      </c>
      <c r="X263" s="14" t="str">
        <f aca="false">IF(A263="","",IF(U263=0,"nunca",_xlfn.MAXIFS(Contratações!$O$5:$O$504,Contratações!$I$5:$I$504,A263)))</f>
        <v/>
      </c>
      <c r="Y263" s="11"/>
    </row>
    <row r="264" customFormat="false" ht="15" hidden="false" customHeight="false" outlineLevel="0" collapsed="false">
      <c r="A264" s="11"/>
      <c r="B264" s="11"/>
      <c r="C264" s="11"/>
      <c r="D264" s="11"/>
      <c r="E264" s="12" t="str">
        <f aca="false">IF(D264="","",IF(OR(D264="MEI",D264="ME",D264="EPP",D264="Cooperativa",D264="PF autônoma"),"S","N"))</f>
        <v/>
      </c>
      <c r="F264" s="11"/>
      <c r="G264" s="11"/>
      <c r="H264" s="11"/>
      <c r="I264" s="11"/>
      <c r="J264" s="11"/>
      <c r="K264" s="11"/>
      <c r="L264" s="11"/>
      <c r="M264" s="13"/>
      <c r="N264" s="14" t="str">
        <f aca="false">IF(M264="","",EDATE(M264,Parâmetros!$B$12))</f>
        <v/>
      </c>
      <c r="O264" s="11"/>
      <c r="P264" s="13"/>
      <c r="Q264" s="13"/>
      <c r="R264" s="13"/>
      <c r="S264" s="13"/>
      <c r="T264" s="12" t="str">
        <f aca="true">IF(A264="","",IF(OR(AND(P264&lt;&gt;"",P264&lt;=TODAY()+Parâmetros!$B$13),AND(Q264&lt;&gt;"",Q264&lt;=TODAY()+Parâmetros!$B$13),AND(R264&lt;&gt;"",R264&lt;=TODAY()+Parâmetros!$B$13),AND(S264&lt;&gt;"",S264&lt;=TODAY()+Parâmetros!$B$13)),"RENOVAR","OK"))</f>
        <v/>
      </c>
      <c r="U264" s="12" t="str">
        <f aca="false">IF(A264="","",COUNTIF(Contratações!$I$5:$I$504,A264))</f>
        <v/>
      </c>
      <c r="V264" s="15" t="str">
        <f aca="false">IF(A264="","",SUMIF(Contratações!$I$5:$I$504,A264,Contratações!$N$5:$N$504))</f>
        <v/>
      </c>
      <c r="W264" s="16" t="str">
        <f aca="false">IF(A264="","",IFERROR(AVERAGEIFS(Contratações!$R$5:$R$504,Contratações!$I$5:$I$504,A264,Contratações!$R$5:$R$504,"&gt;0"),""))</f>
        <v/>
      </c>
      <c r="X264" s="14" t="str">
        <f aca="false">IF(A264="","",IF(U264=0,"nunca",_xlfn.MAXIFS(Contratações!$O$5:$O$504,Contratações!$I$5:$I$504,A264)))</f>
        <v/>
      </c>
      <c r="Y264" s="11"/>
    </row>
    <row r="265" customFormat="false" ht="15" hidden="false" customHeight="false" outlineLevel="0" collapsed="false">
      <c r="A265" s="11"/>
      <c r="B265" s="11"/>
      <c r="C265" s="11"/>
      <c r="D265" s="11"/>
      <c r="E265" s="12" t="str">
        <f aca="false">IF(D265="","",IF(OR(D265="MEI",D265="ME",D265="EPP",D265="Cooperativa",D265="PF autônoma"),"S","N"))</f>
        <v/>
      </c>
      <c r="F265" s="11"/>
      <c r="G265" s="11"/>
      <c r="H265" s="11"/>
      <c r="I265" s="11"/>
      <c r="J265" s="11"/>
      <c r="K265" s="11"/>
      <c r="L265" s="11"/>
      <c r="M265" s="13"/>
      <c r="N265" s="14" t="str">
        <f aca="false">IF(M265="","",EDATE(M265,Parâmetros!$B$12))</f>
        <v/>
      </c>
      <c r="O265" s="11"/>
      <c r="P265" s="13"/>
      <c r="Q265" s="13"/>
      <c r="R265" s="13"/>
      <c r="S265" s="13"/>
      <c r="T265" s="12" t="str">
        <f aca="true">IF(A265="","",IF(OR(AND(P265&lt;&gt;"",P265&lt;=TODAY()+Parâmetros!$B$13),AND(Q265&lt;&gt;"",Q265&lt;=TODAY()+Parâmetros!$B$13),AND(R265&lt;&gt;"",R265&lt;=TODAY()+Parâmetros!$B$13),AND(S265&lt;&gt;"",S265&lt;=TODAY()+Parâmetros!$B$13)),"RENOVAR","OK"))</f>
        <v/>
      </c>
      <c r="U265" s="12" t="str">
        <f aca="false">IF(A265="","",COUNTIF(Contratações!$I$5:$I$504,A265))</f>
        <v/>
      </c>
      <c r="V265" s="15" t="str">
        <f aca="false">IF(A265="","",SUMIF(Contratações!$I$5:$I$504,A265,Contratações!$N$5:$N$504))</f>
        <v/>
      </c>
      <c r="W265" s="16" t="str">
        <f aca="false">IF(A265="","",IFERROR(AVERAGEIFS(Contratações!$R$5:$R$504,Contratações!$I$5:$I$504,A265,Contratações!$R$5:$R$504,"&gt;0"),""))</f>
        <v/>
      </c>
      <c r="X265" s="14" t="str">
        <f aca="false">IF(A265="","",IF(U265=0,"nunca",_xlfn.MAXIFS(Contratações!$O$5:$O$504,Contratações!$I$5:$I$504,A265)))</f>
        <v/>
      </c>
      <c r="Y265" s="11"/>
    </row>
    <row r="266" customFormat="false" ht="15" hidden="false" customHeight="false" outlineLevel="0" collapsed="false">
      <c r="A266" s="11"/>
      <c r="B266" s="11"/>
      <c r="C266" s="11"/>
      <c r="D266" s="11"/>
      <c r="E266" s="12" t="str">
        <f aca="false">IF(D266="","",IF(OR(D266="MEI",D266="ME",D266="EPP",D266="Cooperativa",D266="PF autônoma"),"S","N"))</f>
        <v/>
      </c>
      <c r="F266" s="11"/>
      <c r="G266" s="11"/>
      <c r="H266" s="11"/>
      <c r="I266" s="11"/>
      <c r="J266" s="11"/>
      <c r="K266" s="11"/>
      <c r="L266" s="11"/>
      <c r="M266" s="13"/>
      <c r="N266" s="14" t="str">
        <f aca="false">IF(M266="","",EDATE(M266,Parâmetros!$B$12))</f>
        <v/>
      </c>
      <c r="O266" s="11"/>
      <c r="P266" s="13"/>
      <c r="Q266" s="13"/>
      <c r="R266" s="13"/>
      <c r="S266" s="13"/>
      <c r="T266" s="12" t="str">
        <f aca="true">IF(A266="","",IF(OR(AND(P266&lt;&gt;"",P266&lt;=TODAY()+Parâmetros!$B$13),AND(Q266&lt;&gt;"",Q266&lt;=TODAY()+Parâmetros!$B$13),AND(R266&lt;&gt;"",R266&lt;=TODAY()+Parâmetros!$B$13),AND(S266&lt;&gt;"",S266&lt;=TODAY()+Parâmetros!$B$13)),"RENOVAR","OK"))</f>
        <v/>
      </c>
      <c r="U266" s="12" t="str">
        <f aca="false">IF(A266="","",COUNTIF(Contratações!$I$5:$I$504,A266))</f>
        <v/>
      </c>
      <c r="V266" s="15" t="str">
        <f aca="false">IF(A266="","",SUMIF(Contratações!$I$5:$I$504,A266,Contratações!$N$5:$N$504))</f>
        <v/>
      </c>
      <c r="W266" s="16" t="str">
        <f aca="false">IF(A266="","",IFERROR(AVERAGEIFS(Contratações!$R$5:$R$504,Contratações!$I$5:$I$504,A266,Contratações!$R$5:$R$504,"&gt;0"),""))</f>
        <v/>
      </c>
      <c r="X266" s="14" t="str">
        <f aca="false">IF(A266="","",IF(U266=0,"nunca",_xlfn.MAXIFS(Contratações!$O$5:$O$504,Contratações!$I$5:$I$504,A266)))</f>
        <v/>
      </c>
      <c r="Y266" s="11"/>
    </row>
    <row r="267" customFormat="false" ht="15" hidden="false" customHeight="false" outlineLevel="0" collapsed="false">
      <c r="A267" s="11"/>
      <c r="B267" s="11"/>
      <c r="C267" s="11"/>
      <c r="D267" s="11"/>
      <c r="E267" s="12" t="str">
        <f aca="false">IF(D267="","",IF(OR(D267="MEI",D267="ME",D267="EPP",D267="Cooperativa",D267="PF autônoma"),"S","N"))</f>
        <v/>
      </c>
      <c r="F267" s="11"/>
      <c r="G267" s="11"/>
      <c r="H267" s="11"/>
      <c r="I267" s="11"/>
      <c r="J267" s="11"/>
      <c r="K267" s="11"/>
      <c r="L267" s="11"/>
      <c r="M267" s="13"/>
      <c r="N267" s="14" t="str">
        <f aca="false">IF(M267="","",EDATE(M267,Parâmetros!$B$12))</f>
        <v/>
      </c>
      <c r="O267" s="11"/>
      <c r="P267" s="13"/>
      <c r="Q267" s="13"/>
      <c r="R267" s="13"/>
      <c r="S267" s="13"/>
      <c r="T267" s="12" t="str">
        <f aca="true">IF(A267="","",IF(OR(AND(P267&lt;&gt;"",P267&lt;=TODAY()+Parâmetros!$B$13),AND(Q267&lt;&gt;"",Q267&lt;=TODAY()+Parâmetros!$B$13),AND(R267&lt;&gt;"",R267&lt;=TODAY()+Parâmetros!$B$13),AND(S267&lt;&gt;"",S267&lt;=TODAY()+Parâmetros!$B$13)),"RENOVAR","OK"))</f>
        <v/>
      </c>
      <c r="U267" s="12" t="str">
        <f aca="false">IF(A267="","",COUNTIF(Contratações!$I$5:$I$504,A267))</f>
        <v/>
      </c>
      <c r="V267" s="15" t="str">
        <f aca="false">IF(A267="","",SUMIF(Contratações!$I$5:$I$504,A267,Contratações!$N$5:$N$504))</f>
        <v/>
      </c>
      <c r="W267" s="16" t="str">
        <f aca="false">IF(A267="","",IFERROR(AVERAGEIFS(Contratações!$R$5:$R$504,Contratações!$I$5:$I$504,A267,Contratações!$R$5:$R$504,"&gt;0"),""))</f>
        <v/>
      </c>
      <c r="X267" s="14" t="str">
        <f aca="false">IF(A267="","",IF(U267=0,"nunca",_xlfn.MAXIFS(Contratações!$O$5:$O$504,Contratações!$I$5:$I$504,A267)))</f>
        <v/>
      </c>
      <c r="Y267" s="11"/>
    </row>
    <row r="268" customFormat="false" ht="15" hidden="false" customHeight="false" outlineLevel="0" collapsed="false">
      <c r="A268" s="11"/>
      <c r="B268" s="11"/>
      <c r="C268" s="11"/>
      <c r="D268" s="11"/>
      <c r="E268" s="12" t="str">
        <f aca="false">IF(D268="","",IF(OR(D268="MEI",D268="ME",D268="EPP",D268="Cooperativa",D268="PF autônoma"),"S","N"))</f>
        <v/>
      </c>
      <c r="F268" s="11"/>
      <c r="G268" s="11"/>
      <c r="H268" s="11"/>
      <c r="I268" s="11"/>
      <c r="J268" s="11"/>
      <c r="K268" s="11"/>
      <c r="L268" s="11"/>
      <c r="M268" s="13"/>
      <c r="N268" s="14" t="str">
        <f aca="false">IF(M268="","",EDATE(M268,Parâmetros!$B$12))</f>
        <v/>
      </c>
      <c r="O268" s="11"/>
      <c r="P268" s="13"/>
      <c r="Q268" s="13"/>
      <c r="R268" s="13"/>
      <c r="S268" s="13"/>
      <c r="T268" s="12" t="str">
        <f aca="true">IF(A268="","",IF(OR(AND(P268&lt;&gt;"",P268&lt;=TODAY()+Parâmetros!$B$13),AND(Q268&lt;&gt;"",Q268&lt;=TODAY()+Parâmetros!$B$13),AND(R268&lt;&gt;"",R268&lt;=TODAY()+Parâmetros!$B$13),AND(S268&lt;&gt;"",S268&lt;=TODAY()+Parâmetros!$B$13)),"RENOVAR","OK"))</f>
        <v/>
      </c>
      <c r="U268" s="12" t="str">
        <f aca="false">IF(A268="","",COUNTIF(Contratações!$I$5:$I$504,A268))</f>
        <v/>
      </c>
      <c r="V268" s="15" t="str">
        <f aca="false">IF(A268="","",SUMIF(Contratações!$I$5:$I$504,A268,Contratações!$N$5:$N$504))</f>
        <v/>
      </c>
      <c r="W268" s="16" t="str">
        <f aca="false">IF(A268="","",IFERROR(AVERAGEIFS(Contratações!$R$5:$R$504,Contratações!$I$5:$I$504,A268,Contratações!$R$5:$R$504,"&gt;0"),""))</f>
        <v/>
      </c>
      <c r="X268" s="14" t="str">
        <f aca="false">IF(A268="","",IF(U268=0,"nunca",_xlfn.MAXIFS(Contratações!$O$5:$O$504,Contratações!$I$5:$I$504,A268)))</f>
        <v/>
      </c>
      <c r="Y268" s="11"/>
    </row>
    <row r="269" customFormat="false" ht="15" hidden="false" customHeight="false" outlineLevel="0" collapsed="false">
      <c r="A269" s="11"/>
      <c r="B269" s="11"/>
      <c r="C269" s="11"/>
      <c r="D269" s="11"/>
      <c r="E269" s="12" t="str">
        <f aca="false">IF(D269="","",IF(OR(D269="MEI",D269="ME",D269="EPP",D269="Cooperativa",D269="PF autônoma"),"S","N"))</f>
        <v/>
      </c>
      <c r="F269" s="11"/>
      <c r="G269" s="11"/>
      <c r="H269" s="11"/>
      <c r="I269" s="11"/>
      <c r="J269" s="11"/>
      <c r="K269" s="11"/>
      <c r="L269" s="11"/>
      <c r="M269" s="13"/>
      <c r="N269" s="14" t="str">
        <f aca="false">IF(M269="","",EDATE(M269,Parâmetros!$B$12))</f>
        <v/>
      </c>
      <c r="O269" s="11"/>
      <c r="P269" s="13"/>
      <c r="Q269" s="13"/>
      <c r="R269" s="13"/>
      <c r="S269" s="13"/>
      <c r="T269" s="12" t="str">
        <f aca="true">IF(A269="","",IF(OR(AND(P269&lt;&gt;"",P269&lt;=TODAY()+Parâmetros!$B$13),AND(Q269&lt;&gt;"",Q269&lt;=TODAY()+Parâmetros!$B$13),AND(R269&lt;&gt;"",R269&lt;=TODAY()+Parâmetros!$B$13),AND(S269&lt;&gt;"",S269&lt;=TODAY()+Parâmetros!$B$13)),"RENOVAR","OK"))</f>
        <v/>
      </c>
      <c r="U269" s="12" t="str">
        <f aca="false">IF(A269="","",COUNTIF(Contratações!$I$5:$I$504,A269))</f>
        <v/>
      </c>
      <c r="V269" s="15" t="str">
        <f aca="false">IF(A269="","",SUMIF(Contratações!$I$5:$I$504,A269,Contratações!$N$5:$N$504))</f>
        <v/>
      </c>
      <c r="W269" s="16" t="str">
        <f aca="false">IF(A269="","",IFERROR(AVERAGEIFS(Contratações!$R$5:$R$504,Contratações!$I$5:$I$504,A269,Contratações!$R$5:$R$504,"&gt;0"),""))</f>
        <v/>
      </c>
      <c r="X269" s="14" t="str">
        <f aca="false">IF(A269="","",IF(U269=0,"nunca",_xlfn.MAXIFS(Contratações!$O$5:$O$504,Contratações!$I$5:$I$504,A269)))</f>
        <v/>
      </c>
      <c r="Y269" s="11"/>
    </row>
    <row r="270" customFormat="false" ht="15" hidden="false" customHeight="false" outlineLevel="0" collapsed="false">
      <c r="A270" s="11"/>
      <c r="B270" s="11"/>
      <c r="C270" s="11"/>
      <c r="D270" s="11"/>
      <c r="E270" s="12" t="str">
        <f aca="false">IF(D270="","",IF(OR(D270="MEI",D270="ME",D270="EPP",D270="Cooperativa",D270="PF autônoma"),"S","N"))</f>
        <v/>
      </c>
      <c r="F270" s="11"/>
      <c r="G270" s="11"/>
      <c r="H270" s="11"/>
      <c r="I270" s="11"/>
      <c r="J270" s="11"/>
      <c r="K270" s="11"/>
      <c r="L270" s="11"/>
      <c r="M270" s="13"/>
      <c r="N270" s="14" t="str">
        <f aca="false">IF(M270="","",EDATE(M270,Parâmetros!$B$12))</f>
        <v/>
      </c>
      <c r="O270" s="11"/>
      <c r="P270" s="13"/>
      <c r="Q270" s="13"/>
      <c r="R270" s="13"/>
      <c r="S270" s="13"/>
      <c r="T270" s="12" t="str">
        <f aca="true">IF(A270="","",IF(OR(AND(P270&lt;&gt;"",P270&lt;=TODAY()+Parâmetros!$B$13),AND(Q270&lt;&gt;"",Q270&lt;=TODAY()+Parâmetros!$B$13),AND(R270&lt;&gt;"",R270&lt;=TODAY()+Parâmetros!$B$13),AND(S270&lt;&gt;"",S270&lt;=TODAY()+Parâmetros!$B$13)),"RENOVAR","OK"))</f>
        <v/>
      </c>
      <c r="U270" s="12" t="str">
        <f aca="false">IF(A270="","",COUNTIF(Contratações!$I$5:$I$504,A270))</f>
        <v/>
      </c>
      <c r="V270" s="15" t="str">
        <f aca="false">IF(A270="","",SUMIF(Contratações!$I$5:$I$504,A270,Contratações!$N$5:$N$504))</f>
        <v/>
      </c>
      <c r="W270" s="16" t="str">
        <f aca="false">IF(A270="","",IFERROR(AVERAGEIFS(Contratações!$R$5:$R$504,Contratações!$I$5:$I$504,A270,Contratações!$R$5:$R$504,"&gt;0"),""))</f>
        <v/>
      </c>
      <c r="X270" s="14" t="str">
        <f aca="false">IF(A270="","",IF(U270=0,"nunca",_xlfn.MAXIFS(Contratações!$O$5:$O$504,Contratações!$I$5:$I$504,A270)))</f>
        <v/>
      </c>
      <c r="Y270" s="11"/>
    </row>
    <row r="271" customFormat="false" ht="15" hidden="false" customHeight="false" outlineLevel="0" collapsed="false">
      <c r="A271" s="11"/>
      <c r="B271" s="11"/>
      <c r="C271" s="11"/>
      <c r="D271" s="11"/>
      <c r="E271" s="12" t="str">
        <f aca="false">IF(D271="","",IF(OR(D271="MEI",D271="ME",D271="EPP",D271="Cooperativa",D271="PF autônoma"),"S","N"))</f>
        <v/>
      </c>
      <c r="F271" s="11"/>
      <c r="G271" s="11"/>
      <c r="H271" s="11"/>
      <c r="I271" s="11"/>
      <c r="J271" s="11"/>
      <c r="K271" s="11"/>
      <c r="L271" s="11"/>
      <c r="M271" s="13"/>
      <c r="N271" s="14" t="str">
        <f aca="false">IF(M271="","",EDATE(M271,Parâmetros!$B$12))</f>
        <v/>
      </c>
      <c r="O271" s="11"/>
      <c r="P271" s="13"/>
      <c r="Q271" s="13"/>
      <c r="R271" s="13"/>
      <c r="S271" s="13"/>
      <c r="T271" s="12" t="str">
        <f aca="true">IF(A271="","",IF(OR(AND(P271&lt;&gt;"",P271&lt;=TODAY()+Parâmetros!$B$13),AND(Q271&lt;&gt;"",Q271&lt;=TODAY()+Parâmetros!$B$13),AND(R271&lt;&gt;"",R271&lt;=TODAY()+Parâmetros!$B$13),AND(S271&lt;&gt;"",S271&lt;=TODAY()+Parâmetros!$B$13)),"RENOVAR","OK"))</f>
        <v/>
      </c>
      <c r="U271" s="12" t="str">
        <f aca="false">IF(A271="","",COUNTIF(Contratações!$I$5:$I$504,A271))</f>
        <v/>
      </c>
      <c r="V271" s="15" t="str">
        <f aca="false">IF(A271="","",SUMIF(Contratações!$I$5:$I$504,A271,Contratações!$N$5:$N$504))</f>
        <v/>
      </c>
      <c r="W271" s="16" t="str">
        <f aca="false">IF(A271="","",IFERROR(AVERAGEIFS(Contratações!$R$5:$R$504,Contratações!$I$5:$I$504,A271,Contratações!$R$5:$R$504,"&gt;0"),""))</f>
        <v/>
      </c>
      <c r="X271" s="14" t="str">
        <f aca="false">IF(A271="","",IF(U271=0,"nunca",_xlfn.MAXIFS(Contratações!$O$5:$O$504,Contratações!$I$5:$I$504,A271)))</f>
        <v/>
      </c>
      <c r="Y271" s="11"/>
    </row>
    <row r="272" customFormat="false" ht="15" hidden="false" customHeight="false" outlineLevel="0" collapsed="false">
      <c r="A272" s="11"/>
      <c r="B272" s="11"/>
      <c r="C272" s="11"/>
      <c r="D272" s="11"/>
      <c r="E272" s="12" t="str">
        <f aca="false">IF(D272="","",IF(OR(D272="MEI",D272="ME",D272="EPP",D272="Cooperativa",D272="PF autônoma"),"S","N"))</f>
        <v/>
      </c>
      <c r="F272" s="11"/>
      <c r="G272" s="11"/>
      <c r="H272" s="11"/>
      <c r="I272" s="11"/>
      <c r="J272" s="11"/>
      <c r="K272" s="11"/>
      <c r="L272" s="11"/>
      <c r="M272" s="13"/>
      <c r="N272" s="14" t="str">
        <f aca="false">IF(M272="","",EDATE(M272,Parâmetros!$B$12))</f>
        <v/>
      </c>
      <c r="O272" s="11"/>
      <c r="P272" s="13"/>
      <c r="Q272" s="13"/>
      <c r="R272" s="13"/>
      <c r="S272" s="13"/>
      <c r="T272" s="12" t="str">
        <f aca="true">IF(A272="","",IF(OR(AND(P272&lt;&gt;"",P272&lt;=TODAY()+Parâmetros!$B$13),AND(Q272&lt;&gt;"",Q272&lt;=TODAY()+Parâmetros!$B$13),AND(R272&lt;&gt;"",R272&lt;=TODAY()+Parâmetros!$B$13),AND(S272&lt;&gt;"",S272&lt;=TODAY()+Parâmetros!$B$13)),"RENOVAR","OK"))</f>
        <v/>
      </c>
      <c r="U272" s="12" t="str">
        <f aca="false">IF(A272="","",COUNTIF(Contratações!$I$5:$I$504,A272))</f>
        <v/>
      </c>
      <c r="V272" s="15" t="str">
        <f aca="false">IF(A272="","",SUMIF(Contratações!$I$5:$I$504,A272,Contratações!$N$5:$N$504))</f>
        <v/>
      </c>
      <c r="W272" s="16" t="str">
        <f aca="false">IF(A272="","",IFERROR(AVERAGEIFS(Contratações!$R$5:$R$504,Contratações!$I$5:$I$504,A272,Contratações!$R$5:$R$504,"&gt;0"),""))</f>
        <v/>
      </c>
      <c r="X272" s="14" t="str">
        <f aca="false">IF(A272="","",IF(U272=0,"nunca",_xlfn.MAXIFS(Contratações!$O$5:$O$504,Contratações!$I$5:$I$504,A272)))</f>
        <v/>
      </c>
      <c r="Y272" s="11"/>
    </row>
    <row r="273" customFormat="false" ht="15" hidden="false" customHeight="false" outlineLevel="0" collapsed="false">
      <c r="A273" s="11"/>
      <c r="B273" s="11"/>
      <c r="C273" s="11"/>
      <c r="D273" s="11"/>
      <c r="E273" s="12" t="str">
        <f aca="false">IF(D273="","",IF(OR(D273="MEI",D273="ME",D273="EPP",D273="Cooperativa",D273="PF autônoma"),"S","N"))</f>
        <v/>
      </c>
      <c r="F273" s="11"/>
      <c r="G273" s="11"/>
      <c r="H273" s="11"/>
      <c r="I273" s="11"/>
      <c r="J273" s="11"/>
      <c r="K273" s="11"/>
      <c r="L273" s="11"/>
      <c r="M273" s="13"/>
      <c r="N273" s="14" t="str">
        <f aca="false">IF(M273="","",EDATE(M273,Parâmetros!$B$12))</f>
        <v/>
      </c>
      <c r="O273" s="11"/>
      <c r="P273" s="13"/>
      <c r="Q273" s="13"/>
      <c r="R273" s="13"/>
      <c r="S273" s="13"/>
      <c r="T273" s="12" t="str">
        <f aca="true">IF(A273="","",IF(OR(AND(P273&lt;&gt;"",P273&lt;=TODAY()+Parâmetros!$B$13),AND(Q273&lt;&gt;"",Q273&lt;=TODAY()+Parâmetros!$B$13),AND(R273&lt;&gt;"",R273&lt;=TODAY()+Parâmetros!$B$13),AND(S273&lt;&gt;"",S273&lt;=TODAY()+Parâmetros!$B$13)),"RENOVAR","OK"))</f>
        <v/>
      </c>
      <c r="U273" s="12" t="str">
        <f aca="false">IF(A273="","",COUNTIF(Contratações!$I$5:$I$504,A273))</f>
        <v/>
      </c>
      <c r="V273" s="15" t="str">
        <f aca="false">IF(A273="","",SUMIF(Contratações!$I$5:$I$504,A273,Contratações!$N$5:$N$504))</f>
        <v/>
      </c>
      <c r="W273" s="16" t="str">
        <f aca="false">IF(A273="","",IFERROR(AVERAGEIFS(Contratações!$R$5:$R$504,Contratações!$I$5:$I$504,A273,Contratações!$R$5:$R$504,"&gt;0"),""))</f>
        <v/>
      </c>
      <c r="X273" s="14" t="str">
        <f aca="false">IF(A273="","",IF(U273=0,"nunca",_xlfn.MAXIFS(Contratações!$O$5:$O$504,Contratações!$I$5:$I$504,A273)))</f>
        <v/>
      </c>
      <c r="Y273" s="11"/>
    </row>
    <row r="274" customFormat="false" ht="15" hidden="false" customHeight="false" outlineLevel="0" collapsed="false">
      <c r="A274" s="11"/>
      <c r="B274" s="11"/>
      <c r="C274" s="11"/>
      <c r="D274" s="11"/>
      <c r="E274" s="12" t="str">
        <f aca="false">IF(D274="","",IF(OR(D274="MEI",D274="ME",D274="EPP",D274="Cooperativa",D274="PF autônoma"),"S","N"))</f>
        <v/>
      </c>
      <c r="F274" s="11"/>
      <c r="G274" s="11"/>
      <c r="H274" s="11"/>
      <c r="I274" s="11"/>
      <c r="J274" s="11"/>
      <c r="K274" s="11"/>
      <c r="L274" s="11"/>
      <c r="M274" s="13"/>
      <c r="N274" s="14" t="str">
        <f aca="false">IF(M274="","",EDATE(M274,Parâmetros!$B$12))</f>
        <v/>
      </c>
      <c r="O274" s="11"/>
      <c r="P274" s="13"/>
      <c r="Q274" s="13"/>
      <c r="R274" s="13"/>
      <c r="S274" s="13"/>
      <c r="T274" s="12" t="str">
        <f aca="true">IF(A274="","",IF(OR(AND(P274&lt;&gt;"",P274&lt;=TODAY()+Parâmetros!$B$13),AND(Q274&lt;&gt;"",Q274&lt;=TODAY()+Parâmetros!$B$13),AND(R274&lt;&gt;"",R274&lt;=TODAY()+Parâmetros!$B$13),AND(S274&lt;&gt;"",S274&lt;=TODAY()+Parâmetros!$B$13)),"RENOVAR","OK"))</f>
        <v/>
      </c>
      <c r="U274" s="12" t="str">
        <f aca="false">IF(A274="","",COUNTIF(Contratações!$I$5:$I$504,A274))</f>
        <v/>
      </c>
      <c r="V274" s="15" t="str">
        <f aca="false">IF(A274="","",SUMIF(Contratações!$I$5:$I$504,A274,Contratações!$N$5:$N$504))</f>
        <v/>
      </c>
      <c r="W274" s="16" t="str">
        <f aca="false">IF(A274="","",IFERROR(AVERAGEIFS(Contratações!$R$5:$R$504,Contratações!$I$5:$I$504,A274,Contratações!$R$5:$R$504,"&gt;0"),""))</f>
        <v/>
      </c>
      <c r="X274" s="14" t="str">
        <f aca="false">IF(A274="","",IF(U274=0,"nunca",_xlfn.MAXIFS(Contratações!$O$5:$O$504,Contratações!$I$5:$I$504,A274)))</f>
        <v/>
      </c>
      <c r="Y274" s="11"/>
    </row>
    <row r="275" customFormat="false" ht="15" hidden="false" customHeight="false" outlineLevel="0" collapsed="false">
      <c r="A275" s="11"/>
      <c r="B275" s="11"/>
      <c r="C275" s="11"/>
      <c r="D275" s="11"/>
      <c r="E275" s="12" t="str">
        <f aca="false">IF(D275="","",IF(OR(D275="MEI",D275="ME",D275="EPP",D275="Cooperativa",D275="PF autônoma"),"S","N"))</f>
        <v/>
      </c>
      <c r="F275" s="11"/>
      <c r="G275" s="11"/>
      <c r="H275" s="11"/>
      <c r="I275" s="11"/>
      <c r="J275" s="11"/>
      <c r="K275" s="11"/>
      <c r="L275" s="11"/>
      <c r="M275" s="13"/>
      <c r="N275" s="14" t="str">
        <f aca="false">IF(M275="","",EDATE(M275,Parâmetros!$B$12))</f>
        <v/>
      </c>
      <c r="O275" s="11"/>
      <c r="P275" s="13"/>
      <c r="Q275" s="13"/>
      <c r="R275" s="13"/>
      <c r="S275" s="13"/>
      <c r="T275" s="12" t="str">
        <f aca="true">IF(A275="","",IF(OR(AND(P275&lt;&gt;"",P275&lt;=TODAY()+Parâmetros!$B$13),AND(Q275&lt;&gt;"",Q275&lt;=TODAY()+Parâmetros!$B$13),AND(R275&lt;&gt;"",R275&lt;=TODAY()+Parâmetros!$B$13),AND(S275&lt;&gt;"",S275&lt;=TODAY()+Parâmetros!$B$13)),"RENOVAR","OK"))</f>
        <v/>
      </c>
      <c r="U275" s="12" t="str">
        <f aca="false">IF(A275="","",COUNTIF(Contratações!$I$5:$I$504,A275))</f>
        <v/>
      </c>
      <c r="V275" s="15" t="str">
        <f aca="false">IF(A275="","",SUMIF(Contratações!$I$5:$I$504,A275,Contratações!$N$5:$N$504))</f>
        <v/>
      </c>
      <c r="W275" s="16" t="str">
        <f aca="false">IF(A275="","",IFERROR(AVERAGEIFS(Contratações!$R$5:$R$504,Contratações!$I$5:$I$504,A275,Contratações!$R$5:$R$504,"&gt;0"),""))</f>
        <v/>
      </c>
      <c r="X275" s="14" t="str">
        <f aca="false">IF(A275="","",IF(U275=0,"nunca",_xlfn.MAXIFS(Contratações!$O$5:$O$504,Contratações!$I$5:$I$504,A275)))</f>
        <v/>
      </c>
      <c r="Y275" s="11"/>
    </row>
    <row r="276" customFormat="false" ht="15" hidden="false" customHeight="false" outlineLevel="0" collapsed="false">
      <c r="A276" s="11"/>
      <c r="B276" s="11"/>
      <c r="C276" s="11"/>
      <c r="D276" s="11"/>
      <c r="E276" s="12" t="str">
        <f aca="false">IF(D276="","",IF(OR(D276="MEI",D276="ME",D276="EPP",D276="Cooperativa",D276="PF autônoma"),"S","N"))</f>
        <v/>
      </c>
      <c r="F276" s="11"/>
      <c r="G276" s="11"/>
      <c r="H276" s="11"/>
      <c r="I276" s="11"/>
      <c r="J276" s="11"/>
      <c r="K276" s="11"/>
      <c r="L276" s="11"/>
      <c r="M276" s="13"/>
      <c r="N276" s="14" t="str">
        <f aca="false">IF(M276="","",EDATE(M276,Parâmetros!$B$12))</f>
        <v/>
      </c>
      <c r="O276" s="11"/>
      <c r="P276" s="13"/>
      <c r="Q276" s="13"/>
      <c r="R276" s="13"/>
      <c r="S276" s="13"/>
      <c r="T276" s="12" t="str">
        <f aca="true">IF(A276="","",IF(OR(AND(P276&lt;&gt;"",P276&lt;=TODAY()+Parâmetros!$B$13),AND(Q276&lt;&gt;"",Q276&lt;=TODAY()+Parâmetros!$B$13),AND(R276&lt;&gt;"",R276&lt;=TODAY()+Parâmetros!$B$13),AND(S276&lt;&gt;"",S276&lt;=TODAY()+Parâmetros!$B$13)),"RENOVAR","OK"))</f>
        <v/>
      </c>
      <c r="U276" s="12" t="str">
        <f aca="false">IF(A276="","",COUNTIF(Contratações!$I$5:$I$504,A276))</f>
        <v/>
      </c>
      <c r="V276" s="15" t="str">
        <f aca="false">IF(A276="","",SUMIF(Contratações!$I$5:$I$504,A276,Contratações!$N$5:$N$504))</f>
        <v/>
      </c>
      <c r="W276" s="16" t="str">
        <f aca="false">IF(A276="","",IFERROR(AVERAGEIFS(Contratações!$R$5:$R$504,Contratações!$I$5:$I$504,A276,Contratações!$R$5:$R$504,"&gt;0"),""))</f>
        <v/>
      </c>
      <c r="X276" s="14" t="str">
        <f aca="false">IF(A276="","",IF(U276=0,"nunca",_xlfn.MAXIFS(Contratações!$O$5:$O$504,Contratações!$I$5:$I$504,A276)))</f>
        <v/>
      </c>
      <c r="Y276" s="11"/>
    </row>
    <row r="277" customFormat="false" ht="15" hidden="false" customHeight="false" outlineLevel="0" collapsed="false">
      <c r="A277" s="11"/>
      <c r="B277" s="11"/>
      <c r="C277" s="11"/>
      <c r="D277" s="11"/>
      <c r="E277" s="12" t="str">
        <f aca="false">IF(D277="","",IF(OR(D277="MEI",D277="ME",D277="EPP",D277="Cooperativa",D277="PF autônoma"),"S","N"))</f>
        <v/>
      </c>
      <c r="F277" s="11"/>
      <c r="G277" s="11"/>
      <c r="H277" s="11"/>
      <c r="I277" s="11"/>
      <c r="J277" s="11"/>
      <c r="K277" s="11"/>
      <c r="L277" s="11"/>
      <c r="M277" s="13"/>
      <c r="N277" s="14" t="str">
        <f aca="false">IF(M277="","",EDATE(M277,Parâmetros!$B$12))</f>
        <v/>
      </c>
      <c r="O277" s="11"/>
      <c r="P277" s="13"/>
      <c r="Q277" s="13"/>
      <c r="R277" s="13"/>
      <c r="S277" s="13"/>
      <c r="T277" s="12" t="str">
        <f aca="true">IF(A277="","",IF(OR(AND(P277&lt;&gt;"",P277&lt;=TODAY()+Parâmetros!$B$13),AND(Q277&lt;&gt;"",Q277&lt;=TODAY()+Parâmetros!$B$13),AND(R277&lt;&gt;"",R277&lt;=TODAY()+Parâmetros!$B$13),AND(S277&lt;&gt;"",S277&lt;=TODAY()+Parâmetros!$B$13)),"RENOVAR","OK"))</f>
        <v/>
      </c>
      <c r="U277" s="12" t="str">
        <f aca="false">IF(A277="","",COUNTIF(Contratações!$I$5:$I$504,A277))</f>
        <v/>
      </c>
      <c r="V277" s="15" t="str">
        <f aca="false">IF(A277="","",SUMIF(Contratações!$I$5:$I$504,A277,Contratações!$N$5:$N$504))</f>
        <v/>
      </c>
      <c r="W277" s="16" t="str">
        <f aca="false">IF(A277="","",IFERROR(AVERAGEIFS(Contratações!$R$5:$R$504,Contratações!$I$5:$I$504,A277,Contratações!$R$5:$R$504,"&gt;0"),""))</f>
        <v/>
      </c>
      <c r="X277" s="14" t="str">
        <f aca="false">IF(A277="","",IF(U277=0,"nunca",_xlfn.MAXIFS(Contratações!$O$5:$O$504,Contratações!$I$5:$I$504,A277)))</f>
        <v/>
      </c>
      <c r="Y277" s="11"/>
    </row>
    <row r="278" customFormat="false" ht="15" hidden="false" customHeight="false" outlineLevel="0" collapsed="false">
      <c r="A278" s="11"/>
      <c r="B278" s="11"/>
      <c r="C278" s="11"/>
      <c r="D278" s="11"/>
      <c r="E278" s="12" t="str">
        <f aca="false">IF(D278="","",IF(OR(D278="MEI",D278="ME",D278="EPP",D278="Cooperativa",D278="PF autônoma"),"S","N"))</f>
        <v/>
      </c>
      <c r="F278" s="11"/>
      <c r="G278" s="11"/>
      <c r="H278" s="11"/>
      <c r="I278" s="11"/>
      <c r="J278" s="11"/>
      <c r="K278" s="11"/>
      <c r="L278" s="11"/>
      <c r="M278" s="13"/>
      <c r="N278" s="14" t="str">
        <f aca="false">IF(M278="","",EDATE(M278,Parâmetros!$B$12))</f>
        <v/>
      </c>
      <c r="O278" s="11"/>
      <c r="P278" s="13"/>
      <c r="Q278" s="13"/>
      <c r="R278" s="13"/>
      <c r="S278" s="13"/>
      <c r="T278" s="12" t="str">
        <f aca="true">IF(A278="","",IF(OR(AND(P278&lt;&gt;"",P278&lt;=TODAY()+Parâmetros!$B$13),AND(Q278&lt;&gt;"",Q278&lt;=TODAY()+Parâmetros!$B$13),AND(R278&lt;&gt;"",R278&lt;=TODAY()+Parâmetros!$B$13),AND(S278&lt;&gt;"",S278&lt;=TODAY()+Parâmetros!$B$13)),"RENOVAR","OK"))</f>
        <v/>
      </c>
      <c r="U278" s="12" t="str">
        <f aca="false">IF(A278="","",COUNTIF(Contratações!$I$5:$I$504,A278))</f>
        <v/>
      </c>
      <c r="V278" s="15" t="str">
        <f aca="false">IF(A278="","",SUMIF(Contratações!$I$5:$I$504,A278,Contratações!$N$5:$N$504))</f>
        <v/>
      </c>
      <c r="W278" s="16" t="str">
        <f aca="false">IF(A278="","",IFERROR(AVERAGEIFS(Contratações!$R$5:$R$504,Contratações!$I$5:$I$504,A278,Contratações!$R$5:$R$504,"&gt;0"),""))</f>
        <v/>
      </c>
      <c r="X278" s="14" t="str">
        <f aca="false">IF(A278="","",IF(U278=0,"nunca",_xlfn.MAXIFS(Contratações!$O$5:$O$504,Contratações!$I$5:$I$504,A278)))</f>
        <v/>
      </c>
      <c r="Y278" s="11"/>
    </row>
    <row r="279" customFormat="false" ht="15" hidden="false" customHeight="false" outlineLevel="0" collapsed="false">
      <c r="A279" s="11"/>
      <c r="B279" s="11"/>
      <c r="C279" s="11"/>
      <c r="D279" s="11"/>
      <c r="E279" s="12" t="str">
        <f aca="false">IF(D279="","",IF(OR(D279="MEI",D279="ME",D279="EPP",D279="Cooperativa",D279="PF autônoma"),"S","N"))</f>
        <v/>
      </c>
      <c r="F279" s="11"/>
      <c r="G279" s="11"/>
      <c r="H279" s="11"/>
      <c r="I279" s="11"/>
      <c r="J279" s="11"/>
      <c r="K279" s="11"/>
      <c r="L279" s="11"/>
      <c r="M279" s="13"/>
      <c r="N279" s="14" t="str">
        <f aca="false">IF(M279="","",EDATE(M279,Parâmetros!$B$12))</f>
        <v/>
      </c>
      <c r="O279" s="11"/>
      <c r="P279" s="13"/>
      <c r="Q279" s="13"/>
      <c r="R279" s="13"/>
      <c r="S279" s="13"/>
      <c r="T279" s="12" t="str">
        <f aca="true">IF(A279="","",IF(OR(AND(P279&lt;&gt;"",P279&lt;=TODAY()+Parâmetros!$B$13),AND(Q279&lt;&gt;"",Q279&lt;=TODAY()+Parâmetros!$B$13),AND(R279&lt;&gt;"",R279&lt;=TODAY()+Parâmetros!$B$13),AND(S279&lt;&gt;"",S279&lt;=TODAY()+Parâmetros!$B$13)),"RENOVAR","OK"))</f>
        <v/>
      </c>
      <c r="U279" s="12" t="str">
        <f aca="false">IF(A279="","",COUNTIF(Contratações!$I$5:$I$504,A279))</f>
        <v/>
      </c>
      <c r="V279" s="15" t="str">
        <f aca="false">IF(A279="","",SUMIF(Contratações!$I$5:$I$504,A279,Contratações!$N$5:$N$504))</f>
        <v/>
      </c>
      <c r="W279" s="16" t="str">
        <f aca="false">IF(A279="","",IFERROR(AVERAGEIFS(Contratações!$R$5:$R$504,Contratações!$I$5:$I$504,A279,Contratações!$R$5:$R$504,"&gt;0"),""))</f>
        <v/>
      </c>
      <c r="X279" s="14" t="str">
        <f aca="false">IF(A279="","",IF(U279=0,"nunca",_xlfn.MAXIFS(Contratações!$O$5:$O$504,Contratações!$I$5:$I$504,A279)))</f>
        <v/>
      </c>
      <c r="Y279" s="11"/>
    </row>
    <row r="280" customFormat="false" ht="15" hidden="false" customHeight="false" outlineLevel="0" collapsed="false">
      <c r="A280" s="11"/>
      <c r="B280" s="11"/>
      <c r="C280" s="11"/>
      <c r="D280" s="11"/>
      <c r="E280" s="12" t="str">
        <f aca="false">IF(D280="","",IF(OR(D280="MEI",D280="ME",D280="EPP",D280="Cooperativa",D280="PF autônoma"),"S","N"))</f>
        <v/>
      </c>
      <c r="F280" s="11"/>
      <c r="G280" s="11"/>
      <c r="H280" s="11"/>
      <c r="I280" s="11"/>
      <c r="J280" s="11"/>
      <c r="K280" s="11"/>
      <c r="L280" s="11"/>
      <c r="M280" s="13"/>
      <c r="N280" s="14" t="str">
        <f aca="false">IF(M280="","",EDATE(M280,Parâmetros!$B$12))</f>
        <v/>
      </c>
      <c r="O280" s="11"/>
      <c r="P280" s="13"/>
      <c r="Q280" s="13"/>
      <c r="R280" s="13"/>
      <c r="S280" s="13"/>
      <c r="T280" s="12" t="str">
        <f aca="true">IF(A280="","",IF(OR(AND(P280&lt;&gt;"",P280&lt;=TODAY()+Parâmetros!$B$13),AND(Q280&lt;&gt;"",Q280&lt;=TODAY()+Parâmetros!$B$13),AND(R280&lt;&gt;"",R280&lt;=TODAY()+Parâmetros!$B$13),AND(S280&lt;&gt;"",S280&lt;=TODAY()+Parâmetros!$B$13)),"RENOVAR","OK"))</f>
        <v/>
      </c>
      <c r="U280" s="12" t="str">
        <f aca="false">IF(A280="","",COUNTIF(Contratações!$I$5:$I$504,A280))</f>
        <v/>
      </c>
      <c r="V280" s="15" t="str">
        <f aca="false">IF(A280="","",SUMIF(Contratações!$I$5:$I$504,A280,Contratações!$N$5:$N$504))</f>
        <v/>
      </c>
      <c r="W280" s="16" t="str">
        <f aca="false">IF(A280="","",IFERROR(AVERAGEIFS(Contratações!$R$5:$R$504,Contratações!$I$5:$I$504,A280,Contratações!$R$5:$R$504,"&gt;0"),""))</f>
        <v/>
      </c>
      <c r="X280" s="14" t="str">
        <f aca="false">IF(A280="","",IF(U280=0,"nunca",_xlfn.MAXIFS(Contratações!$O$5:$O$504,Contratações!$I$5:$I$504,A280)))</f>
        <v/>
      </c>
      <c r="Y280" s="11"/>
    </row>
    <row r="281" customFormat="false" ht="15" hidden="false" customHeight="false" outlineLevel="0" collapsed="false">
      <c r="A281" s="11"/>
      <c r="B281" s="11"/>
      <c r="C281" s="11"/>
      <c r="D281" s="11"/>
      <c r="E281" s="12" t="str">
        <f aca="false">IF(D281="","",IF(OR(D281="MEI",D281="ME",D281="EPP",D281="Cooperativa",D281="PF autônoma"),"S","N"))</f>
        <v/>
      </c>
      <c r="F281" s="11"/>
      <c r="G281" s="11"/>
      <c r="H281" s="11"/>
      <c r="I281" s="11"/>
      <c r="J281" s="11"/>
      <c r="K281" s="11"/>
      <c r="L281" s="11"/>
      <c r="M281" s="13"/>
      <c r="N281" s="14" t="str">
        <f aca="false">IF(M281="","",EDATE(M281,Parâmetros!$B$12))</f>
        <v/>
      </c>
      <c r="O281" s="11"/>
      <c r="P281" s="13"/>
      <c r="Q281" s="13"/>
      <c r="R281" s="13"/>
      <c r="S281" s="13"/>
      <c r="T281" s="12" t="str">
        <f aca="true">IF(A281="","",IF(OR(AND(P281&lt;&gt;"",P281&lt;=TODAY()+Parâmetros!$B$13),AND(Q281&lt;&gt;"",Q281&lt;=TODAY()+Parâmetros!$B$13),AND(R281&lt;&gt;"",R281&lt;=TODAY()+Parâmetros!$B$13),AND(S281&lt;&gt;"",S281&lt;=TODAY()+Parâmetros!$B$13)),"RENOVAR","OK"))</f>
        <v/>
      </c>
      <c r="U281" s="12" t="str">
        <f aca="false">IF(A281="","",COUNTIF(Contratações!$I$5:$I$504,A281))</f>
        <v/>
      </c>
      <c r="V281" s="15" t="str">
        <f aca="false">IF(A281="","",SUMIF(Contratações!$I$5:$I$504,A281,Contratações!$N$5:$N$504))</f>
        <v/>
      </c>
      <c r="W281" s="16" t="str">
        <f aca="false">IF(A281="","",IFERROR(AVERAGEIFS(Contratações!$R$5:$R$504,Contratações!$I$5:$I$504,A281,Contratações!$R$5:$R$504,"&gt;0"),""))</f>
        <v/>
      </c>
      <c r="X281" s="14" t="str">
        <f aca="false">IF(A281="","",IF(U281=0,"nunca",_xlfn.MAXIFS(Contratações!$O$5:$O$504,Contratações!$I$5:$I$504,A281)))</f>
        <v/>
      </c>
      <c r="Y281" s="11"/>
    </row>
    <row r="282" customFormat="false" ht="15" hidden="false" customHeight="false" outlineLevel="0" collapsed="false">
      <c r="A282" s="11"/>
      <c r="B282" s="11"/>
      <c r="C282" s="11"/>
      <c r="D282" s="11"/>
      <c r="E282" s="12" t="str">
        <f aca="false">IF(D282="","",IF(OR(D282="MEI",D282="ME",D282="EPP",D282="Cooperativa",D282="PF autônoma"),"S","N"))</f>
        <v/>
      </c>
      <c r="F282" s="11"/>
      <c r="G282" s="11"/>
      <c r="H282" s="11"/>
      <c r="I282" s="11"/>
      <c r="J282" s="11"/>
      <c r="K282" s="11"/>
      <c r="L282" s="11"/>
      <c r="M282" s="13"/>
      <c r="N282" s="14" t="str">
        <f aca="false">IF(M282="","",EDATE(M282,Parâmetros!$B$12))</f>
        <v/>
      </c>
      <c r="O282" s="11"/>
      <c r="P282" s="13"/>
      <c r="Q282" s="13"/>
      <c r="R282" s="13"/>
      <c r="S282" s="13"/>
      <c r="T282" s="12" t="str">
        <f aca="true">IF(A282="","",IF(OR(AND(P282&lt;&gt;"",P282&lt;=TODAY()+Parâmetros!$B$13),AND(Q282&lt;&gt;"",Q282&lt;=TODAY()+Parâmetros!$B$13),AND(R282&lt;&gt;"",R282&lt;=TODAY()+Parâmetros!$B$13),AND(S282&lt;&gt;"",S282&lt;=TODAY()+Parâmetros!$B$13)),"RENOVAR","OK"))</f>
        <v/>
      </c>
      <c r="U282" s="12" t="str">
        <f aca="false">IF(A282="","",COUNTIF(Contratações!$I$5:$I$504,A282))</f>
        <v/>
      </c>
      <c r="V282" s="15" t="str">
        <f aca="false">IF(A282="","",SUMIF(Contratações!$I$5:$I$504,A282,Contratações!$N$5:$N$504))</f>
        <v/>
      </c>
      <c r="W282" s="16" t="str">
        <f aca="false">IF(A282="","",IFERROR(AVERAGEIFS(Contratações!$R$5:$R$504,Contratações!$I$5:$I$504,A282,Contratações!$R$5:$R$504,"&gt;0"),""))</f>
        <v/>
      </c>
      <c r="X282" s="14" t="str">
        <f aca="false">IF(A282="","",IF(U282=0,"nunca",_xlfn.MAXIFS(Contratações!$O$5:$O$504,Contratações!$I$5:$I$504,A282)))</f>
        <v/>
      </c>
      <c r="Y282" s="11"/>
    </row>
    <row r="283" customFormat="false" ht="15" hidden="false" customHeight="false" outlineLevel="0" collapsed="false">
      <c r="A283" s="11"/>
      <c r="B283" s="11"/>
      <c r="C283" s="11"/>
      <c r="D283" s="11"/>
      <c r="E283" s="12" t="str">
        <f aca="false">IF(D283="","",IF(OR(D283="MEI",D283="ME",D283="EPP",D283="Cooperativa",D283="PF autônoma"),"S","N"))</f>
        <v/>
      </c>
      <c r="F283" s="11"/>
      <c r="G283" s="11"/>
      <c r="H283" s="11"/>
      <c r="I283" s="11"/>
      <c r="J283" s="11"/>
      <c r="K283" s="11"/>
      <c r="L283" s="11"/>
      <c r="M283" s="13"/>
      <c r="N283" s="14" t="str">
        <f aca="false">IF(M283="","",EDATE(M283,Parâmetros!$B$12))</f>
        <v/>
      </c>
      <c r="O283" s="11"/>
      <c r="P283" s="13"/>
      <c r="Q283" s="13"/>
      <c r="R283" s="13"/>
      <c r="S283" s="13"/>
      <c r="T283" s="12" t="str">
        <f aca="true">IF(A283="","",IF(OR(AND(P283&lt;&gt;"",P283&lt;=TODAY()+Parâmetros!$B$13),AND(Q283&lt;&gt;"",Q283&lt;=TODAY()+Parâmetros!$B$13),AND(R283&lt;&gt;"",R283&lt;=TODAY()+Parâmetros!$B$13),AND(S283&lt;&gt;"",S283&lt;=TODAY()+Parâmetros!$B$13)),"RENOVAR","OK"))</f>
        <v/>
      </c>
      <c r="U283" s="12" t="str">
        <f aca="false">IF(A283="","",COUNTIF(Contratações!$I$5:$I$504,A283))</f>
        <v/>
      </c>
      <c r="V283" s="15" t="str">
        <f aca="false">IF(A283="","",SUMIF(Contratações!$I$5:$I$504,A283,Contratações!$N$5:$N$504))</f>
        <v/>
      </c>
      <c r="W283" s="16" t="str">
        <f aca="false">IF(A283="","",IFERROR(AVERAGEIFS(Contratações!$R$5:$R$504,Contratações!$I$5:$I$504,A283,Contratações!$R$5:$R$504,"&gt;0"),""))</f>
        <v/>
      </c>
      <c r="X283" s="14" t="str">
        <f aca="false">IF(A283="","",IF(U283=0,"nunca",_xlfn.MAXIFS(Contratações!$O$5:$O$504,Contratações!$I$5:$I$504,A283)))</f>
        <v/>
      </c>
      <c r="Y283" s="11"/>
    </row>
    <row r="284" customFormat="false" ht="15" hidden="false" customHeight="false" outlineLevel="0" collapsed="false">
      <c r="A284" s="11"/>
      <c r="B284" s="11"/>
      <c r="C284" s="11"/>
      <c r="D284" s="11"/>
      <c r="E284" s="12" t="str">
        <f aca="false">IF(D284="","",IF(OR(D284="MEI",D284="ME",D284="EPP",D284="Cooperativa",D284="PF autônoma"),"S","N"))</f>
        <v/>
      </c>
      <c r="F284" s="11"/>
      <c r="G284" s="11"/>
      <c r="H284" s="11"/>
      <c r="I284" s="11"/>
      <c r="J284" s="11"/>
      <c r="K284" s="11"/>
      <c r="L284" s="11"/>
      <c r="M284" s="13"/>
      <c r="N284" s="14" t="str">
        <f aca="false">IF(M284="","",EDATE(M284,Parâmetros!$B$12))</f>
        <v/>
      </c>
      <c r="O284" s="11"/>
      <c r="P284" s="13"/>
      <c r="Q284" s="13"/>
      <c r="R284" s="13"/>
      <c r="S284" s="13"/>
      <c r="T284" s="12" t="str">
        <f aca="true">IF(A284="","",IF(OR(AND(P284&lt;&gt;"",P284&lt;=TODAY()+Parâmetros!$B$13),AND(Q284&lt;&gt;"",Q284&lt;=TODAY()+Parâmetros!$B$13),AND(R284&lt;&gt;"",R284&lt;=TODAY()+Parâmetros!$B$13),AND(S284&lt;&gt;"",S284&lt;=TODAY()+Parâmetros!$B$13)),"RENOVAR","OK"))</f>
        <v/>
      </c>
      <c r="U284" s="12" t="str">
        <f aca="false">IF(A284="","",COUNTIF(Contratações!$I$5:$I$504,A284))</f>
        <v/>
      </c>
      <c r="V284" s="15" t="str">
        <f aca="false">IF(A284="","",SUMIF(Contratações!$I$5:$I$504,A284,Contratações!$N$5:$N$504))</f>
        <v/>
      </c>
      <c r="W284" s="16" t="str">
        <f aca="false">IF(A284="","",IFERROR(AVERAGEIFS(Contratações!$R$5:$R$504,Contratações!$I$5:$I$504,A284,Contratações!$R$5:$R$504,"&gt;0"),""))</f>
        <v/>
      </c>
      <c r="X284" s="14" t="str">
        <f aca="false">IF(A284="","",IF(U284=0,"nunca",_xlfn.MAXIFS(Contratações!$O$5:$O$504,Contratações!$I$5:$I$504,A284)))</f>
        <v/>
      </c>
      <c r="Y284" s="11"/>
    </row>
    <row r="285" customFormat="false" ht="15" hidden="false" customHeight="false" outlineLevel="0" collapsed="false">
      <c r="A285" s="11"/>
      <c r="B285" s="11"/>
      <c r="C285" s="11"/>
      <c r="D285" s="11"/>
      <c r="E285" s="12" t="str">
        <f aca="false">IF(D285="","",IF(OR(D285="MEI",D285="ME",D285="EPP",D285="Cooperativa",D285="PF autônoma"),"S","N"))</f>
        <v/>
      </c>
      <c r="F285" s="11"/>
      <c r="G285" s="11"/>
      <c r="H285" s="11"/>
      <c r="I285" s="11"/>
      <c r="J285" s="11"/>
      <c r="K285" s="11"/>
      <c r="L285" s="11"/>
      <c r="M285" s="13"/>
      <c r="N285" s="14" t="str">
        <f aca="false">IF(M285="","",EDATE(M285,Parâmetros!$B$12))</f>
        <v/>
      </c>
      <c r="O285" s="11"/>
      <c r="P285" s="13"/>
      <c r="Q285" s="13"/>
      <c r="R285" s="13"/>
      <c r="S285" s="13"/>
      <c r="T285" s="12" t="str">
        <f aca="true">IF(A285="","",IF(OR(AND(P285&lt;&gt;"",P285&lt;=TODAY()+Parâmetros!$B$13),AND(Q285&lt;&gt;"",Q285&lt;=TODAY()+Parâmetros!$B$13),AND(R285&lt;&gt;"",R285&lt;=TODAY()+Parâmetros!$B$13),AND(S285&lt;&gt;"",S285&lt;=TODAY()+Parâmetros!$B$13)),"RENOVAR","OK"))</f>
        <v/>
      </c>
      <c r="U285" s="12" t="str">
        <f aca="false">IF(A285="","",COUNTIF(Contratações!$I$5:$I$504,A285))</f>
        <v/>
      </c>
      <c r="V285" s="15" t="str">
        <f aca="false">IF(A285="","",SUMIF(Contratações!$I$5:$I$504,A285,Contratações!$N$5:$N$504))</f>
        <v/>
      </c>
      <c r="W285" s="16" t="str">
        <f aca="false">IF(A285="","",IFERROR(AVERAGEIFS(Contratações!$R$5:$R$504,Contratações!$I$5:$I$504,A285,Contratações!$R$5:$R$504,"&gt;0"),""))</f>
        <v/>
      </c>
      <c r="X285" s="14" t="str">
        <f aca="false">IF(A285="","",IF(U285=0,"nunca",_xlfn.MAXIFS(Contratações!$O$5:$O$504,Contratações!$I$5:$I$504,A285)))</f>
        <v/>
      </c>
      <c r="Y285" s="11"/>
    </row>
    <row r="286" customFormat="false" ht="15" hidden="false" customHeight="false" outlineLevel="0" collapsed="false">
      <c r="A286" s="11"/>
      <c r="B286" s="11"/>
      <c r="C286" s="11"/>
      <c r="D286" s="11"/>
      <c r="E286" s="12" t="str">
        <f aca="false">IF(D286="","",IF(OR(D286="MEI",D286="ME",D286="EPP",D286="Cooperativa",D286="PF autônoma"),"S","N"))</f>
        <v/>
      </c>
      <c r="F286" s="11"/>
      <c r="G286" s="11"/>
      <c r="H286" s="11"/>
      <c r="I286" s="11"/>
      <c r="J286" s="11"/>
      <c r="K286" s="11"/>
      <c r="L286" s="11"/>
      <c r="M286" s="13"/>
      <c r="N286" s="14" t="str">
        <f aca="false">IF(M286="","",EDATE(M286,Parâmetros!$B$12))</f>
        <v/>
      </c>
      <c r="O286" s="11"/>
      <c r="P286" s="13"/>
      <c r="Q286" s="13"/>
      <c r="R286" s="13"/>
      <c r="S286" s="13"/>
      <c r="T286" s="12" t="str">
        <f aca="true">IF(A286="","",IF(OR(AND(P286&lt;&gt;"",P286&lt;=TODAY()+Parâmetros!$B$13),AND(Q286&lt;&gt;"",Q286&lt;=TODAY()+Parâmetros!$B$13),AND(R286&lt;&gt;"",R286&lt;=TODAY()+Parâmetros!$B$13),AND(S286&lt;&gt;"",S286&lt;=TODAY()+Parâmetros!$B$13)),"RENOVAR","OK"))</f>
        <v/>
      </c>
      <c r="U286" s="12" t="str">
        <f aca="false">IF(A286="","",COUNTIF(Contratações!$I$5:$I$504,A286))</f>
        <v/>
      </c>
      <c r="V286" s="15" t="str">
        <f aca="false">IF(A286="","",SUMIF(Contratações!$I$5:$I$504,A286,Contratações!$N$5:$N$504))</f>
        <v/>
      </c>
      <c r="W286" s="16" t="str">
        <f aca="false">IF(A286="","",IFERROR(AVERAGEIFS(Contratações!$R$5:$R$504,Contratações!$I$5:$I$504,A286,Contratações!$R$5:$R$504,"&gt;0"),""))</f>
        <v/>
      </c>
      <c r="X286" s="14" t="str">
        <f aca="false">IF(A286="","",IF(U286=0,"nunca",_xlfn.MAXIFS(Contratações!$O$5:$O$504,Contratações!$I$5:$I$504,A286)))</f>
        <v/>
      </c>
      <c r="Y286" s="11"/>
    </row>
    <row r="287" customFormat="false" ht="15" hidden="false" customHeight="false" outlineLevel="0" collapsed="false">
      <c r="A287" s="11"/>
      <c r="B287" s="11"/>
      <c r="C287" s="11"/>
      <c r="D287" s="11"/>
      <c r="E287" s="12" t="str">
        <f aca="false">IF(D287="","",IF(OR(D287="MEI",D287="ME",D287="EPP",D287="Cooperativa",D287="PF autônoma"),"S","N"))</f>
        <v/>
      </c>
      <c r="F287" s="11"/>
      <c r="G287" s="11"/>
      <c r="H287" s="11"/>
      <c r="I287" s="11"/>
      <c r="J287" s="11"/>
      <c r="K287" s="11"/>
      <c r="L287" s="11"/>
      <c r="M287" s="13"/>
      <c r="N287" s="14" t="str">
        <f aca="false">IF(M287="","",EDATE(M287,Parâmetros!$B$12))</f>
        <v/>
      </c>
      <c r="O287" s="11"/>
      <c r="P287" s="13"/>
      <c r="Q287" s="13"/>
      <c r="R287" s="13"/>
      <c r="S287" s="13"/>
      <c r="T287" s="12" t="str">
        <f aca="true">IF(A287="","",IF(OR(AND(P287&lt;&gt;"",P287&lt;=TODAY()+Parâmetros!$B$13),AND(Q287&lt;&gt;"",Q287&lt;=TODAY()+Parâmetros!$B$13),AND(R287&lt;&gt;"",R287&lt;=TODAY()+Parâmetros!$B$13),AND(S287&lt;&gt;"",S287&lt;=TODAY()+Parâmetros!$B$13)),"RENOVAR","OK"))</f>
        <v/>
      </c>
      <c r="U287" s="12" t="str">
        <f aca="false">IF(A287="","",COUNTIF(Contratações!$I$5:$I$504,A287))</f>
        <v/>
      </c>
      <c r="V287" s="15" t="str">
        <f aca="false">IF(A287="","",SUMIF(Contratações!$I$5:$I$504,A287,Contratações!$N$5:$N$504))</f>
        <v/>
      </c>
      <c r="W287" s="16" t="str">
        <f aca="false">IF(A287="","",IFERROR(AVERAGEIFS(Contratações!$R$5:$R$504,Contratações!$I$5:$I$504,A287,Contratações!$R$5:$R$504,"&gt;0"),""))</f>
        <v/>
      </c>
      <c r="X287" s="14" t="str">
        <f aca="false">IF(A287="","",IF(U287=0,"nunca",_xlfn.MAXIFS(Contratações!$O$5:$O$504,Contratações!$I$5:$I$504,A287)))</f>
        <v/>
      </c>
      <c r="Y287" s="11"/>
    </row>
    <row r="288" customFormat="false" ht="15" hidden="false" customHeight="false" outlineLevel="0" collapsed="false">
      <c r="A288" s="11"/>
      <c r="B288" s="11"/>
      <c r="C288" s="11"/>
      <c r="D288" s="11"/>
      <c r="E288" s="12" t="str">
        <f aca="false">IF(D288="","",IF(OR(D288="MEI",D288="ME",D288="EPP",D288="Cooperativa",D288="PF autônoma"),"S","N"))</f>
        <v/>
      </c>
      <c r="F288" s="11"/>
      <c r="G288" s="11"/>
      <c r="H288" s="11"/>
      <c r="I288" s="11"/>
      <c r="J288" s="11"/>
      <c r="K288" s="11"/>
      <c r="L288" s="11"/>
      <c r="M288" s="13"/>
      <c r="N288" s="14" t="str">
        <f aca="false">IF(M288="","",EDATE(M288,Parâmetros!$B$12))</f>
        <v/>
      </c>
      <c r="O288" s="11"/>
      <c r="P288" s="13"/>
      <c r="Q288" s="13"/>
      <c r="R288" s="13"/>
      <c r="S288" s="13"/>
      <c r="T288" s="12" t="str">
        <f aca="true">IF(A288="","",IF(OR(AND(P288&lt;&gt;"",P288&lt;=TODAY()+Parâmetros!$B$13),AND(Q288&lt;&gt;"",Q288&lt;=TODAY()+Parâmetros!$B$13),AND(R288&lt;&gt;"",R288&lt;=TODAY()+Parâmetros!$B$13),AND(S288&lt;&gt;"",S288&lt;=TODAY()+Parâmetros!$B$13)),"RENOVAR","OK"))</f>
        <v/>
      </c>
      <c r="U288" s="12" t="str">
        <f aca="false">IF(A288="","",COUNTIF(Contratações!$I$5:$I$504,A288))</f>
        <v/>
      </c>
      <c r="V288" s="15" t="str">
        <f aca="false">IF(A288="","",SUMIF(Contratações!$I$5:$I$504,A288,Contratações!$N$5:$N$504))</f>
        <v/>
      </c>
      <c r="W288" s="16" t="str">
        <f aca="false">IF(A288="","",IFERROR(AVERAGEIFS(Contratações!$R$5:$R$504,Contratações!$I$5:$I$504,A288,Contratações!$R$5:$R$504,"&gt;0"),""))</f>
        <v/>
      </c>
      <c r="X288" s="14" t="str">
        <f aca="false">IF(A288="","",IF(U288=0,"nunca",_xlfn.MAXIFS(Contratações!$O$5:$O$504,Contratações!$I$5:$I$504,A288)))</f>
        <v/>
      </c>
      <c r="Y288" s="11"/>
    </row>
    <row r="289" customFormat="false" ht="15" hidden="false" customHeight="false" outlineLevel="0" collapsed="false">
      <c r="A289" s="11"/>
      <c r="B289" s="11"/>
      <c r="C289" s="11"/>
      <c r="D289" s="11"/>
      <c r="E289" s="12" t="str">
        <f aca="false">IF(D289="","",IF(OR(D289="MEI",D289="ME",D289="EPP",D289="Cooperativa",D289="PF autônoma"),"S","N"))</f>
        <v/>
      </c>
      <c r="F289" s="11"/>
      <c r="G289" s="11"/>
      <c r="H289" s="11"/>
      <c r="I289" s="11"/>
      <c r="J289" s="11"/>
      <c r="K289" s="11"/>
      <c r="L289" s="11"/>
      <c r="M289" s="13"/>
      <c r="N289" s="14" t="str">
        <f aca="false">IF(M289="","",EDATE(M289,Parâmetros!$B$12))</f>
        <v/>
      </c>
      <c r="O289" s="11"/>
      <c r="P289" s="13"/>
      <c r="Q289" s="13"/>
      <c r="R289" s="13"/>
      <c r="S289" s="13"/>
      <c r="T289" s="12" t="str">
        <f aca="true">IF(A289="","",IF(OR(AND(P289&lt;&gt;"",P289&lt;=TODAY()+Parâmetros!$B$13),AND(Q289&lt;&gt;"",Q289&lt;=TODAY()+Parâmetros!$B$13),AND(R289&lt;&gt;"",R289&lt;=TODAY()+Parâmetros!$B$13),AND(S289&lt;&gt;"",S289&lt;=TODAY()+Parâmetros!$B$13)),"RENOVAR","OK"))</f>
        <v/>
      </c>
      <c r="U289" s="12" t="str">
        <f aca="false">IF(A289="","",COUNTIF(Contratações!$I$5:$I$504,A289))</f>
        <v/>
      </c>
      <c r="V289" s="15" t="str">
        <f aca="false">IF(A289="","",SUMIF(Contratações!$I$5:$I$504,A289,Contratações!$N$5:$N$504))</f>
        <v/>
      </c>
      <c r="W289" s="16" t="str">
        <f aca="false">IF(A289="","",IFERROR(AVERAGEIFS(Contratações!$R$5:$R$504,Contratações!$I$5:$I$504,A289,Contratações!$R$5:$R$504,"&gt;0"),""))</f>
        <v/>
      </c>
      <c r="X289" s="14" t="str">
        <f aca="false">IF(A289="","",IF(U289=0,"nunca",_xlfn.MAXIFS(Contratações!$O$5:$O$504,Contratações!$I$5:$I$504,A289)))</f>
        <v/>
      </c>
      <c r="Y289" s="11"/>
    </row>
    <row r="290" customFormat="false" ht="15" hidden="false" customHeight="false" outlineLevel="0" collapsed="false">
      <c r="A290" s="11"/>
      <c r="B290" s="11"/>
      <c r="C290" s="11"/>
      <c r="D290" s="11"/>
      <c r="E290" s="12" t="str">
        <f aca="false">IF(D290="","",IF(OR(D290="MEI",D290="ME",D290="EPP",D290="Cooperativa",D290="PF autônoma"),"S","N"))</f>
        <v/>
      </c>
      <c r="F290" s="11"/>
      <c r="G290" s="11"/>
      <c r="H290" s="11"/>
      <c r="I290" s="11"/>
      <c r="J290" s="11"/>
      <c r="K290" s="11"/>
      <c r="L290" s="11"/>
      <c r="M290" s="13"/>
      <c r="N290" s="14" t="str">
        <f aca="false">IF(M290="","",EDATE(M290,Parâmetros!$B$12))</f>
        <v/>
      </c>
      <c r="O290" s="11"/>
      <c r="P290" s="13"/>
      <c r="Q290" s="13"/>
      <c r="R290" s="13"/>
      <c r="S290" s="13"/>
      <c r="T290" s="12" t="str">
        <f aca="true">IF(A290="","",IF(OR(AND(P290&lt;&gt;"",P290&lt;=TODAY()+Parâmetros!$B$13),AND(Q290&lt;&gt;"",Q290&lt;=TODAY()+Parâmetros!$B$13),AND(R290&lt;&gt;"",R290&lt;=TODAY()+Parâmetros!$B$13),AND(S290&lt;&gt;"",S290&lt;=TODAY()+Parâmetros!$B$13)),"RENOVAR","OK"))</f>
        <v/>
      </c>
      <c r="U290" s="12" t="str">
        <f aca="false">IF(A290="","",COUNTIF(Contratações!$I$5:$I$504,A290))</f>
        <v/>
      </c>
      <c r="V290" s="15" t="str">
        <f aca="false">IF(A290="","",SUMIF(Contratações!$I$5:$I$504,A290,Contratações!$N$5:$N$504))</f>
        <v/>
      </c>
      <c r="W290" s="16" t="str">
        <f aca="false">IF(A290="","",IFERROR(AVERAGEIFS(Contratações!$R$5:$R$504,Contratações!$I$5:$I$504,A290,Contratações!$R$5:$R$504,"&gt;0"),""))</f>
        <v/>
      </c>
      <c r="X290" s="14" t="str">
        <f aca="false">IF(A290="","",IF(U290=0,"nunca",_xlfn.MAXIFS(Contratações!$O$5:$O$504,Contratações!$I$5:$I$504,A290)))</f>
        <v/>
      </c>
      <c r="Y290" s="11"/>
    </row>
    <row r="291" customFormat="false" ht="15" hidden="false" customHeight="false" outlineLevel="0" collapsed="false">
      <c r="A291" s="11"/>
      <c r="B291" s="11"/>
      <c r="C291" s="11"/>
      <c r="D291" s="11"/>
      <c r="E291" s="12" t="str">
        <f aca="false">IF(D291="","",IF(OR(D291="MEI",D291="ME",D291="EPP",D291="Cooperativa",D291="PF autônoma"),"S","N"))</f>
        <v/>
      </c>
      <c r="F291" s="11"/>
      <c r="G291" s="11"/>
      <c r="H291" s="11"/>
      <c r="I291" s="11"/>
      <c r="J291" s="11"/>
      <c r="K291" s="11"/>
      <c r="L291" s="11"/>
      <c r="M291" s="13"/>
      <c r="N291" s="14" t="str">
        <f aca="false">IF(M291="","",EDATE(M291,Parâmetros!$B$12))</f>
        <v/>
      </c>
      <c r="O291" s="11"/>
      <c r="P291" s="13"/>
      <c r="Q291" s="13"/>
      <c r="R291" s="13"/>
      <c r="S291" s="13"/>
      <c r="T291" s="12" t="str">
        <f aca="true">IF(A291="","",IF(OR(AND(P291&lt;&gt;"",P291&lt;=TODAY()+Parâmetros!$B$13),AND(Q291&lt;&gt;"",Q291&lt;=TODAY()+Parâmetros!$B$13),AND(R291&lt;&gt;"",R291&lt;=TODAY()+Parâmetros!$B$13),AND(S291&lt;&gt;"",S291&lt;=TODAY()+Parâmetros!$B$13)),"RENOVAR","OK"))</f>
        <v/>
      </c>
      <c r="U291" s="12" t="str">
        <f aca="false">IF(A291="","",COUNTIF(Contratações!$I$5:$I$504,A291))</f>
        <v/>
      </c>
      <c r="V291" s="15" t="str">
        <f aca="false">IF(A291="","",SUMIF(Contratações!$I$5:$I$504,A291,Contratações!$N$5:$N$504))</f>
        <v/>
      </c>
      <c r="W291" s="16" t="str">
        <f aca="false">IF(A291="","",IFERROR(AVERAGEIFS(Contratações!$R$5:$R$504,Contratações!$I$5:$I$504,A291,Contratações!$R$5:$R$504,"&gt;0"),""))</f>
        <v/>
      </c>
      <c r="X291" s="14" t="str">
        <f aca="false">IF(A291="","",IF(U291=0,"nunca",_xlfn.MAXIFS(Contratações!$O$5:$O$504,Contratações!$I$5:$I$504,A291)))</f>
        <v/>
      </c>
      <c r="Y291" s="11"/>
    </row>
    <row r="292" customFormat="false" ht="15" hidden="false" customHeight="false" outlineLevel="0" collapsed="false">
      <c r="A292" s="11"/>
      <c r="B292" s="11"/>
      <c r="C292" s="11"/>
      <c r="D292" s="11"/>
      <c r="E292" s="12" t="str">
        <f aca="false">IF(D292="","",IF(OR(D292="MEI",D292="ME",D292="EPP",D292="Cooperativa",D292="PF autônoma"),"S","N"))</f>
        <v/>
      </c>
      <c r="F292" s="11"/>
      <c r="G292" s="11"/>
      <c r="H292" s="11"/>
      <c r="I292" s="11"/>
      <c r="J292" s="11"/>
      <c r="K292" s="11"/>
      <c r="L292" s="11"/>
      <c r="M292" s="13"/>
      <c r="N292" s="14" t="str">
        <f aca="false">IF(M292="","",EDATE(M292,Parâmetros!$B$12))</f>
        <v/>
      </c>
      <c r="O292" s="11"/>
      <c r="P292" s="13"/>
      <c r="Q292" s="13"/>
      <c r="R292" s="13"/>
      <c r="S292" s="13"/>
      <c r="T292" s="12" t="str">
        <f aca="true">IF(A292="","",IF(OR(AND(P292&lt;&gt;"",P292&lt;=TODAY()+Parâmetros!$B$13),AND(Q292&lt;&gt;"",Q292&lt;=TODAY()+Parâmetros!$B$13),AND(R292&lt;&gt;"",R292&lt;=TODAY()+Parâmetros!$B$13),AND(S292&lt;&gt;"",S292&lt;=TODAY()+Parâmetros!$B$13)),"RENOVAR","OK"))</f>
        <v/>
      </c>
      <c r="U292" s="12" t="str">
        <f aca="false">IF(A292="","",COUNTIF(Contratações!$I$5:$I$504,A292))</f>
        <v/>
      </c>
      <c r="V292" s="15" t="str">
        <f aca="false">IF(A292="","",SUMIF(Contratações!$I$5:$I$504,A292,Contratações!$N$5:$N$504))</f>
        <v/>
      </c>
      <c r="W292" s="16" t="str">
        <f aca="false">IF(A292="","",IFERROR(AVERAGEIFS(Contratações!$R$5:$R$504,Contratações!$I$5:$I$504,A292,Contratações!$R$5:$R$504,"&gt;0"),""))</f>
        <v/>
      </c>
      <c r="X292" s="14" t="str">
        <f aca="false">IF(A292="","",IF(U292=0,"nunca",_xlfn.MAXIFS(Contratações!$O$5:$O$504,Contratações!$I$5:$I$504,A292)))</f>
        <v/>
      </c>
      <c r="Y292" s="11"/>
    </row>
    <row r="293" customFormat="false" ht="15" hidden="false" customHeight="false" outlineLevel="0" collapsed="false">
      <c r="A293" s="11"/>
      <c r="B293" s="11"/>
      <c r="C293" s="11"/>
      <c r="D293" s="11"/>
      <c r="E293" s="12" t="str">
        <f aca="false">IF(D293="","",IF(OR(D293="MEI",D293="ME",D293="EPP",D293="Cooperativa",D293="PF autônoma"),"S","N"))</f>
        <v/>
      </c>
      <c r="F293" s="11"/>
      <c r="G293" s="11"/>
      <c r="H293" s="11"/>
      <c r="I293" s="11"/>
      <c r="J293" s="11"/>
      <c r="K293" s="11"/>
      <c r="L293" s="11"/>
      <c r="M293" s="13"/>
      <c r="N293" s="14" t="str">
        <f aca="false">IF(M293="","",EDATE(M293,Parâmetros!$B$12))</f>
        <v/>
      </c>
      <c r="O293" s="11"/>
      <c r="P293" s="13"/>
      <c r="Q293" s="13"/>
      <c r="R293" s="13"/>
      <c r="S293" s="13"/>
      <c r="T293" s="12" t="str">
        <f aca="true">IF(A293="","",IF(OR(AND(P293&lt;&gt;"",P293&lt;=TODAY()+Parâmetros!$B$13),AND(Q293&lt;&gt;"",Q293&lt;=TODAY()+Parâmetros!$B$13),AND(R293&lt;&gt;"",R293&lt;=TODAY()+Parâmetros!$B$13),AND(S293&lt;&gt;"",S293&lt;=TODAY()+Parâmetros!$B$13)),"RENOVAR","OK"))</f>
        <v/>
      </c>
      <c r="U293" s="12" t="str">
        <f aca="false">IF(A293="","",COUNTIF(Contratações!$I$5:$I$504,A293))</f>
        <v/>
      </c>
      <c r="V293" s="15" t="str">
        <f aca="false">IF(A293="","",SUMIF(Contratações!$I$5:$I$504,A293,Contratações!$N$5:$N$504))</f>
        <v/>
      </c>
      <c r="W293" s="16" t="str">
        <f aca="false">IF(A293="","",IFERROR(AVERAGEIFS(Contratações!$R$5:$R$504,Contratações!$I$5:$I$504,A293,Contratações!$R$5:$R$504,"&gt;0"),""))</f>
        <v/>
      </c>
      <c r="X293" s="14" t="str">
        <f aca="false">IF(A293="","",IF(U293=0,"nunca",_xlfn.MAXIFS(Contratações!$O$5:$O$504,Contratações!$I$5:$I$504,A293)))</f>
        <v/>
      </c>
      <c r="Y293" s="11"/>
    </row>
    <row r="294" customFormat="false" ht="15" hidden="false" customHeight="false" outlineLevel="0" collapsed="false">
      <c r="A294" s="11"/>
      <c r="B294" s="11"/>
      <c r="C294" s="11"/>
      <c r="D294" s="11"/>
      <c r="E294" s="12" t="str">
        <f aca="false">IF(D294="","",IF(OR(D294="MEI",D294="ME",D294="EPP",D294="Cooperativa",D294="PF autônoma"),"S","N"))</f>
        <v/>
      </c>
      <c r="F294" s="11"/>
      <c r="G294" s="11"/>
      <c r="H294" s="11"/>
      <c r="I294" s="11"/>
      <c r="J294" s="11"/>
      <c r="K294" s="11"/>
      <c r="L294" s="11"/>
      <c r="M294" s="13"/>
      <c r="N294" s="14" t="str">
        <f aca="false">IF(M294="","",EDATE(M294,Parâmetros!$B$12))</f>
        <v/>
      </c>
      <c r="O294" s="11"/>
      <c r="P294" s="13"/>
      <c r="Q294" s="13"/>
      <c r="R294" s="13"/>
      <c r="S294" s="13"/>
      <c r="T294" s="12" t="str">
        <f aca="true">IF(A294="","",IF(OR(AND(P294&lt;&gt;"",P294&lt;=TODAY()+Parâmetros!$B$13),AND(Q294&lt;&gt;"",Q294&lt;=TODAY()+Parâmetros!$B$13),AND(R294&lt;&gt;"",R294&lt;=TODAY()+Parâmetros!$B$13),AND(S294&lt;&gt;"",S294&lt;=TODAY()+Parâmetros!$B$13)),"RENOVAR","OK"))</f>
        <v/>
      </c>
      <c r="U294" s="12" t="str">
        <f aca="false">IF(A294="","",COUNTIF(Contratações!$I$5:$I$504,A294))</f>
        <v/>
      </c>
      <c r="V294" s="15" t="str">
        <f aca="false">IF(A294="","",SUMIF(Contratações!$I$5:$I$504,A294,Contratações!$N$5:$N$504))</f>
        <v/>
      </c>
      <c r="W294" s="16" t="str">
        <f aca="false">IF(A294="","",IFERROR(AVERAGEIFS(Contratações!$R$5:$R$504,Contratações!$I$5:$I$504,A294,Contratações!$R$5:$R$504,"&gt;0"),""))</f>
        <v/>
      </c>
      <c r="X294" s="14" t="str">
        <f aca="false">IF(A294="","",IF(U294=0,"nunca",_xlfn.MAXIFS(Contratações!$O$5:$O$504,Contratações!$I$5:$I$504,A294)))</f>
        <v/>
      </c>
      <c r="Y294" s="11"/>
    </row>
    <row r="295" customFormat="false" ht="15" hidden="false" customHeight="false" outlineLevel="0" collapsed="false">
      <c r="A295" s="11"/>
      <c r="B295" s="11"/>
      <c r="C295" s="11"/>
      <c r="D295" s="11"/>
      <c r="E295" s="12" t="str">
        <f aca="false">IF(D295="","",IF(OR(D295="MEI",D295="ME",D295="EPP",D295="Cooperativa",D295="PF autônoma"),"S","N"))</f>
        <v/>
      </c>
      <c r="F295" s="11"/>
      <c r="G295" s="11"/>
      <c r="H295" s="11"/>
      <c r="I295" s="11"/>
      <c r="J295" s="11"/>
      <c r="K295" s="11"/>
      <c r="L295" s="11"/>
      <c r="M295" s="13"/>
      <c r="N295" s="14" t="str">
        <f aca="false">IF(M295="","",EDATE(M295,Parâmetros!$B$12))</f>
        <v/>
      </c>
      <c r="O295" s="11"/>
      <c r="P295" s="13"/>
      <c r="Q295" s="13"/>
      <c r="R295" s="13"/>
      <c r="S295" s="13"/>
      <c r="T295" s="12" t="str">
        <f aca="true">IF(A295="","",IF(OR(AND(P295&lt;&gt;"",P295&lt;=TODAY()+Parâmetros!$B$13),AND(Q295&lt;&gt;"",Q295&lt;=TODAY()+Parâmetros!$B$13),AND(R295&lt;&gt;"",R295&lt;=TODAY()+Parâmetros!$B$13),AND(S295&lt;&gt;"",S295&lt;=TODAY()+Parâmetros!$B$13)),"RENOVAR","OK"))</f>
        <v/>
      </c>
      <c r="U295" s="12" t="str">
        <f aca="false">IF(A295="","",COUNTIF(Contratações!$I$5:$I$504,A295))</f>
        <v/>
      </c>
      <c r="V295" s="15" t="str">
        <f aca="false">IF(A295="","",SUMIF(Contratações!$I$5:$I$504,A295,Contratações!$N$5:$N$504))</f>
        <v/>
      </c>
      <c r="W295" s="16" t="str">
        <f aca="false">IF(A295="","",IFERROR(AVERAGEIFS(Contratações!$R$5:$R$504,Contratações!$I$5:$I$504,A295,Contratações!$R$5:$R$504,"&gt;0"),""))</f>
        <v/>
      </c>
      <c r="X295" s="14" t="str">
        <f aca="false">IF(A295="","",IF(U295=0,"nunca",_xlfn.MAXIFS(Contratações!$O$5:$O$504,Contratações!$I$5:$I$504,A295)))</f>
        <v/>
      </c>
      <c r="Y295" s="11"/>
    </row>
    <row r="296" customFormat="false" ht="15" hidden="false" customHeight="false" outlineLevel="0" collapsed="false">
      <c r="A296" s="11"/>
      <c r="B296" s="11"/>
      <c r="C296" s="11"/>
      <c r="D296" s="11"/>
      <c r="E296" s="12" t="str">
        <f aca="false">IF(D296="","",IF(OR(D296="MEI",D296="ME",D296="EPP",D296="Cooperativa",D296="PF autônoma"),"S","N"))</f>
        <v/>
      </c>
      <c r="F296" s="11"/>
      <c r="G296" s="11"/>
      <c r="H296" s="11"/>
      <c r="I296" s="11"/>
      <c r="J296" s="11"/>
      <c r="K296" s="11"/>
      <c r="L296" s="11"/>
      <c r="M296" s="13"/>
      <c r="N296" s="14" t="str">
        <f aca="false">IF(M296="","",EDATE(M296,Parâmetros!$B$12))</f>
        <v/>
      </c>
      <c r="O296" s="11"/>
      <c r="P296" s="13"/>
      <c r="Q296" s="13"/>
      <c r="R296" s="13"/>
      <c r="S296" s="13"/>
      <c r="T296" s="12" t="str">
        <f aca="true">IF(A296="","",IF(OR(AND(P296&lt;&gt;"",P296&lt;=TODAY()+Parâmetros!$B$13),AND(Q296&lt;&gt;"",Q296&lt;=TODAY()+Parâmetros!$B$13),AND(R296&lt;&gt;"",R296&lt;=TODAY()+Parâmetros!$B$13),AND(S296&lt;&gt;"",S296&lt;=TODAY()+Parâmetros!$B$13)),"RENOVAR","OK"))</f>
        <v/>
      </c>
      <c r="U296" s="12" t="str">
        <f aca="false">IF(A296="","",COUNTIF(Contratações!$I$5:$I$504,A296))</f>
        <v/>
      </c>
      <c r="V296" s="15" t="str">
        <f aca="false">IF(A296="","",SUMIF(Contratações!$I$5:$I$504,A296,Contratações!$N$5:$N$504))</f>
        <v/>
      </c>
      <c r="W296" s="16" t="str">
        <f aca="false">IF(A296="","",IFERROR(AVERAGEIFS(Contratações!$R$5:$R$504,Contratações!$I$5:$I$504,A296,Contratações!$R$5:$R$504,"&gt;0"),""))</f>
        <v/>
      </c>
      <c r="X296" s="14" t="str">
        <f aca="false">IF(A296="","",IF(U296=0,"nunca",_xlfn.MAXIFS(Contratações!$O$5:$O$504,Contratações!$I$5:$I$504,A296)))</f>
        <v/>
      </c>
      <c r="Y296" s="11"/>
    </row>
    <row r="297" customFormat="false" ht="15" hidden="false" customHeight="false" outlineLevel="0" collapsed="false">
      <c r="A297" s="11"/>
      <c r="B297" s="11"/>
      <c r="C297" s="11"/>
      <c r="D297" s="11"/>
      <c r="E297" s="12" t="str">
        <f aca="false">IF(D297="","",IF(OR(D297="MEI",D297="ME",D297="EPP",D297="Cooperativa",D297="PF autônoma"),"S","N"))</f>
        <v/>
      </c>
      <c r="F297" s="11"/>
      <c r="G297" s="11"/>
      <c r="H297" s="11"/>
      <c r="I297" s="11"/>
      <c r="J297" s="11"/>
      <c r="K297" s="11"/>
      <c r="L297" s="11"/>
      <c r="M297" s="13"/>
      <c r="N297" s="14" t="str">
        <f aca="false">IF(M297="","",EDATE(M297,Parâmetros!$B$12))</f>
        <v/>
      </c>
      <c r="O297" s="11"/>
      <c r="P297" s="13"/>
      <c r="Q297" s="13"/>
      <c r="R297" s="13"/>
      <c r="S297" s="13"/>
      <c r="T297" s="12" t="str">
        <f aca="true">IF(A297="","",IF(OR(AND(P297&lt;&gt;"",P297&lt;=TODAY()+Parâmetros!$B$13),AND(Q297&lt;&gt;"",Q297&lt;=TODAY()+Parâmetros!$B$13),AND(R297&lt;&gt;"",R297&lt;=TODAY()+Parâmetros!$B$13),AND(S297&lt;&gt;"",S297&lt;=TODAY()+Parâmetros!$B$13)),"RENOVAR","OK"))</f>
        <v/>
      </c>
      <c r="U297" s="12" t="str">
        <f aca="false">IF(A297="","",COUNTIF(Contratações!$I$5:$I$504,A297))</f>
        <v/>
      </c>
      <c r="V297" s="15" t="str">
        <f aca="false">IF(A297="","",SUMIF(Contratações!$I$5:$I$504,A297,Contratações!$N$5:$N$504))</f>
        <v/>
      </c>
      <c r="W297" s="16" t="str">
        <f aca="false">IF(A297="","",IFERROR(AVERAGEIFS(Contratações!$R$5:$R$504,Contratações!$I$5:$I$504,A297,Contratações!$R$5:$R$504,"&gt;0"),""))</f>
        <v/>
      </c>
      <c r="X297" s="14" t="str">
        <f aca="false">IF(A297="","",IF(U297=0,"nunca",_xlfn.MAXIFS(Contratações!$O$5:$O$504,Contratações!$I$5:$I$504,A297)))</f>
        <v/>
      </c>
      <c r="Y297" s="11"/>
    </row>
    <row r="298" customFormat="false" ht="15" hidden="false" customHeight="false" outlineLevel="0" collapsed="false">
      <c r="A298" s="11"/>
      <c r="B298" s="11"/>
      <c r="C298" s="11"/>
      <c r="D298" s="11"/>
      <c r="E298" s="12" t="str">
        <f aca="false">IF(D298="","",IF(OR(D298="MEI",D298="ME",D298="EPP",D298="Cooperativa",D298="PF autônoma"),"S","N"))</f>
        <v/>
      </c>
      <c r="F298" s="11"/>
      <c r="G298" s="11"/>
      <c r="H298" s="11"/>
      <c r="I298" s="11"/>
      <c r="J298" s="11"/>
      <c r="K298" s="11"/>
      <c r="L298" s="11"/>
      <c r="M298" s="13"/>
      <c r="N298" s="14" t="str">
        <f aca="false">IF(M298="","",EDATE(M298,Parâmetros!$B$12))</f>
        <v/>
      </c>
      <c r="O298" s="11"/>
      <c r="P298" s="13"/>
      <c r="Q298" s="13"/>
      <c r="R298" s="13"/>
      <c r="S298" s="13"/>
      <c r="T298" s="12" t="str">
        <f aca="true">IF(A298="","",IF(OR(AND(P298&lt;&gt;"",P298&lt;=TODAY()+Parâmetros!$B$13),AND(Q298&lt;&gt;"",Q298&lt;=TODAY()+Parâmetros!$B$13),AND(R298&lt;&gt;"",R298&lt;=TODAY()+Parâmetros!$B$13),AND(S298&lt;&gt;"",S298&lt;=TODAY()+Parâmetros!$B$13)),"RENOVAR","OK"))</f>
        <v/>
      </c>
      <c r="U298" s="12" t="str">
        <f aca="false">IF(A298="","",COUNTIF(Contratações!$I$5:$I$504,A298))</f>
        <v/>
      </c>
      <c r="V298" s="15" t="str">
        <f aca="false">IF(A298="","",SUMIF(Contratações!$I$5:$I$504,A298,Contratações!$N$5:$N$504))</f>
        <v/>
      </c>
      <c r="W298" s="16" t="str">
        <f aca="false">IF(A298="","",IFERROR(AVERAGEIFS(Contratações!$R$5:$R$504,Contratações!$I$5:$I$504,A298,Contratações!$R$5:$R$504,"&gt;0"),""))</f>
        <v/>
      </c>
      <c r="X298" s="14" t="str">
        <f aca="false">IF(A298="","",IF(U298=0,"nunca",_xlfn.MAXIFS(Contratações!$O$5:$O$504,Contratações!$I$5:$I$504,A298)))</f>
        <v/>
      </c>
      <c r="Y298" s="11"/>
    </row>
    <row r="299" customFormat="false" ht="15" hidden="false" customHeight="false" outlineLevel="0" collapsed="false">
      <c r="A299" s="11"/>
      <c r="B299" s="11"/>
      <c r="C299" s="11"/>
      <c r="D299" s="11"/>
      <c r="E299" s="12" t="str">
        <f aca="false">IF(D299="","",IF(OR(D299="MEI",D299="ME",D299="EPP",D299="Cooperativa",D299="PF autônoma"),"S","N"))</f>
        <v/>
      </c>
      <c r="F299" s="11"/>
      <c r="G299" s="11"/>
      <c r="H299" s="11"/>
      <c r="I299" s="11"/>
      <c r="J299" s="11"/>
      <c r="K299" s="11"/>
      <c r="L299" s="11"/>
      <c r="M299" s="13"/>
      <c r="N299" s="14" t="str">
        <f aca="false">IF(M299="","",EDATE(M299,Parâmetros!$B$12))</f>
        <v/>
      </c>
      <c r="O299" s="11"/>
      <c r="P299" s="13"/>
      <c r="Q299" s="13"/>
      <c r="R299" s="13"/>
      <c r="S299" s="13"/>
      <c r="T299" s="12" t="str">
        <f aca="true">IF(A299="","",IF(OR(AND(P299&lt;&gt;"",P299&lt;=TODAY()+Parâmetros!$B$13),AND(Q299&lt;&gt;"",Q299&lt;=TODAY()+Parâmetros!$B$13),AND(R299&lt;&gt;"",R299&lt;=TODAY()+Parâmetros!$B$13),AND(S299&lt;&gt;"",S299&lt;=TODAY()+Parâmetros!$B$13)),"RENOVAR","OK"))</f>
        <v/>
      </c>
      <c r="U299" s="12" t="str">
        <f aca="false">IF(A299="","",COUNTIF(Contratações!$I$5:$I$504,A299))</f>
        <v/>
      </c>
      <c r="V299" s="15" t="str">
        <f aca="false">IF(A299="","",SUMIF(Contratações!$I$5:$I$504,A299,Contratações!$N$5:$N$504))</f>
        <v/>
      </c>
      <c r="W299" s="16" t="str">
        <f aca="false">IF(A299="","",IFERROR(AVERAGEIFS(Contratações!$R$5:$R$504,Contratações!$I$5:$I$504,A299,Contratações!$R$5:$R$504,"&gt;0"),""))</f>
        <v/>
      </c>
      <c r="X299" s="14" t="str">
        <f aca="false">IF(A299="","",IF(U299=0,"nunca",_xlfn.MAXIFS(Contratações!$O$5:$O$504,Contratações!$I$5:$I$504,A299)))</f>
        <v/>
      </c>
      <c r="Y299" s="11"/>
    </row>
    <row r="300" customFormat="false" ht="15" hidden="false" customHeight="false" outlineLevel="0" collapsed="false">
      <c r="A300" s="11"/>
      <c r="B300" s="11"/>
      <c r="C300" s="11"/>
      <c r="D300" s="11"/>
      <c r="E300" s="12" t="str">
        <f aca="false">IF(D300="","",IF(OR(D300="MEI",D300="ME",D300="EPP",D300="Cooperativa",D300="PF autônoma"),"S","N"))</f>
        <v/>
      </c>
      <c r="F300" s="11"/>
      <c r="G300" s="11"/>
      <c r="H300" s="11"/>
      <c r="I300" s="11"/>
      <c r="J300" s="11"/>
      <c r="K300" s="11"/>
      <c r="L300" s="11"/>
      <c r="M300" s="13"/>
      <c r="N300" s="14" t="str">
        <f aca="false">IF(M300="","",EDATE(M300,Parâmetros!$B$12))</f>
        <v/>
      </c>
      <c r="O300" s="11"/>
      <c r="P300" s="13"/>
      <c r="Q300" s="13"/>
      <c r="R300" s="13"/>
      <c r="S300" s="13"/>
      <c r="T300" s="12" t="str">
        <f aca="true">IF(A300="","",IF(OR(AND(P300&lt;&gt;"",P300&lt;=TODAY()+Parâmetros!$B$13),AND(Q300&lt;&gt;"",Q300&lt;=TODAY()+Parâmetros!$B$13),AND(R300&lt;&gt;"",R300&lt;=TODAY()+Parâmetros!$B$13),AND(S300&lt;&gt;"",S300&lt;=TODAY()+Parâmetros!$B$13)),"RENOVAR","OK"))</f>
        <v/>
      </c>
      <c r="U300" s="12" t="str">
        <f aca="false">IF(A300="","",COUNTIF(Contratações!$I$5:$I$504,A300))</f>
        <v/>
      </c>
      <c r="V300" s="15" t="str">
        <f aca="false">IF(A300="","",SUMIF(Contratações!$I$5:$I$504,A300,Contratações!$N$5:$N$504))</f>
        <v/>
      </c>
      <c r="W300" s="16" t="str">
        <f aca="false">IF(A300="","",IFERROR(AVERAGEIFS(Contratações!$R$5:$R$504,Contratações!$I$5:$I$504,A300,Contratações!$R$5:$R$504,"&gt;0"),""))</f>
        <v/>
      </c>
      <c r="X300" s="14" t="str">
        <f aca="false">IF(A300="","",IF(U300=0,"nunca",_xlfn.MAXIFS(Contratações!$O$5:$O$504,Contratações!$I$5:$I$504,A300)))</f>
        <v/>
      </c>
      <c r="Y300" s="11"/>
    </row>
    <row r="301" customFormat="false" ht="15" hidden="false" customHeight="false" outlineLevel="0" collapsed="false">
      <c r="A301" s="11"/>
      <c r="B301" s="11"/>
      <c r="C301" s="11"/>
      <c r="D301" s="11"/>
      <c r="E301" s="12" t="str">
        <f aca="false">IF(D301="","",IF(OR(D301="MEI",D301="ME",D301="EPP",D301="Cooperativa",D301="PF autônoma"),"S","N"))</f>
        <v/>
      </c>
      <c r="F301" s="11"/>
      <c r="G301" s="11"/>
      <c r="H301" s="11"/>
      <c r="I301" s="11"/>
      <c r="J301" s="11"/>
      <c r="K301" s="11"/>
      <c r="L301" s="11"/>
      <c r="M301" s="13"/>
      <c r="N301" s="14" t="str">
        <f aca="false">IF(M301="","",EDATE(M301,Parâmetros!$B$12))</f>
        <v/>
      </c>
      <c r="O301" s="11"/>
      <c r="P301" s="13"/>
      <c r="Q301" s="13"/>
      <c r="R301" s="13"/>
      <c r="S301" s="13"/>
      <c r="T301" s="12" t="str">
        <f aca="true">IF(A301="","",IF(OR(AND(P301&lt;&gt;"",P301&lt;=TODAY()+Parâmetros!$B$13),AND(Q301&lt;&gt;"",Q301&lt;=TODAY()+Parâmetros!$B$13),AND(R301&lt;&gt;"",R301&lt;=TODAY()+Parâmetros!$B$13),AND(S301&lt;&gt;"",S301&lt;=TODAY()+Parâmetros!$B$13)),"RENOVAR","OK"))</f>
        <v/>
      </c>
      <c r="U301" s="12" t="str">
        <f aca="false">IF(A301="","",COUNTIF(Contratações!$I$5:$I$504,A301))</f>
        <v/>
      </c>
      <c r="V301" s="15" t="str">
        <f aca="false">IF(A301="","",SUMIF(Contratações!$I$5:$I$504,A301,Contratações!$N$5:$N$504))</f>
        <v/>
      </c>
      <c r="W301" s="16" t="str">
        <f aca="false">IF(A301="","",IFERROR(AVERAGEIFS(Contratações!$R$5:$R$504,Contratações!$I$5:$I$504,A301,Contratações!$R$5:$R$504,"&gt;0"),""))</f>
        <v/>
      </c>
      <c r="X301" s="14" t="str">
        <f aca="false">IF(A301="","",IF(U301=0,"nunca",_xlfn.MAXIFS(Contratações!$O$5:$O$504,Contratações!$I$5:$I$504,A301)))</f>
        <v/>
      </c>
      <c r="Y301" s="11"/>
    </row>
    <row r="302" customFormat="false" ht="15" hidden="false" customHeight="false" outlineLevel="0" collapsed="false">
      <c r="A302" s="11"/>
      <c r="B302" s="11"/>
      <c r="C302" s="11"/>
      <c r="D302" s="11"/>
      <c r="E302" s="12" t="str">
        <f aca="false">IF(D302="","",IF(OR(D302="MEI",D302="ME",D302="EPP",D302="Cooperativa",D302="PF autônoma"),"S","N"))</f>
        <v/>
      </c>
      <c r="F302" s="11"/>
      <c r="G302" s="11"/>
      <c r="H302" s="11"/>
      <c r="I302" s="11"/>
      <c r="J302" s="11"/>
      <c r="K302" s="11"/>
      <c r="L302" s="11"/>
      <c r="M302" s="13"/>
      <c r="N302" s="14" t="str">
        <f aca="false">IF(M302="","",EDATE(M302,Parâmetros!$B$12))</f>
        <v/>
      </c>
      <c r="O302" s="11"/>
      <c r="P302" s="13"/>
      <c r="Q302" s="13"/>
      <c r="R302" s="13"/>
      <c r="S302" s="13"/>
      <c r="T302" s="12" t="str">
        <f aca="true">IF(A302="","",IF(OR(AND(P302&lt;&gt;"",P302&lt;=TODAY()+Parâmetros!$B$13),AND(Q302&lt;&gt;"",Q302&lt;=TODAY()+Parâmetros!$B$13),AND(R302&lt;&gt;"",R302&lt;=TODAY()+Parâmetros!$B$13),AND(S302&lt;&gt;"",S302&lt;=TODAY()+Parâmetros!$B$13)),"RENOVAR","OK"))</f>
        <v/>
      </c>
      <c r="U302" s="12" t="str">
        <f aca="false">IF(A302="","",COUNTIF(Contratações!$I$5:$I$504,A302))</f>
        <v/>
      </c>
      <c r="V302" s="15" t="str">
        <f aca="false">IF(A302="","",SUMIF(Contratações!$I$5:$I$504,A302,Contratações!$N$5:$N$504))</f>
        <v/>
      </c>
      <c r="W302" s="16" t="str">
        <f aca="false">IF(A302="","",IFERROR(AVERAGEIFS(Contratações!$R$5:$R$504,Contratações!$I$5:$I$504,A302,Contratações!$R$5:$R$504,"&gt;0"),""))</f>
        <v/>
      </c>
      <c r="X302" s="14" t="str">
        <f aca="false">IF(A302="","",IF(U302=0,"nunca",_xlfn.MAXIFS(Contratações!$O$5:$O$504,Contratações!$I$5:$I$504,A302)))</f>
        <v/>
      </c>
      <c r="Y302" s="11"/>
    </row>
    <row r="303" customFormat="false" ht="15" hidden="false" customHeight="false" outlineLevel="0" collapsed="false">
      <c r="A303" s="11"/>
      <c r="B303" s="11"/>
      <c r="C303" s="11"/>
      <c r="D303" s="11"/>
      <c r="E303" s="12" t="str">
        <f aca="false">IF(D303="","",IF(OR(D303="MEI",D303="ME",D303="EPP",D303="Cooperativa",D303="PF autônoma"),"S","N"))</f>
        <v/>
      </c>
      <c r="F303" s="11"/>
      <c r="G303" s="11"/>
      <c r="H303" s="11"/>
      <c r="I303" s="11"/>
      <c r="J303" s="11"/>
      <c r="K303" s="11"/>
      <c r="L303" s="11"/>
      <c r="M303" s="13"/>
      <c r="N303" s="14" t="str">
        <f aca="false">IF(M303="","",EDATE(M303,Parâmetros!$B$12))</f>
        <v/>
      </c>
      <c r="O303" s="11"/>
      <c r="P303" s="13"/>
      <c r="Q303" s="13"/>
      <c r="R303" s="13"/>
      <c r="S303" s="13"/>
      <c r="T303" s="12" t="str">
        <f aca="true">IF(A303="","",IF(OR(AND(P303&lt;&gt;"",P303&lt;=TODAY()+Parâmetros!$B$13),AND(Q303&lt;&gt;"",Q303&lt;=TODAY()+Parâmetros!$B$13),AND(R303&lt;&gt;"",R303&lt;=TODAY()+Parâmetros!$B$13),AND(S303&lt;&gt;"",S303&lt;=TODAY()+Parâmetros!$B$13)),"RENOVAR","OK"))</f>
        <v/>
      </c>
      <c r="U303" s="12" t="str">
        <f aca="false">IF(A303="","",COUNTIF(Contratações!$I$5:$I$504,A303))</f>
        <v/>
      </c>
      <c r="V303" s="15" t="str">
        <f aca="false">IF(A303="","",SUMIF(Contratações!$I$5:$I$504,A303,Contratações!$N$5:$N$504))</f>
        <v/>
      </c>
      <c r="W303" s="16" t="str">
        <f aca="false">IF(A303="","",IFERROR(AVERAGEIFS(Contratações!$R$5:$R$504,Contratações!$I$5:$I$504,A303,Contratações!$R$5:$R$504,"&gt;0"),""))</f>
        <v/>
      </c>
      <c r="X303" s="14" t="str">
        <f aca="false">IF(A303="","",IF(U303=0,"nunca",_xlfn.MAXIFS(Contratações!$O$5:$O$504,Contratações!$I$5:$I$504,A303)))</f>
        <v/>
      </c>
      <c r="Y303" s="11"/>
    </row>
    <row r="304" customFormat="false" ht="15" hidden="false" customHeight="false" outlineLevel="0" collapsed="false">
      <c r="A304" s="11"/>
      <c r="B304" s="11"/>
      <c r="C304" s="11"/>
      <c r="D304" s="11"/>
      <c r="E304" s="12" t="str">
        <f aca="false">IF(D304="","",IF(OR(D304="MEI",D304="ME",D304="EPP",D304="Cooperativa",D304="PF autônoma"),"S","N"))</f>
        <v/>
      </c>
      <c r="F304" s="11"/>
      <c r="G304" s="11"/>
      <c r="H304" s="11"/>
      <c r="I304" s="11"/>
      <c r="J304" s="11"/>
      <c r="K304" s="11"/>
      <c r="L304" s="11"/>
      <c r="M304" s="13"/>
      <c r="N304" s="14" t="str">
        <f aca="false">IF(M304="","",EDATE(M304,Parâmetros!$B$12))</f>
        <v/>
      </c>
      <c r="O304" s="11"/>
      <c r="P304" s="13"/>
      <c r="Q304" s="13"/>
      <c r="R304" s="13"/>
      <c r="S304" s="13"/>
      <c r="T304" s="12" t="str">
        <f aca="true">IF(A304="","",IF(OR(AND(P304&lt;&gt;"",P304&lt;=TODAY()+Parâmetros!$B$13),AND(Q304&lt;&gt;"",Q304&lt;=TODAY()+Parâmetros!$B$13),AND(R304&lt;&gt;"",R304&lt;=TODAY()+Parâmetros!$B$13),AND(S304&lt;&gt;"",S304&lt;=TODAY()+Parâmetros!$B$13)),"RENOVAR","OK"))</f>
        <v/>
      </c>
      <c r="U304" s="12" t="str">
        <f aca="false">IF(A304="","",COUNTIF(Contratações!$I$5:$I$504,A304))</f>
        <v/>
      </c>
      <c r="V304" s="15" t="str">
        <f aca="false">IF(A304="","",SUMIF(Contratações!$I$5:$I$504,A304,Contratações!$N$5:$N$504))</f>
        <v/>
      </c>
      <c r="W304" s="16" t="str">
        <f aca="false">IF(A304="","",IFERROR(AVERAGEIFS(Contratações!$R$5:$R$504,Contratações!$I$5:$I$504,A304,Contratações!$R$5:$R$504,"&gt;0"),""))</f>
        <v/>
      </c>
      <c r="X304" s="14" t="str">
        <f aca="false">IF(A304="","",IF(U304=0,"nunca",_xlfn.MAXIFS(Contratações!$O$5:$O$504,Contratações!$I$5:$I$504,A304)))</f>
        <v/>
      </c>
      <c r="Y304" s="11"/>
    </row>
  </sheetData>
  <conditionalFormatting sqref="T5:T304">
    <cfRule type="cellIs" priority="2" operator="equal" aboveAverage="0" equalAverage="0" bottom="0" percent="0" rank="0" text="" dxfId="0">
      <formula>"RENOVAR"</formula>
    </cfRule>
  </conditionalFormatting>
  <conditionalFormatting sqref="O5:O304">
    <cfRule type="cellIs" priority="3" operator="notEqual" aboveAverage="0" equalAverage="0" bottom="0" percent="0" rank="0" text="" dxfId="1">
      <formula>"Ativo"</formula>
    </cfRule>
  </conditionalFormatting>
  <dataValidations count="4">
    <dataValidation allowBlank="true" errorStyle="stop" operator="between" showDropDown="false" showErrorMessage="false" showInputMessage="false" sqref="D5:D304" type="list">
      <formula1>Parâmetros!$A$24:$A$29</formula1>
      <formula2>0</formula2>
    </dataValidation>
    <dataValidation allowBlank="true" errorStyle="stop" operator="between" showDropDown="false" showErrorMessage="false" showInputMessage="false" sqref="F5:G304" type="list">
      <formula1>"S,N"</formula1>
      <formula2>0</formula2>
    </dataValidation>
    <dataValidation allowBlank="true" errorStyle="stop" operator="between" showDropDown="false" showErrorMessage="false" showInputMessage="false" sqref="I5:I304" type="list">
      <formula1>"T1,T2,T3"</formula1>
      <formula2>0</formula2>
    </dataValidation>
    <dataValidation allowBlank="true" errorStyle="stop" operator="between" showDropDown="false" showErrorMessage="false" showInputMessage="false" sqref="O5:O304" type="list">
      <formula1>Parâmetros!$D$24:$D$28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23" min="3" style="0" width="11"/>
    <col collapsed="false" customWidth="true" hidden="false" outlineLevel="0" max="24" min="24" style="0" width="13"/>
    <col collapsed="false" customWidth="true" hidden="false" outlineLevel="0" max="25" min="25" style="0" width="14"/>
    <col collapsed="false" customWidth="true" hidden="false" outlineLevel="0" max="26" min="26" style="0" width="24"/>
  </cols>
  <sheetData>
    <row r="1" customFormat="false" ht="17.35" hidden="false" customHeight="false" outlineLevel="0" collapsed="false">
      <c r="A1" s="1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1.5" hidden="false" customHeight="true" outlineLevel="0" collapsed="false">
      <c r="A4" s="6" t="s">
        <v>125</v>
      </c>
      <c r="B4" s="6" t="s">
        <v>191</v>
      </c>
      <c r="C4" s="6" t="s">
        <v>192</v>
      </c>
      <c r="D4" s="6" t="s">
        <v>193</v>
      </c>
      <c r="E4" s="6" t="s">
        <v>194</v>
      </c>
      <c r="F4" s="6" t="s">
        <v>195</v>
      </c>
      <c r="G4" s="6" t="s">
        <v>196</v>
      </c>
      <c r="H4" s="6" t="s">
        <v>197</v>
      </c>
      <c r="I4" s="6" t="s">
        <v>198</v>
      </c>
      <c r="J4" s="6" t="s">
        <v>199</v>
      </c>
      <c r="K4" s="6" t="s">
        <v>200</v>
      </c>
      <c r="L4" s="6" t="s">
        <v>201</v>
      </c>
      <c r="M4" s="6" t="s">
        <v>202</v>
      </c>
      <c r="N4" s="6" t="s">
        <v>203</v>
      </c>
      <c r="O4" s="6" t="s">
        <v>204</v>
      </c>
      <c r="P4" s="6" t="s">
        <v>205</v>
      </c>
      <c r="Q4" s="6" t="s">
        <v>206</v>
      </c>
      <c r="R4" s="6" t="s">
        <v>207</v>
      </c>
      <c r="S4" s="6" t="s">
        <v>208</v>
      </c>
      <c r="T4" s="6" t="s">
        <v>209</v>
      </c>
      <c r="U4" s="6" t="s">
        <v>210</v>
      </c>
      <c r="V4" s="6" t="s">
        <v>211</v>
      </c>
      <c r="W4" s="6" t="s">
        <v>53</v>
      </c>
      <c r="X4" s="6" t="s">
        <v>212</v>
      </c>
      <c r="Y4" s="6" t="s">
        <v>213</v>
      </c>
      <c r="Z4" s="6" t="s">
        <v>148</v>
      </c>
    </row>
    <row r="5" customFormat="false" ht="15" hidden="false" customHeight="false" outlineLevel="0" collapsed="false">
      <c r="A5" s="11" t="s">
        <v>149</v>
      </c>
      <c r="B5" s="17" t="str">
        <f aca="false">IF(A5="","",IFERROR(INDEX(Cadastro!$B$5:$B$304,MATCH(A5,Cadastro!$A$5:$A$304,0)),"ID não encontrado"))</f>
        <v>Maria das Dores Lanches ME</v>
      </c>
      <c r="C5" s="18" t="s">
        <v>64</v>
      </c>
      <c r="D5" s="18" t="s">
        <v>214</v>
      </c>
      <c r="E5" s="18" t="s">
        <v>64</v>
      </c>
      <c r="F5" s="18" t="s">
        <v>64</v>
      </c>
      <c r="G5" s="18" t="s">
        <v>64</v>
      </c>
      <c r="H5" s="18" t="s">
        <v>64</v>
      </c>
      <c r="I5" s="18" t="s">
        <v>64</v>
      </c>
      <c r="J5" s="18" t="s">
        <v>64</v>
      </c>
      <c r="K5" s="18" t="s">
        <v>64</v>
      </c>
      <c r="L5" s="18" t="s">
        <v>64</v>
      </c>
      <c r="M5" s="18" t="s">
        <v>64</v>
      </c>
      <c r="N5" s="18" t="s">
        <v>214</v>
      </c>
      <c r="O5" s="18" t="s">
        <v>64</v>
      </c>
      <c r="P5" s="18" t="s">
        <v>64</v>
      </c>
      <c r="Q5" s="18" t="s">
        <v>64</v>
      </c>
      <c r="R5" s="18" t="s">
        <v>64</v>
      </c>
      <c r="S5" s="18" t="s">
        <v>64</v>
      </c>
      <c r="T5" s="18" t="s">
        <v>64</v>
      </c>
      <c r="U5" s="18" t="s">
        <v>64</v>
      </c>
      <c r="V5" s="2" t="n">
        <f aca="false">IF(A5="","",COUNTIF(C5:U5,"N"))</f>
        <v>0</v>
      </c>
      <c r="W5" s="2" t="str">
        <f aca="false">IF(A5="","",IF(V5=0,"Completo","Pendente"))</f>
        <v>Completo</v>
      </c>
      <c r="X5" s="11"/>
      <c r="Y5" s="11"/>
      <c r="Z5" s="11" t="s">
        <v>156</v>
      </c>
    </row>
    <row r="6" customFormat="false" ht="15" hidden="false" customHeight="false" outlineLevel="0" collapsed="false">
      <c r="A6" s="11" t="s">
        <v>157</v>
      </c>
      <c r="B6" s="17" t="str">
        <f aca="false">IF(A6="","",IFERROR(INDEX(Cadastro!$B$5:$B$304,MATCH(A6,Cadastro!$A$5:$A$304,0)),"ID não encontrado"))</f>
        <v>João Som &amp; Luz MEI</v>
      </c>
      <c r="C6" s="18" t="s">
        <v>64</v>
      </c>
      <c r="D6" s="18" t="s">
        <v>214</v>
      </c>
      <c r="E6" s="18" t="s">
        <v>64</v>
      </c>
      <c r="F6" s="18" t="s">
        <v>214</v>
      </c>
      <c r="G6" s="18" t="s">
        <v>64</v>
      </c>
      <c r="H6" s="18" t="s">
        <v>64</v>
      </c>
      <c r="I6" s="18" t="s">
        <v>64</v>
      </c>
      <c r="J6" s="18" t="s">
        <v>64</v>
      </c>
      <c r="K6" s="18" t="s">
        <v>64</v>
      </c>
      <c r="L6" s="18" t="s">
        <v>72</v>
      </c>
      <c r="M6" s="18" t="s">
        <v>214</v>
      </c>
      <c r="N6" s="18" t="s">
        <v>214</v>
      </c>
      <c r="O6" s="18" t="s">
        <v>64</v>
      </c>
      <c r="P6" s="18" t="s">
        <v>64</v>
      </c>
      <c r="Q6" s="18" t="s">
        <v>64</v>
      </c>
      <c r="R6" s="18" t="s">
        <v>64</v>
      </c>
      <c r="S6" s="18" t="s">
        <v>214</v>
      </c>
      <c r="T6" s="18" t="s">
        <v>64</v>
      </c>
      <c r="U6" s="18" t="s">
        <v>64</v>
      </c>
      <c r="V6" s="2" t="n">
        <f aca="false">IF(A6="","",COUNTIF(C6:U6,"N"))</f>
        <v>1</v>
      </c>
      <c r="W6" s="2" t="str">
        <f aca="false">IF(A6="","",IF(V6=0,"Completo","Pendente"))</f>
        <v>Pendente</v>
      </c>
      <c r="X6" s="11"/>
      <c r="Y6" s="11"/>
      <c r="Z6" s="11" t="s">
        <v>156</v>
      </c>
    </row>
    <row r="7" customFormat="false" ht="15" hidden="false" customHeight="false" outlineLevel="0" collapsed="false">
      <c r="A7" s="11"/>
      <c r="B7" s="17" t="str">
        <f aca="false">IF(A7="","",IFERROR(INDEX(Cadastro!$B$5:$B$304,MATCH(A7,Cadastro!$A$5:$A$304,0)),"ID não encontrado"))</f>
        <v/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2" t="str">
        <f aca="false">IF(A7="","",COUNTIF(C7:U7,"N"))</f>
        <v/>
      </c>
      <c r="W7" s="2" t="str">
        <f aca="false">IF(A7="","",IF(V7=0,"Completo","Pendente"))</f>
        <v/>
      </c>
      <c r="X7" s="11"/>
      <c r="Y7" s="11"/>
      <c r="Z7" s="11"/>
    </row>
    <row r="8" customFormat="false" ht="15" hidden="false" customHeight="false" outlineLevel="0" collapsed="false">
      <c r="A8" s="11"/>
      <c r="B8" s="17" t="str">
        <f aca="false">IF(A8="","",IFERROR(INDEX(Cadastro!$B$5:$B$304,MATCH(A8,Cadastro!$A$5:$A$304,0)),"ID não encontrado"))</f>
        <v/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2" t="str">
        <f aca="false">IF(A8="","",COUNTIF(C8:U8,"N"))</f>
        <v/>
      </c>
      <c r="W8" s="2" t="str">
        <f aca="false">IF(A8="","",IF(V8=0,"Completo","Pendente"))</f>
        <v/>
      </c>
      <c r="X8" s="11"/>
      <c r="Y8" s="11"/>
      <c r="Z8" s="11"/>
    </row>
    <row r="9" customFormat="false" ht="15" hidden="false" customHeight="false" outlineLevel="0" collapsed="false">
      <c r="A9" s="11"/>
      <c r="B9" s="17" t="str">
        <f aca="false">IF(A9="","",IFERROR(INDEX(Cadastro!$B$5:$B$304,MATCH(A9,Cadastro!$A$5:$A$304,0)),"ID não encontrado"))</f>
        <v/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2" t="str">
        <f aca="false">IF(A9="","",COUNTIF(C9:U9,"N"))</f>
        <v/>
      </c>
      <c r="W9" s="2" t="str">
        <f aca="false">IF(A9="","",IF(V9=0,"Completo","Pendente"))</f>
        <v/>
      </c>
      <c r="X9" s="11"/>
      <c r="Y9" s="11"/>
      <c r="Z9" s="11"/>
    </row>
    <row r="10" customFormat="false" ht="15" hidden="false" customHeight="false" outlineLevel="0" collapsed="false">
      <c r="A10" s="11"/>
      <c r="B10" s="17" t="str">
        <f aca="false">IF(A10="","",IFERROR(INDEX(Cadastro!$B$5:$B$304,MATCH(A10,Cadastro!$A$5:$A$304,0)),"ID não encontrado"))</f>
        <v/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2" t="str">
        <f aca="false">IF(A10="","",COUNTIF(C10:U10,"N"))</f>
        <v/>
      </c>
      <c r="W10" s="2" t="str">
        <f aca="false">IF(A10="","",IF(V10=0,"Completo","Pendente"))</f>
        <v/>
      </c>
      <c r="X10" s="11"/>
      <c r="Y10" s="11"/>
      <c r="Z10" s="11"/>
    </row>
    <row r="11" customFormat="false" ht="15" hidden="false" customHeight="false" outlineLevel="0" collapsed="false">
      <c r="A11" s="11"/>
      <c r="B11" s="17" t="str">
        <f aca="false">IF(A11="","",IFERROR(INDEX(Cadastro!$B$5:$B$304,MATCH(A11,Cadastro!$A$5:$A$304,0)),"ID não encontrado"))</f>
        <v/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2" t="str">
        <f aca="false">IF(A11="","",COUNTIF(C11:U11,"N"))</f>
        <v/>
      </c>
      <c r="W11" s="2" t="str">
        <f aca="false">IF(A11="","",IF(V11=0,"Completo","Pendente"))</f>
        <v/>
      </c>
      <c r="X11" s="11"/>
      <c r="Y11" s="11"/>
      <c r="Z11" s="11"/>
    </row>
    <row r="12" customFormat="false" ht="15" hidden="false" customHeight="false" outlineLevel="0" collapsed="false">
      <c r="A12" s="11"/>
      <c r="B12" s="17" t="str">
        <f aca="false">IF(A12="","",IFERROR(INDEX(Cadastro!$B$5:$B$304,MATCH(A12,Cadastro!$A$5:$A$304,0)),"ID não encontrado"))</f>
        <v/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2" t="str">
        <f aca="false">IF(A12="","",COUNTIF(C12:U12,"N"))</f>
        <v/>
      </c>
      <c r="W12" s="2" t="str">
        <f aca="false">IF(A12="","",IF(V12=0,"Completo","Pendente"))</f>
        <v/>
      </c>
      <c r="X12" s="11"/>
      <c r="Y12" s="11"/>
      <c r="Z12" s="11"/>
    </row>
    <row r="13" customFormat="false" ht="15" hidden="false" customHeight="false" outlineLevel="0" collapsed="false">
      <c r="A13" s="11"/>
      <c r="B13" s="17" t="str">
        <f aca="false">IF(A13="","",IFERROR(INDEX(Cadastro!$B$5:$B$304,MATCH(A13,Cadastro!$A$5:$A$304,0)),"ID não encontrado"))</f>
        <v/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2" t="str">
        <f aca="false">IF(A13="","",COUNTIF(C13:U13,"N"))</f>
        <v/>
      </c>
      <c r="W13" s="2" t="str">
        <f aca="false">IF(A13="","",IF(V13=0,"Completo","Pendente"))</f>
        <v/>
      </c>
      <c r="X13" s="11"/>
      <c r="Y13" s="11"/>
      <c r="Z13" s="11"/>
    </row>
    <row r="14" customFormat="false" ht="15" hidden="false" customHeight="false" outlineLevel="0" collapsed="false">
      <c r="A14" s="11"/>
      <c r="B14" s="17" t="str">
        <f aca="false">IF(A14="","",IFERROR(INDEX(Cadastro!$B$5:$B$304,MATCH(A14,Cadastro!$A$5:$A$304,0)),"ID não encontrado"))</f>
        <v/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2" t="str">
        <f aca="false">IF(A14="","",COUNTIF(C14:U14,"N"))</f>
        <v/>
      </c>
      <c r="W14" s="2" t="str">
        <f aca="false">IF(A14="","",IF(V14=0,"Completo","Pendente"))</f>
        <v/>
      </c>
      <c r="X14" s="11"/>
      <c r="Y14" s="11"/>
      <c r="Z14" s="11"/>
    </row>
    <row r="15" customFormat="false" ht="15" hidden="false" customHeight="false" outlineLevel="0" collapsed="false">
      <c r="A15" s="11"/>
      <c r="B15" s="17" t="str">
        <f aca="false">IF(A15="","",IFERROR(INDEX(Cadastro!$B$5:$B$304,MATCH(A15,Cadastro!$A$5:$A$304,0)),"ID não encontrado"))</f>
        <v/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2" t="str">
        <f aca="false">IF(A15="","",COUNTIF(C15:U15,"N"))</f>
        <v/>
      </c>
      <c r="W15" s="2" t="str">
        <f aca="false">IF(A15="","",IF(V15=0,"Completo","Pendente"))</f>
        <v/>
      </c>
      <c r="X15" s="11"/>
      <c r="Y15" s="11"/>
      <c r="Z15" s="11"/>
    </row>
    <row r="16" customFormat="false" ht="15" hidden="false" customHeight="false" outlineLevel="0" collapsed="false">
      <c r="A16" s="11"/>
      <c r="B16" s="17" t="str">
        <f aca="false">IF(A16="","",IFERROR(INDEX(Cadastro!$B$5:$B$304,MATCH(A16,Cadastro!$A$5:$A$304,0)),"ID não encontrado"))</f>
        <v/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2" t="str">
        <f aca="false">IF(A16="","",COUNTIF(C16:U16,"N"))</f>
        <v/>
      </c>
      <c r="W16" s="2" t="str">
        <f aca="false">IF(A16="","",IF(V16=0,"Completo","Pendente"))</f>
        <v/>
      </c>
      <c r="X16" s="11"/>
      <c r="Y16" s="11"/>
      <c r="Z16" s="11"/>
    </row>
    <row r="17" customFormat="false" ht="15" hidden="false" customHeight="false" outlineLevel="0" collapsed="false">
      <c r="A17" s="11"/>
      <c r="B17" s="17" t="str">
        <f aca="false">IF(A17="","",IFERROR(INDEX(Cadastro!$B$5:$B$304,MATCH(A17,Cadastro!$A$5:$A$304,0)),"ID não encontrado"))</f>
        <v/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2" t="str">
        <f aca="false">IF(A17="","",COUNTIF(C17:U17,"N"))</f>
        <v/>
      </c>
      <c r="W17" s="2" t="str">
        <f aca="false">IF(A17="","",IF(V17=0,"Completo","Pendente"))</f>
        <v/>
      </c>
      <c r="X17" s="11"/>
      <c r="Y17" s="11"/>
      <c r="Z17" s="11"/>
    </row>
    <row r="18" customFormat="false" ht="15" hidden="false" customHeight="false" outlineLevel="0" collapsed="false">
      <c r="A18" s="11"/>
      <c r="B18" s="17" t="str">
        <f aca="false">IF(A18="","",IFERROR(INDEX(Cadastro!$B$5:$B$304,MATCH(A18,Cadastro!$A$5:$A$304,0)),"ID não encontrado"))</f>
        <v/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2" t="str">
        <f aca="false">IF(A18="","",COUNTIF(C18:U18,"N"))</f>
        <v/>
      </c>
      <c r="W18" s="2" t="str">
        <f aca="false">IF(A18="","",IF(V18=0,"Completo","Pendente"))</f>
        <v/>
      </c>
      <c r="X18" s="11"/>
      <c r="Y18" s="11"/>
      <c r="Z18" s="11"/>
    </row>
    <row r="19" customFormat="false" ht="15" hidden="false" customHeight="false" outlineLevel="0" collapsed="false">
      <c r="A19" s="11"/>
      <c r="B19" s="17" t="str">
        <f aca="false">IF(A19="","",IFERROR(INDEX(Cadastro!$B$5:$B$304,MATCH(A19,Cadastro!$A$5:$A$304,0)),"ID não encontrado"))</f>
        <v/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2" t="str">
        <f aca="false">IF(A19="","",COUNTIF(C19:U19,"N"))</f>
        <v/>
      </c>
      <c r="W19" s="2" t="str">
        <f aca="false">IF(A19="","",IF(V19=0,"Completo","Pendente"))</f>
        <v/>
      </c>
      <c r="X19" s="11"/>
      <c r="Y19" s="11"/>
      <c r="Z19" s="11"/>
    </row>
    <row r="20" customFormat="false" ht="15" hidden="false" customHeight="false" outlineLevel="0" collapsed="false">
      <c r="A20" s="11"/>
      <c r="B20" s="17" t="str">
        <f aca="false">IF(A20="","",IFERROR(INDEX(Cadastro!$B$5:$B$304,MATCH(A20,Cadastro!$A$5:$A$304,0)),"ID não encontrado"))</f>
        <v/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2" t="str">
        <f aca="false">IF(A20="","",COUNTIF(C20:U20,"N"))</f>
        <v/>
      </c>
      <c r="W20" s="2" t="str">
        <f aca="false">IF(A20="","",IF(V20=0,"Completo","Pendente"))</f>
        <v/>
      </c>
      <c r="X20" s="11"/>
      <c r="Y20" s="11"/>
      <c r="Z20" s="11"/>
    </row>
    <row r="21" customFormat="false" ht="15" hidden="false" customHeight="false" outlineLevel="0" collapsed="false">
      <c r="A21" s="11"/>
      <c r="B21" s="17" t="str">
        <f aca="false">IF(A21="","",IFERROR(INDEX(Cadastro!$B$5:$B$304,MATCH(A21,Cadastro!$A$5:$A$304,0)),"ID não encontrado"))</f>
        <v/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2" t="str">
        <f aca="false">IF(A21="","",COUNTIF(C21:U21,"N"))</f>
        <v/>
      </c>
      <c r="W21" s="2" t="str">
        <f aca="false">IF(A21="","",IF(V21=0,"Completo","Pendente"))</f>
        <v/>
      </c>
      <c r="X21" s="11"/>
      <c r="Y21" s="11"/>
      <c r="Z21" s="11"/>
    </row>
    <row r="22" customFormat="false" ht="15" hidden="false" customHeight="false" outlineLevel="0" collapsed="false">
      <c r="A22" s="11"/>
      <c r="B22" s="17" t="str">
        <f aca="false">IF(A22="","",IFERROR(INDEX(Cadastro!$B$5:$B$304,MATCH(A22,Cadastro!$A$5:$A$304,0)),"ID não encontrado"))</f>
        <v/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2" t="str">
        <f aca="false">IF(A22="","",COUNTIF(C22:U22,"N"))</f>
        <v/>
      </c>
      <c r="W22" s="2" t="str">
        <f aca="false">IF(A22="","",IF(V22=0,"Completo","Pendente"))</f>
        <v/>
      </c>
      <c r="X22" s="11"/>
      <c r="Y22" s="11"/>
      <c r="Z22" s="11"/>
    </row>
    <row r="23" customFormat="false" ht="15" hidden="false" customHeight="false" outlineLevel="0" collapsed="false">
      <c r="A23" s="11"/>
      <c r="B23" s="17" t="str">
        <f aca="false">IF(A23="","",IFERROR(INDEX(Cadastro!$B$5:$B$304,MATCH(A23,Cadastro!$A$5:$A$304,0)),"ID não encontrado"))</f>
        <v/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2" t="str">
        <f aca="false">IF(A23="","",COUNTIF(C23:U23,"N"))</f>
        <v/>
      </c>
      <c r="W23" s="2" t="str">
        <f aca="false">IF(A23="","",IF(V23=0,"Completo","Pendente"))</f>
        <v/>
      </c>
      <c r="X23" s="11"/>
      <c r="Y23" s="11"/>
      <c r="Z23" s="11"/>
    </row>
    <row r="24" customFormat="false" ht="15" hidden="false" customHeight="false" outlineLevel="0" collapsed="false">
      <c r="A24" s="11"/>
      <c r="B24" s="17" t="str">
        <f aca="false">IF(A24="","",IFERROR(INDEX(Cadastro!$B$5:$B$304,MATCH(A24,Cadastro!$A$5:$A$304,0)),"ID não encontrado"))</f>
        <v/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2" t="str">
        <f aca="false">IF(A24="","",COUNTIF(C24:U24,"N"))</f>
        <v/>
      </c>
      <c r="W24" s="2" t="str">
        <f aca="false">IF(A24="","",IF(V24=0,"Completo","Pendente"))</f>
        <v/>
      </c>
      <c r="X24" s="11"/>
      <c r="Y24" s="11"/>
      <c r="Z24" s="11"/>
    </row>
    <row r="25" customFormat="false" ht="15" hidden="false" customHeight="false" outlineLevel="0" collapsed="false">
      <c r="A25" s="11"/>
      <c r="B25" s="17" t="str">
        <f aca="false">IF(A25="","",IFERROR(INDEX(Cadastro!$B$5:$B$304,MATCH(A25,Cadastro!$A$5:$A$304,0)),"ID não encontrado"))</f>
        <v/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" t="str">
        <f aca="false">IF(A25="","",COUNTIF(C25:U25,"N"))</f>
        <v/>
      </c>
      <c r="W25" s="2" t="str">
        <f aca="false">IF(A25="","",IF(V25=0,"Completo","Pendente"))</f>
        <v/>
      </c>
      <c r="X25" s="11"/>
      <c r="Y25" s="11"/>
      <c r="Z25" s="11"/>
    </row>
    <row r="26" customFormat="false" ht="15" hidden="false" customHeight="false" outlineLevel="0" collapsed="false">
      <c r="A26" s="11"/>
      <c r="B26" s="17" t="str">
        <f aca="false">IF(A26="","",IFERROR(INDEX(Cadastro!$B$5:$B$304,MATCH(A26,Cadastro!$A$5:$A$304,0)),"ID não encontrado"))</f>
        <v/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2" t="str">
        <f aca="false">IF(A26="","",COUNTIF(C26:U26,"N"))</f>
        <v/>
      </c>
      <c r="W26" s="2" t="str">
        <f aca="false">IF(A26="","",IF(V26=0,"Completo","Pendente"))</f>
        <v/>
      </c>
      <c r="X26" s="11"/>
      <c r="Y26" s="11"/>
      <c r="Z26" s="11"/>
    </row>
    <row r="27" customFormat="false" ht="15" hidden="false" customHeight="false" outlineLevel="0" collapsed="false">
      <c r="A27" s="11"/>
      <c r="B27" s="17" t="str">
        <f aca="false">IF(A27="","",IFERROR(INDEX(Cadastro!$B$5:$B$304,MATCH(A27,Cadastro!$A$5:$A$304,0)),"ID não encontrado"))</f>
        <v/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2" t="str">
        <f aca="false">IF(A27="","",COUNTIF(C27:U27,"N"))</f>
        <v/>
      </c>
      <c r="W27" s="2" t="str">
        <f aca="false">IF(A27="","",IF(V27=0,"Completo","Pendente"))</f>
        <v/>
      </c>
      <c r="X27" s="11"/>
      <c r="Y27" s="11"/>
      <c r="Z27" s="11"/>
    </row>
    <row r="28" customFormat="false" ht="15" hidden="false" customHeight="false" outlineLevel="0" collapsed="false">
      <c r="A28" s="11"/>
      <c r="B28" s="17" t="str">
        <f aca="false">IF(A28="","",IFERROR(INDEX(Cadastro!$B$5:$B$304,MATCH(A28,Cadastro!$A$5:$A$304,0)),"ID não encontrado"))</f>
        <v/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2" t="str">
        <f aca="false">IF(A28="","",COUNTIF(C28:U28,"N"))</f>
        <v/>
      </c>
      <c r="W28" s="2" t="str">
        <f aca="false">IF(A28="","",IF(V28=0,"Completo","Pendente"))</f>
        <v/>
      </c>
      <c r="X28" s="11"/>
      <c r="Y28" s="11"/>
      <c r="Z28" s="11"/>
    </row>
    <row r="29" customFormat="false" ht="15" hidden="false" customHeight="false" outlineLevel="0" collapsed="false">
      <c r="A29" s="11"/>
      <c r="B29" s="17" t="str">
        <f aca="false">IF(A29="","",IFERROR(INDEX(Cadastro!$B$5:$B$304,MATCH(A29,Cadastro!$A$5:$A$304,0)),"ID não encontrado"))</f>
        <v/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2" t="str">
        <f aca="false">IF(A29="","",COUNTIF(C29:U29,"N"))</f>
        <v/>
      </c>
      <c r="W29" s="2" t="str">
        <f aca="false">IF(A29="","",IF(V29=0,"Completo","Pendente"))</f>
        <v/>
      </c>
      <c r="X29" s="11"/>
      <c r="Y29" s="11"/>
      <c r="Z29" s="11"/>
    </row>
    <row r="30" customFormat="false" ht="15" hidden="false" customHeight="false" outlineLevel="0" collapsed="false">
      <c r="A30" s="11"/>
      <c r="B30" s="17" t="str">
        <f aca="false">IF(A30="","",IFERROR(INDEX(Cadastro!$B$5:$B$304,MATCH(A30,Cadastro!$A$5:$A$304,0)),"ID não encontrado"))</f>
        <v/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" t="str">
        <f aca="false">IF(A30="","",COUNTIF(C30:U30,"N"))</f>
        <v/>
      </c>
      <c r="W30" s="2" t="str">
        <f aca="false">IF(A30="","",IF(V30=0,"Completo","Pendente"))</f>
        <v/>
      </c>
      <c r="X30" s="11"/>
      <c r="Y30" s="11"/>
      <c r="Z30" s="11"/>
    </row>
    <row r="31" customFormat="false" ht="15" hidden="false" customHeight="false" outlineLevel="0" collapsed="false">
      <c r="A31" s="11"/>
      <c r="B31" s="17" t="str">
        <f aca="false">IF(A31="","",IFERROR(INDEX(Cadastro!$B$5:$B$304,MATCH(A31,Cadastro!$A$5:$A$304,0)),"ID não encontrado"))</f>
        <v/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2" t="str">
        <f aca="false">IF(A31="","",COUNTIF(C31:U31,"N"))</f>
        <v/>
      </c>
      <c r="W31" s="2" t="str">
        <f aca="false">IF(A31="","",IF(V31=0,"Completo","Pendente"))</f>
        <v/>
      </c>
      <c r="X31" s="11"/>
      <c r="Y31" s="11"/>
      <c r="Z31" s="11"/>
    </row>
    <row r="32" customFormat="false" ht="15" hidden="false" customHeight="false" outlineLevel="0" collapsed="false">
      <c r="A32" s="11"/>
      <c r="B32" s="17" t="str">
        <f aca="false">IF(A32="","",IFERROR(INDEX(Cadastro!$B$5:$B$304,MATCH(A32,Cadastro!$A$5:$A$304,0)),"ID não encontrado"))</f>
        <v/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2" t="str">
        <f aca="false">IF(A32="","",COUNTIF(C32:U32,"N"))</f>
        <v/>
      </c>
      <c r="W32" s="2" t="str">
        <f aca="false">IF(A32="","",IF(V32=0,"Completo","Pendente"))</f>
        <v/>
      </c>
      <c r="X32" s="11"/>
      <c r="Y32" s="11"/>
      <c r="Z32" s="11"/>
    </row>
    <row r="33" customFormat="false" ht="15" hidden="false" customHeight="false" outlineLevel="0" collapsed="false">
      <c r="A33" s="11"/>
      <c r="B33" s="17" t="str">
        <f aca="false">IF(A33="","",IFERROR(INDEX(Cadastro!$B$5:$B$304,MATCH(A33,Cadastro!$A$5:$A$304,0)),"ID não encontrado"))</f>
        <v/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2" t="str">
        <f aca="false">IF(A33="","",COUNTIF(C33:U33,"N"))</f>
        <v/>
      </c>
      <c r="W33" s="2" t="str">
        <f aca="false">IF(A33="","",IF(V33=0,"Completo","Pendente"))</f>
        <v/>
      </c>
      <c r="X33" s="11"/>
      <c r="Y33" s="11"/>
      <c r="Z33" s="11"/>
    </row>
    <row r="34" customFormat="false" ht="15" hidden="false" customHeight="false" outlineLevel="0" collapsed="false">
      <c r="A34" s="11"/>
      <c r="B34" s="17" t="str">
        <f aca="false">IF(A34="","",IFERROR(INDEX(Cadastro!$B$5:$B$304,MATCH(A34,Cadastro!$A$5:$A$304,0)),"ID não encontrado"))</f>
        <v/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2" t="str">
        <f aca="false">IF(A34="","",COUNTIF(C34:U34,"N"))</f>
        <v/>
      </c>
      <c r="W34" s="2" t="str">
        <f aca="false">IF(A34="","",IF(V34=0,"Completo","Pendente"))</f>
        <v/>
      </c>
      <c r="X34" s="11"/>
      <c r="Y34" s="11"/>
      <c r="Z34" s="11"/>
    </row>
    <row r="35" customFormat="false" ht="15" hidden="false" customHeight="false" outlineLevel="0" collapsed="false">
      <c r="A35" s="11"/>
      <c r="B35" s="17" t="str">
        <f aca="false">IF(A35="","",IFERROR(INDEX(Cadastro!$B$5:$B$304,MATCH(A35,Cadastro!$A$5:$A$304,0)),"ID não encontrado"))</f>
        <v/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2" t="str">
        <f aca="false">IF(A35="","",COUNTIF(C35:U35,"N"))</f>
        <v/>
      </c>
      <c r="W35" s="2" t="str">
        <f aca="false">IF(A35="","",IF(V35=0,"Completo","Pendente"))</f>
        <v/>
      </c>
      <c r="X35" s="11"/>
      <c r="Y35" s="11"/>
      <c r="Z35" s="11"/>
    </row>
    <row r="36" customFormat="false" ht="15" hidden="false" customHeight="false" outlineLevel="0" collapsed="false">
      <c r="A36" s="11"/>
      <c r="B36" s="17" t="str">
        <f aca="false">IF(A36="","",IFERROR(INDEX(Cadastro!$B$5:$B$304,MATCH(A36,Cadastro!$A$5:$A$304,0)),"ID não encontrado"))</f>
        <v/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2" t="str">
        <f aca="false">IF(A36="","",COUNTIF(C36:U36,"N"))</f>
        <v/>
      </c>
      <c r="W36" s="2" t="str">
        <f aca="false">IF(A36="","",IF(V36=0,"Completo","Pendente"))</f>
        <v/>
      </c>
      <c r="X36" s="11"/>
      <c r="Y36" s="11"/>
      <c r="Z36" s="11"/>
    </row>
    <row r="37" customFormat="false" ht="15" hidden="false" customHeight="false" outlineLevel="0" collapsed="false">
      <c r="A37" s="11"/>
      <c r="B37" s="17" t="str">
        <f aca="false">IF(A37="","",IFERROR(INDEX(Cadastro!$B$5:$B$304,MATCH(A37,Cadastro!$A$5:$A$304,0)),"ID não encontrado"))</f>
        <v/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2" t="str">
        <f aca="false">IF(A37="","",COUNTIF(C37:U37,"N"))</f>
        <v/>
      </c>
      <c r="W37" s="2" t="str">
        <f aca="false">IF(A37="","",IF(V37=0,"Completo","Pendente"))</f>
        <v/>
      </c>
      <c r="X37" s="11"/>
      <c r="Y37" s="11"/>
      <c r="Z37" s="11"/>
    </row>
    <row r="38" customFormat="false" ht="15" hidden="false" customHeight="false" outlineLevel="0" collapsed="false">
      <c r="A38" s="11"/>
      <c r="B38" s="17" t="str">
        <f aca="false">IF(A38="","",IFERROR(INDEX(Cadastro!$B$5:$B$304,MATCH(A38,Cadastro!$A$5:$A$304,0)),"ID não encontrado"))</f>
        <v/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2" t="str">
        <f aca="false">IF(A38="","",COUNTIF(C38:U38,"N"))</f>
        <v/>
      </c>
      <c r="W38" s="2" t="str">
        <f aca="false">IF(A38="","",IF(V38=0,"Completo","Pendente"))</f>
        <v/>
      </c>
      <c r="X38" s="11"/>
      <c r="Y38" s="11"/>
      <c r="Z38" s="11"/>
    </row>
    <row r="39" customFormat="false" ht="15" hidden="false" customHeight="false" outlineLevel="0" collapsed="false">
      <c r="A39" s="11"/>
      <c r="B39" s="17" t="str">
        <f aca="false">IF(A39="","",IFERROR(INDEX(Cadastro!$B$5:$B$304,MATCH(A39,Cadastro!$A$5:$A$304,0)),"ID não encontrado"))</f>
        <v/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2" t="str">
        <f aca="false">IF(A39="","",COUNTIF(C39:U39,"N"))</f>
        <v/>
      </c>
      <c r="W39" s="2" t="str">
        <f aca="false">IF(A39="","",IF(V39=0,"Completo","Pendente"))</f>
        <v/>
      </c>
      <c r="X39" s="11"/>
      <c r="Y39" s="11"/>
      <c r="Z39" s="11"/>
    </row>
    <row r="40" customFormat="false" ht="15" hidden="false" customHeight="false" outlineLevel="0" collapsed="false">
      <c r="A40" s="11"/>
      <c r="B40" s="17" t="str">
        <f aca="false">IF(A40="","",IFERROR(INDEX(Cadastro!$B$5:$B$304,MATCH(A40,Cadastro!$A$5:$A$304,0)),"ID não encontrado"))</f>
        <v/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2" t="str">
        <f aca="false">IF(A40="","",COUNTIF(C40:U40,"N"))</f>
        <v/>
      </c>
      <c r="W40" s="2" t="str">
        <f aca="false">IF(A40="","",IF(V40=0,"Completo","Pendente"))</f>
        <v/>
      </c>
      <c r="X40" s="11"/>
      <c r="Y40" s="11"/>
      <c r="Z40" s="11"/>
    </row>
    <row r="41" customFormat="false" ht="15" hidden="false" customHeight="false" outlineLevel="0" collapsed="false">
      <c r="A41" s="11"/>
      <c r="B41" s="17" t="str">
        <f aca="false">IF(A41="","",IFERROR(INDEX(Cadastro!$B$5:$B$304,MATCH(A41,Cadastro!$A$5:$A$304,0)),"ID não encontrado"))</f>
        <v/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2" t="str">
        <f aca="false">IF(A41="","",COUNTIF(C41:U41,"N"))</f>
        <v/>
      </c>
      <c r="W41" s="2" t="str">
        <f aca="false">IF(A41="","",IF(V41=0,"Completo","Pendente"))</f>
        <v/>
      </c>
      <c r="X41" s="11"/>
      <c r="Y41" s="11"/>
      <c r="Z41" s="11"/>
    </row>
    <row r="42" customFormat="false" ht="15" hidden="false" customHeight="false" outlineLevel="0" collapsed="false">
      <c r="A42" s="11"/>
      <c r="B42" s="17" t="str">
        <f aca="false">IF(A42="","",IFERROR(INDEX(Cadastro!$B$5:$B$304,MATCH(A42,Cadastro!$A$5:$A$304,0)),"ID não encontrado"))</f>
        <v/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2" t="str">
        <f aca="false">IF(A42="","",COUNTIF(C42:U42,"N"))</f>
        <v/>
      </c>
      <c r="W42" s="2" t="str">
        <f aca="false">IF(A42="","",IF(V42=0,"Completo","Pendente"))</f>
        <v/>
      </c>
      <c r="X42" s="11"/>
      <c r="Y42" s="11"/>
      <c r="Z42" s="11"/>
    </row>
    <row r="43" customFormat="false" ht="15" hidden="false" customHeight="false" outlineLevel="0" collapsed="false">
      <c r="A43" s="11"/>
      <c r="B43" s="17" t="str">
        <f aca="false">IF(A43="","",IFERROR(INDEX(Cadastro!$B$5:$B$304,MATCH(A43,Cadastro!$A$5:$A$304,0)),"ID não encontrado"))</f>
        <v/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2" t="str">
        <f aca="false">IF(A43="","",COUNTIF(C43:U43,"N"))</f>
        <v/>
      </c>
      <c r="W43" s="2" t="str">
        <f aca="false">IF(A43="","",IF(V43=0,"Completo","Pendente"))</f>
        <v/>
      </c>
      <c r="X43" s="11"/>
      <c r="Y43" s="11"/>
      <c r="Z43" s="11"/>
    </row>
    <row r="44" customFormat="false" ht="15" hidden="false" customHeight="false" outlineLevel="0" collapsed="false">
      <c r="A44" s="11"/>
      <c r="B44" s="17" t="str">
        <f aca="false">IF(A44="","",IFERROR(INDEX(Cadastro!$B$5:$B$304,MATCH(A44,Cadastro!$A$5:$A$304,0)),"ID não encontrado"))</f>
        <v/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2" t="str">
        <f aca="false">IF(A44="","",COUNTIF(C44:U44,"N"))</f>
        <v/>
      </c>
      <c r="W44" s="2" t="str">
        <f aca="false">IF(A44="","",IF(V44=0,"Completo","Pendente"))</f>
        <v/>
      </c>
      <c r="X44" s="11"/>
      <c r="Y44" s="11"/>
      <c r="Z44" s="11"/>
    </row>
    <row r="45" customFormat="false" ht="15" hidden="false" customHeight="false" outlineLevel="0" collapsed="false">
      <c r="A45" s="11"/>
      <c r="B45" s="17" t="str">
        <f aca="false">IF(A45="","",IFERROR(INDEX(Cadastro!$B$5:$B$304,MATCH(A45,Cadastro!$A$5:$A$304,0)),"ID não encontrado"))</f>
        <v/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2" t="str">
        <f aca="false">IF(A45="","",COUNTIF(C45:U45,"N"))</f>
        <v/>
      </c>
      <c r="W45" s="2" t="str">
        <f aca="false">IF(A45="","",IF(V45=0,"Completo","Pendente"))</f>
        <v/>
      </c>
      <c r="X45" s="11"/>
      <c r="Y45" s="11"/>
      <c r="Z45" s="11"/>
    </row>
    <row r="46" customFormat="false" ht="15" hidden="false" customHeight="false" outlineLevel="0" collapsed="false">
      <c r="A46" s="11"/>
      <c r="B46" s="17" t="str">
        <f aca="false">IF(A46="","",IFERROR(INDEX(Cadastro!$B$5:$B$304,MATCH(A46,Cadastro!$A$5:$A$304,0)),"ID não encontrado"))</f>
        <v/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2" t="str">
        <f aca="false">IF(A46="","",COUNTIF(C46:U46,"N"))</f>
        <v/>
      </c>
      <c r="W46" s="2" t="str">
        <f aca="false">IF(A46="","",IF(V46=0,"Completo","Pendente"))</f>
        <v/>
      </c>
      <c r="X46" s="11"/>
      <c r="Y46" s="11"/>
      <c r="Z46" s="11"/>
    </row>
    <row r="47" customFormat="false" ht="15" hidden="false" customHeight="false" outlineLevel="0" collapsed="false">
      <c r="A47" s="11"/>
      <c r="B47" s="17" t="str">
        <f aca="false">IF(A47="","",IFERROR(INDEX(Cadastro!$B$5:$B$304,MATCH(A47,Cadastro!$A$5:$A$304,0)),"ID não encontrado"))</f>
        <v/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2" t="str">
        <f aca="false">IF(A47="","",COUNTIF(C47:U47,"N"))</f>
        <v/>
      </c>
      <c r="W47" s="2" t="str">
        <f aca="false">IF(A47="","",IF(V47=0,"Completo","Pendente"))</f>
        <v/>
      </c>
      <c r="X47" s="11"/>
      <c r="Y47" s="11"/>
      <c r="Z47" s="11"/>
    </row>
    <row r="48" customFormat="false" ht="15" hidden="false" customHeight="false" outlineLevel="0" collapsed="false">
      <c r="A48" s="11"/>
      <c r="B48" s="17" t="str">
        <f aca="false">IF(A48="","",IFERROR(INDEX(Cadastro!$B$5:$B$304,MATCH(A48,Cadastro!$A$5:$A$304,0)),"ID não encontrado"))</f>
        <v/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2" t="str">
        <f aca="false">IF(A48="","",COUNTIF(C48:U48,"N"))</f>
        <v/>
      </c>
      <c r="W48" s="2" t="str">
        <f aca="false">IF(A48="","",IF(V48=0,"Completo","Pendente"))</f>
        <v/>
      </c>
      <c r="X48" s="11"/>
      <c r="Y48" s="11"/>
      <c r="Z48" s="11"/>
    </row>
    <row r="49" customFormat="false" ht="15" hidden="false" customHeight="false" outlineLevel="0" collapsed="false">
      <c r="A49" s="11"/>
      <c r="B49" s="17" t="str">
        <f aca="false">IF(A49="","",IFERROR(INDEX(Cadastro!$B$5:$B$304,MATCH(A49,Cadastro!$A$5:$A$304,0)),"ID não encontrado"))</f>
        <v/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2" t="str">
        <f aca="false">IF(A49="","",COUNTIF(C49:U49,"N"))</f>
        <v/>
      </c>
      <c r="W49" s="2" t="str">
        <f aca="false">IF(A49="","",IF(V49=0,"Completo","Pendente"))</f>
        <v/>
      </c>
      <c r="X49" s="11"/>
      <c r="Y49" s="11"/>
      <c r="Z49" s="11"/>
    </row>
    <row r="50" customFormat="false" ht="15" hidden="false" customHeight="false" outlineLevel="0" collapsed="false">
      <c r="A50" s="11"/>
      <c r="B50" s="17" t="str">
        <f aca="false">IF(A50="","",IFERROR(INDEX(Cadastro!$B$5:$B$304,MATCH(A50,Cadastro!$A$5:$A$304,0)),"ID não encontrado"))</f>
        <v/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2" t="str">
        <f aca="false">IF(A50="","",COUNTIF(C50:U50,"N"))</f>
        <v/>
      </c>
      <c r="W50" s="2" t="str">
        <f aca="false">IF(A50="","",IF(V50=0,"Completo","Pendente"))</f>
        <v/>
      </c>
      <c r="X50" s="11"/>
      <c r="Y50" s="11"/>
      <c r="Z50" s="11"/>
    </row>
    <row r="51" customFormat="false" ht="15" hidden="false" customHeight="false" outlineLevel="0" collapsed="false">
      <c r="A51" s="11"/>
      <c r="B51" s="17" t="str">
        <f aca="false">IF(A51="","",IFERROR(INDEX(Cadastro!$B$5:$B$304,MATCH(A51,Cadastro!$A$5:$A$304,0)),"ID não encontrado"))</f>
        <v/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2" t="str">
        <f aca="false">IF(A51="","",COUNTIF(C51:U51,"N"))</f>
        <v/>
      </c>
      <c r="W51" s="2" t="str">
        <f aca="false">IF(A51="","",IF(V51=0,"Completo","Pendente"))</f>
        <v/>
      </c>
      <c r="X51" s="11"/>
      <c r="Y51" s="11"/>
      <c r="Z51" s="11"/>
    </row>
    <row r="52" customFormat="false" ht="15" hidden="false" customHeight="false" outlineLevel="0" collapsed="false">
      <c r="A52" s="11"/>
      <c r="B52" s="17" t="str">
        <f aca="false">IF(A52="","",IFERROR(INDEX(Cadastro!$B$5:$B$304,MATCH(A52,Cadastro!$A$5:$A$304,0)),"ID não encontrado"))</f>
        <v/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2" t="str">
        <f aca="false">IF(A52="","",COUNTIF(C52:U52,"N"))</f>
        <v/>
      </c>
      <c r="W52" s="2" t="str">
        <f aca="false">IF(A52="","",IF(V52=0,"Completo","Pendente"))</f>
        <v/>
      </c>
      <c r="X52" s="11"/>
      <c r="Y52" s="11"/>
      <c r="Z52" s="11"/>
    </row>
    <row r="53" customFormat="false" ht="15" hidden="false" customHeight="false" outlineLevel="0" collapsed="false">
      <c r="A53" s="11"/>
      <c r="B53" s="17" t="str">
        <f aca="false">IF(A53="","",IFERROR(INDEX(Cadastro!$B$5:$B$304,MATCH(A53,Cadastro!$A$5:$A$304,0)),"ID não encontrado"))</f>
        <v/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2" t="str">
        <f aca="false">IF(A53="","",COUNTIF(C53:U53,"N"))</f>
        <v/>
      </c>
      <c r="W53" s="2" t="str">
        <f aca="false">IF(A53="","",IF(V53=0,"Completo","Pendente"))</f>
        <v/>
      </c>
      <c r="X53" s="11"/>
      <c r="Y53" s="11"/>
      <c r="Z53" s="11"/>
    </row>
    <row r="54" customFormat="false" ht="15" hidden="false" customHeight="false" outlineLevel="0" collapsed="false">
      <c r="A54" s="11"/>
      <c r="B54" s="17" t="str">
        <f aca="false">IF(A54="","",IFERROR(INDEX(Cadastro!$B$5:$B$304,MATCH(A54,Cadastro!$A$5:$A$304,0)),"ID não encontrado"))</f>
        <v/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2" t="str">
        <f aca="false">IF(A54="","",COUNTIF(C54:U54,"N"))</f>
        <v/>
      </c>
      <c r="W54" s="2" t="str">
        <f aca="false">IF(A54="","",IF(V54=0,"Completo","Pendente"))</f>
        <v/>
      </c>
      <c r="X54" s="11"/>
      <c r="Y54" s="11"/>
      <c r="Z54" s="11"/>
    </row>
    <row r="55" customFormat="false" ht="15" hidden="false" customHeight="false" outlineLevel="0" collapsed="false">
      <c r="A55" s="11"/>
      <c r="B55" s="17" t="str">
        <f aca="false">IF(A55="","",IFERROR(INDEX(Cadastro!$B$5:$B$304,MATCH(A55,Cadastro!$A$5:$A$304,0)),"ID não encontrado"))</f>
        <v/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2" t="str">
        <f aca="false">IF(A55="","",COUNTIF(C55:U55,"N"))</f>
        <v/>
      </c>
      <c r="W55" s="2" t="str">
        <f aca="false">IF(A55="","",IF(V55=0,"Completo","Pendente"))</f>
        <v/>
      </c>
      <c r="X55" s="11"/>
      <c r="Y55" s="11"/>
      <c r="Z55" s="11"/>
    </row>
    <row r="56" customFormat="false" ht="15" hidden="false" customHeight="false" outlineLevel="0" collapsed="false">
      <c r="A56" s="11"/>
      <c r="B56" s="17" t="str">
        <f aca="false">IF(A56="","",IFERROR(INDEX(Cadastro!$B$5:$B$304,MATCH(A56,Cadastro!$A$5:$A$304,0)),"ID não encontrado"))</f>
        <v/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2" t="str">
        <f aca="false">IF(A56="","",COUNTIF(C56:U56,"N"))</f>
        <v/>
      </c>
      <c r="W56" s="2" t="str">
        <f aca="false">IF(A56="","",IF(V56=0,"Completo","Pendente"))</f>
        <v/>
      </c>
      <c r="X56" s="11"/>
      <c r="Y56" s="11"/>
      <c r="Z56" s="11"/>
    </row>
    <row r="57" customFormat="false" ht="15" hidden="false" customHeight="false" outlineLevel="0" collapsed="false">
      <c r="A57" s="11"/>
      <c r="B57" s="17" t="str">
        <f aca="false">IF(A57="","",IFERROR(INDEX(Cadastro!$B$5:$B$304,MATCH(A57,Cadastro!$A$5:$A$304,0)),"ID não encontrado"))</f>
        <v/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2" t="str">
        <f aca="false">IF(A57="","",COUNTIF(C57:U57,"N"))</f>
        <v/>
      </c>
      <c r="W57" s="2" t="str">
        <f aca="false">IF(A57="","",IF(V57=0,"Completo","Pendente"))</f>
        <v/>
      </c>
      <c r="X57" s="11"/>
      <c r="Y57" s="11"/>
      <c r="Z57" s="11"/>
    </row>
    <row r="58" customFormat="false" ht="15" hidden="false" customHeight="false" outlineLevel="0" collapsed="false">
      <c r="A58" s="11"/>
      <c r="B58" s="17" t="str">
        <f aca="false">IF(A58="","",IFERROR(INDEX(Cadastro!$B$5:$B$304,MATCH(A58,Cadastro!$A$5:$A$304,0)),"ID não encontrado"))</f>
        <v/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2" t="str">
        <f aca="false">IF(A58="","",COUNTIF(C58:U58,"N"))</f>
        <v/>
      </c>
      <c r="W58" s="2" t="str">
        <f aca="false">IF(A58="","",IF(V58=0,"Completo","Pendente"))</f>
        <v/>
      </c>
      <c r="X58" s="11"/>
      <c r="Y58" s="11"/>
      <c r="Z58" s="11"/>
    </row>
    <row r="59" customFormat="false" ht="15" hidden="false" customHeight="false" outlineLevel="0" collapsed="false">
      <c r="A59" s="11"/>
      <c r="B59" s="17" t="str">
        <f aca="false">IF(A59="","",IFERROR(INDEX(Cadastro!$B$5:$B$304,MATCH(A59,Cadastro!$A$5:$A$304,0)),"ID não encontrado"))</f>
        <v/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2" t="str">
        <f aca="false">IF(A59="","",COUNTIF(C59:U59,"N"))</f>
        <v/>
      </c>
      <c r="W59" s="2" t="str">
        <f aca="false">IF(A59="","",IF(V59=0,"Completo","Pendente"))</f>
        <v/>
      </c>
      <c r="X59" s="11"/>
      <c r="Y59" s="11"/>
      <c r="Z59" s="11"/>
    </row>
    <row r="60" customFormat="false" ht="15" hidden="false" customHeight="false" outlineLevel="0" collapsed="false">
      <c r="A60" s="11"/>
      <c r="B60" s="17" t="str">
        <f aca="false">IF(A60="","",IFERROR(INDEX(Cadastro!$B$5:$B$304,MATCH(A60,Cadastro!$A$5:$A$304,0)),"ID não encontrado"))</f>
        <v/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2" t="str">
        <f aca="false">IF(A60="","",COUNTIF(C60:U60,"N"))</f>
        <v/>
      </c>
      <c r="W60" s="2" t="str">
        <f aca="false">IF(A60="","",IF(V60=0,"Completo","Pendente"))</f>
        <v/>
      </c>
      <c r="X60" s="11"/>
      <c r="Y60" s="11"/>
      <c r="Z60" s="11"/>
    </row>
    <row r="61" customFormat="false" ht="15" hidden="false" customHeight="false" outlineLevel="0" collapsed="false">
      <c r="A61" s="11"/>
      <c r="B61" s="17" t="str">
        <f aca="false">IF(A61="","",IFERROR(INDEX(Cadastro!$B$5:$B$304,MATCH(A61,Cadastro!$A$5:$A$304,0)),"ID não encontrado"))</f>
        <v/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2" t="str">
        <f aca="false">IF(A61="","",COUNTIF(C61:U61,"N"))</f>
        <v/>
      </c>
      <c r="W61" s="2" t="str">
        <f aca="false">IF(A61="","",IF(V61=0,"Completo","Pendente"))</f>
        <v/>
      </c>
      <c r="X61" s="11"/>
      <c r="Y61" s="11"/>
      <c r="Z61" s="11"/>
    </row>
    <row r="62" customFormat="false" ht="15" hidden="false" customHeight="false" outlineLevel="0" collapsed="false">
      <c r="A62" s="11"/>
      <c r="B62" s="17" t="str">
        <f aca="false">IF(A62="","",IFERROR(INDEX(Cadastro!$B$5:$B$304,MATCH(A62,Cadastro!$A$5:$A$304,0)),"ID não encontrado"))</f>
        <v/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2" t="str">
        <f aca="false">IF(A62="","",COUNTIF(C62:U62,"N"))</f>
        <v/>
      </c>
      <c r="W62" s="2" t="str">
        <f aca="false">IF(A62="","",IF(V62=0,"Completo","Pendente"))</f>
        <v/>
      </c>
      <c r="X62" s="11"/>
      <c r="Y62" s="11"/>
      <c r="Z62" s="11"/>
    </row>
    <row r="63" customFormat="false" ht="15" hidden="false" customHeight="false" outlineLevel="0" collapsed="false">
      <c r="A63" s="11"/>
      <c r="B63" s="17" t="str">
        <f aca="false">IF(A63="","",IFERROR(INDEX(Cadastro!$B$5:$B$304,MATCH(A63,Cadastro!$A$5:$A$304,0)),"ID não encontrado"))</f>
        <v/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2" t="str">
        <f aca="false">IF(A63="","",COUNTIF(C63:U63,"N"))</f>
        <v/>
      </c>
      <c r="W63" s="2" t="str">
        <f aca="false">IF(A63="","",IF(V63=0,"Completo","Pendente"))</f>
        <v/>
      </c>
      <c r="X63" s="11"/>
      <c r="Y63" s="11"/>
      <c r="Z63" s="11"/>
    </row>
    <row r="64" customFormat="false" ht="15" hidden="false" customHeight="false" outlineLevel="0" collapsed="false">
      <c r="A64" s="11"/>
      <c r="B64" s="17" t="str">
        <f aca="false">IF(A64="","",IFERROR(INDEX(Cadastro!$B$5:$B$304,MATCH(A64,Cadastro!$A$5:$A$304,0)),"ID não encontrado"))</f>
        <v/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2" t="str">
        <f aca="false">IF(A64="","",COUNTIF(C64:U64,"N"))</f>
        <v/>
      </c>
      <c r="W64" s="2" t="str">
        <f aca="false">IF(A64="","",IF(V64=0,"Completo","Pendente"))</f>
        <v/>
      </c>
      <c r="X64" s="11"/>
      <c r="Y64" s="11"/>
      <c r="Z64" s="11"/>
    </row>
    <row r="65" customFormat="false" ht="15" hidden="false" customHeight="false" outlineLevel="0" collapsed="false">
      <c r="A65" s="11"/>
      <c r="B65" s="17" t="str">
        <f aca="false">IF(A65="","",IFERROR(INDEX(Cadastro!$B$5:$B$304,MATCH(A65,Cadastro!$A$5:$A$304,0)),"ID não encontrado"))</f>
        <v/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2" t="str">
        <f aca="false">IF(A65="","",COUNTIF(C65:U65,"N"))</f>
        <v/>
      </c>
      <c r="W65" s="2" t="str">
        <f aca="false">IF(A65="","",IF(V65=0,"Completo","Pendente"))</f>
        <v/>
      </c>
      <c r="X65" s="11"/>
      <c r="Y65" s="11"/>
      <c r="Z65" s="11"/>
    </row>
    <row r="66" customFormat="false" ht="15" hidden="false" customHeight="false" outlineLevel="0" collapsed="false">
      <c r="A66" s="11"/>
      <c r="B66" s="17" t="str">
        <f aca="false">IF(A66="","",IFERROR(INDEX(Cadastro!$B$5:$B$304,MATCH(A66,Cadastro!$A$5:$A$304,0)),"ID não encontrado"))</f>
        <v/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2" t="str">
        <f aca="false">IF(A66="","",COUNTIF(C66:U66,"N"))</f>
        <v/>
      </c>
      <c r="W66" s="2" t="str">
        <f aca="false">IF(A66="","",IF(V66=0,"Completo","Pendente"))</f>
        <v/>
      </c>
      <c r="X66" s="11"/>
      <c r="Y66" s="11"/>
      <c r="Z66" s="11"/>
    </row>
    <row r="67" customFormat="false" ht="15" hidden="false" customHeight="false" outlineLevel="0" collapsed="false">
      <c r="A67" s="11"/>
      <c r="B67" s="17" t="str">
        <f aca="false">IF(A67="","",IFERROR(INDEX(Cadastro!$B$5:$B$304,MATCH(A67,Cadastro!$A$5:$A$304,0)),"ID não encontrado"))</f>
        <v/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2" t="str">
        <f aca="false">IF(A67="","",COUNTIF(C67:U67,"N"))</f>
        <v/>
      </c>
      <c r="W67" s="2" t="str">
        <f aca="false">IF(A67="","",IF(V67=0,"Completo","Pendente"))</f>
        <v/>
      </c>
      <c r="X67" s="11"/>
      <c r="Y67" s="11"/>
      <c r="Z67" s="11"/>
    </row>
    <row r="68" customFormat="false" ht="15" hidden="false" customHeight="false" outlineLevel="0" collapsed="false">
      <c r="A68" s="11"/>
      <c r="B68" s="17" t="str">
        <f aca="false">IF(A68="","",IFERROR(INDEX(Cadastro!$B$5:$B$304,MATCH(A68,Cadastro!$A$5:$A$304,0)),"ID não encontrado"))</f>
        <v/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2" t="str">
        <f aca="false">IF(A68="","",COUNTIF(C68:U68,"N"))</f>
        <v/>
      </c>
      <c r="W68" s="2" t="str">
        <f aca="false">IF(A68="","",IF(V68=0,"Completo","Pendente"))</f>
        <v/>
      </c>
      <c r="X68" s="11"/>
      <c r="Y68" s="11"/>
      <c r="Z68" s="11"/>
    </row>
    <row r="69" customFormat="false" ht="15" hidden="false" customHeight="false" outlineLevel="0" collapsed="false">
      <c r="A69" s="11"/>
      <c r="B69" s="17" t="str">
        <f aca="false">IF(A69="","",IFERROR(INDEX(Cadastro!$B$5:$B$304,MATCH(A69,Cadastro!$A$5:$A$304,0)),"ID não encontrado"))</f>
        <v/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2" t="str">
        <f aca="false">IF(A69="","",COUNTIF(C69:U69,"N"))</f>
        <v/>
      </c>
      <c r="W69" s="2" t="str">
        <f aca="false">IF(A69="","",IF(V69=0,"Completo","Pendente"))</f>
        <v/>
      </c>
      <c r="X69" s="11"/>
      <c r="Y69" s="11"/>
      <c r="Z69" s="11"/>
    </row>
    <row r="70" customFormat="false" ht="15" hidden="false" customHeight="false" outlineLevel="0" collapsed="false">
      <c r="A70" s="11"/>
      <c r="B70" s="17" t="str">
        <f aca="false">IF(A70="","",IFERROR(INDEX(Cadastro!$B$5:$B$304,MATCH(A70,Cadastro!$A$5:$A$304,0)),"ID não encontrado"))</f>
        <v/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2" t="str">
        <f aca="false">IF(A70="","",COUNTIF(C70:U70,"N"))</f>
        <v/>
      </c>
      <c r="W70" s="2" t="str">
        <f aca="false">IF(A70="","",IF(V70=0,"Completo","Pendente"))</f>
        <v/>
      </c>
      <c r="X70" s="11"/>
      <c r="Y70" s="11"/>
      <c r="Z70" s="11"/>
    </row>
    <row r="71" customFormat="false" ht="15" hidden="false" customHeight="false" outlineLevel="0" collapsed="false">
      <c r="A71" s="11"/>
      <c r="B71" s="17" t="str">
        <f aca="false">IF(A71="","",IFERROR(INDEX(Cadastro!$B$5:$B$304,MATCH(A71,Cadastro!$A$5:$A$304,0)),"ID não encontrado"))</f>
        <v/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2" t="str">
        <f aca="false">IF(A71="","",COUNTIF(C71:U71,"N"))</f>
        <v/>
      </c>
      <c r="W71" s="2" t="str">
        <f aca="false">IF(A71="","",IF(V71=0,"Completo","Pendente"))</f>
        <v/>
      </c>
      <c r="X71" s="11"/>
      <c r="Y71" s="11"/>
      <c r="Z71" s="11"/>
    </row>
    <row r="72" customFormat="false" ht="15" hidden="false" customHeight="false" outlineLevel="0" collapsed="false">
      <c r="A72" s="11"/>
      <c r="B72" s="17" t="str">
        <f aca="false">IF(A72="","",IFERROR(INDEX(Cadastro!$B$5:$B$304,MATCH(A72,Cadastro!$A$5:$A$304,0)),"ID não encontrado"))</f>
        <v/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2" t="str">
        <f aca="false">IF(A72="","",COUNTIF(C72:U72,"N"))</f>
        <v/>
      </c>
      <c r="W72" s="2" t="str">
        <f aca="false">IF(A72="","",IF(V72=0,"Completo","Pendente"))</f>
        <v/>
      </c>
      <c r="X72" s="11"/>
      <c r="Y72" s="11"/>
      <c r="Z72" s="11"/>
    </row>
    <row r="73" customFormat="false" ht="15" hidden="false" customHeight="false" outlineLevel="0" collapsed="false">
      <c r="A73" s="11"/>
      <c r="B73" s="17" t="str">
        <f aca="false">IF(A73="","",IFERROR(INDEX(Cadastro!$B$5:$B$304,MATCH(A73,Cadastro!$A$5:$A$304,0)),"ID não encontrado"))</f>
        <v/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2" t="str">
        <f aca="false">IF(A73="","",COUNTIF(C73:U73,"N"))</f>
        <v/>
      </c>
      <c r="W73" s="2" t="str">
        <f aca="false">IF(A73="","",IF(V73=0,"Completo","Pendente"))</f>
        <v/>
      </c>
      <c r="X73" s="11"/>
      <c r="Y73" s="11"/>
      <c r="Z73" s="11"/>
    </row>
    <row r="74" customFormat="false" ht="15" hidden="false" customHeight="false" outlineLevel="0" collapsed="false">
      <c r="A74" s="11"/>
      <c r="B74" s="17" t="str">
        <f aca="false">IF(A74="","",IFERROR(INDEX(Cadastro!$B$5:$B$304,MATCH(A74,Cadastro!$A$5:$A$304,0)),"ID não encontrado"))</f>
        <v/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2" t="str">
        <f aca="false">IF(A74="","",COUNTIF(C74:U74,"N"))</f>
        <v/>
      </c>
      <c r="W74" s="2" t="str">
        <f aca="false">IF(A74="","",IF(V74=0,"Completo","Pendente"))</f>
        <v/>
      </c>
      <c r="X74" s="11"/>
      <c r="Y74" s="11"/>
      <c r="Z74" s="11"/>
    </row>
    <row r="75" customFormat="false" ht="15" hidden="false" customHeight="false" outlineLevel="0" collapsed="false">
      <c r="A75" s="11"/>
      <c r="B75" s="17" t="str">
        <f aca="false">IF(A75="","",IFERROR(INDEX(Cadastro!$B$5:$B$304,MATCH(A75,Cadastro!$A$5:$A$304,0)),"ID não encontrado"))</f>
        <v/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2" t="str">
        <f aca="false">IF(A75="","",COUNTIF(C75:U75,"N"))</f>
        <v/>
      </c>
      <c r="W75" s="2" t="str">
        <f aca="false">IF(A75="","",IF(V75=0,"Completo","Pendente"))</f>
        <v/>
      </c>
      <c r="X75" s="11"/>
      <c r="Y75" s="11"/>
      <c r="Z75" s="11"/>
    </row>
    <row r="76" customFormat="false" ht="15" hidden="false" customHeight="false" outlineLevel="0" collapsed="false">
      <c r="A76" s="11"/>
      <c r="B76" s="17" t="str">
        <f aca="false">IF(A76="","",IFERROR(INDEX(Cadastro!$B$5:$B$304,MATCH(A76,Cadastro!$A$5:$A$304,0)),"ID não encontrado"))</f>
        <v/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2" t="str">
        <f aca="false">IF(A76="","",COUNTIF(C76:U76,"N"))</f>
        <v/>
      </c>
      <c r="W76" s="2" t="str">
        <f aca="false">IF(A76="","",IF(V76=0,"Completo","Pendente"))</f>
        <v/>
      </c>
      <c r="X76" s="11"/>
      <c r="Y76" s="11"/>
      <c r="Z76" s="11"/>
    </row>
    <row r="77" customFormat="false" ht="15" hidden="false" customHeight="false" outlineLevel="0" collapsed="false">
      <c r="A77" s="11"/>
      <c r="B77" s="17" t="str">
        <f aca="false">IF(A77="","",IFERROR(INDEX(Cadastro!$B$5:$B$304,MATCH(A77,Cadastro!$A$5:$A$304,0)),"ID não encontrado"))</f>
        <v/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2" t="str">
        <f aca="false">IF(A77="","",COUNTIF(C77:U77,"N"))</f>
        <v/>
      </c>
      <c r="W77" s="2" t="str">
        <f aca="false">IF(A77="","",IF(V77=0,"Completo","Pendente"))</f>
        <v/>
      </c>
      <c r="X77" s="11"/>
      <c r="Y77" s="11"/>
      <c r="Z77" s="11"/>
    </row>
    <row r="78" customFormat="false" ht="15" hidden="false" customHeight="false" outlineLevel="0" collapsed="false">
      <c r="A78" s="11"/>
      <c r="B78" s="17" t="str">
        <f aca="false">IF(A78="","",IFERROR(INDEX(Cadastro!$B$5:$B$304,MATCH(A78,Cadastro!$A$5:$A$304,0)),"ID não encontrado"))</f>
        <v/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2" t="str">
        <f aca="false">IF(A78="","",COUNTIF(C78:U78,"N"))</f>
        <v/>
      </c>
      <c r="W78" s="2" t="str">
        <f aca="false">IF(A78="","",IF(V78=0,"Completo","Pendente"))</f>
        <v/>
      </c>
      <c r="X78" s="11"/>
      <c r="Y78" s="11"/>
      <c r="Z78" s="11"/>
    </row>
    <row r="79" customFormat="false" ht="15" hidden="false" customHeight="false" outlineLevel="0" collapsed="false">
      <c r="A79" s="11"/>
      <c r="B79" s="17" t="str">
        <f aca="false">IF(A79="","",IFERROR(INDEX(Cadastro!$B$5:$B$304,MATCH(A79,Cadastro!$A$5:$A$304,0)),"ID não encontrado"))</f>
        <v/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2" t="str">
        <f aca="false">IF(A79="","",COUNTIF(C79:U79,"N"))</f>
        <v/>
      </c>
      <c r="W79" s="2" t="str">
        <f aca="false">IF(A79="","",IF(V79=0,"Completo","Pendente"))</f>
        <v/>
      </c>
      <c r="X79" s="11"/>
      <c r="Y79" s="11"/>
      <c r="Z79" s="11"/>
    </row>
    <row r="80" customFormat="false" ht="15" hidden="false" customHeight="false" outlineLevel="0" collapsed="false">
      <c r="A80" s="11"/>
      <c r="B80" s="17" t="str">
        <f aca="false">IF(A80="","",IFERROR(INDEX(Cadastro!$B$5:$B$304,MATCH(A80,Cadastro!$A$5:$A$304,0)),"ID não encontrado"))</f>
        <v/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2" t="str">
        <f aca="false">IF(A80="","",COUNTIF(C80:U80,"N"))</f>
        <v/>
      </c>
      <c r="W80" s="2" t="str">
        <f aca="false">IF(A80="","",IF(V80=0,"Completo","Pendente"))</f>
        <v/>
      </c>
      <c r="X80" s="11"/>
      <c r="Y80" s="11"/>
      <c r="Z80" s="11"/>
    </row>
    <row r="81" customFormat="false" ht="15" hidden="false" customHeight="false" outlineLevel="0" collapsed="false">
      <c r="A81" s="11"/>
      <c r="B81" s="17" t="str">
        <f aca="false">IF(A81="","",IFERROR(INDEX(Cadastro!$B$5:$B$304,MATCH(A81,Cadastro!$A$5:$A$304,0)),"ID não encontrado"))</f>
        <v/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2" t="str">
        <f aca="false">IF(A81="","",COUNTIF(C81:U81,"N"))</f>
        <v/>
      </c>
      <c r="W81" s="2" t="str">
        <f aca="false">IF(A81="","",IF(V81=0,"Completo","Pendente"))</f>
        <v/>
      </c>
      <c r="X81" s="11"/>
      <c r="Y81" s="11"/>
      <c r="Z81" s="11"/>
    </row>
    <row r="82" customFormat="false" ht="15" hidden="false" customHeight="false" outlineLevel="0" collapsed="false">
      <c r="A82" s="11"/>
      <c r="B82" s="17" t="str">
        <f aca="false">IF(A82="","",IFERROR(INDEX(Cadastro!$B$5:$B$304,MATCH(A82,Cadastro!$A$5:$A$304,0)),"ID não encontrado"))</f>
        <v/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2" t="str">
        <f aca="false">IF(A82="","",COUNTIF(C82:U82,"N"))</f>
        <v/>
      </c>
      <c r="W82" s="2" t="str">
        <f aca="false">IF(A82="","",IF(V82=0,"Completo","Pendente"))</f>
        <v/>
      </c>
      <c r="X82" s="11"/>
      <c r="Y82" s="11"/>
      <c r="Z82" s="11"/>
    </row>
    <row r="83" customFormat="false" ht="15" hidden="false" customHeight="false" outlineLevel="0" collapsed="false">
      <c r="A83" s="11"/>
      <c r="B83" s="17" t="str">
        <f aca="false">IF(A83="","",IFERROR(INDEX(Cadastro!$B$5:$B$304,MATCH(A83,Cadastro!$A$5:$A$304,0)),"ID não encontrado"))</f>
        <v/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2" t="str">
        <f aca="false">IF(A83="","",COUNTIF(C83:U83,"N"))</f>
        <v/>
      </c>
      <c r="W83" s="2" t="str">
        <f aca="false">IF(A83="","",IF(V83=0,"Completo","Pendente"))</f>
        <v/>
      </c>
      <c r="X83" s="11"/>
      <c r="Y83" s="11"/>
      <c r="Z83" s="11"/>
    </row>
    <row r="84" customFormat="false" ht="15" hidden="false" customHeight="false" outlineLevel="0" collapsed="false">
      <c r="A84" s="11"/>
      <c r="B84" s="17" t="str">
        <f aca="false">IF(A84="","",IFERROR(INDEX(Cadastro!$B$5:$B$304,MATCH(A84,Cadastro!$A$5:$A$304,0)),"ID não encontrado"))</f>
        <v/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2" t="str">
        <f aca="false">IF(A84="","",COUNTIF(C84:U84,"N"))</f>
        <v/>
      </c>
      <c r="W84" s="2" t="str">
        <f aca="false">IF(A84="","",IF(V84=0,"Completo","Pendente"))</f>
        <v/>
      </c>
      <c r="X84" s="11"/>
      <c r="Y84" s="11"/>
      <c r="Z84" s="11"/>
    </row>
    <row r="85" customFormat="false" ht="15" hidden="false" customHeight="false" outlineLevel="0" collapsed="false">
      <c r="A85" s="11"/>
      <c r="B85" s="17" t="str">
        <f aca="false">IF(A85="","",IFERROR(INDEX(Cadastro!$B$5:$B$304,MATCH(A85,Cadastro!$A$5:$A$304,0)),"ID não encontrado"))</f>
        <v/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2" t="str">
        <f aca="false">IF(A85="","",COUNTIF(C85:U85,"N"))</f>
        <v/>
      </c>
      <c r="W85" s="2" t="str">
        <f aca="false">IF(A85="","",IF(V85=0,"Completo","Pendente"))</f>
        <v/>
      </c>
      <c r="X85" s="11"/>
      <c r="Y85" s="11"/>
      <c r="Z85" s="11"/>
    </row>
    <row r="86" customFormat="false" ht="15" hidden="false" customHeight="false" outlineLevel="0" collapsed="false">
      <c r="A86" s="11"/>
      <c r="B86" s="17" t="str">
        <f aca="false">IF(A86="","",IFERROR(INDEX(Cadastro!$B$5:$B$304,MATCH(A86,Cadastro!$A$5:$A$304,0)),"ID não encontrado"))</f>
        <v/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2" t="str">
        <f aca="false">IF(A86="","",COUNTIF(C86:U86,"N"))</f>
        <v/>
      </c>
      <c r="W86" s="2" t="str">
        <f aca="false">IF(A86="","",IF(V86=0,"Completo","Pendente"))</f>
        <v/>
      </c>
      <c r="X86" s="11"/>
      <c r="Y86" s="11"/>
      <c r="Z86" s="11"/>
    </row>
    <row r="87" customFormat="false" ht="15" hidden="false" customHeight="false" outlineLevel="0" collapsed="false">
      <c r="A87" s="11"/>
      <c r="B87" s="17" t="str">
        <f aca="false">IF(A87="","",IFERROR(INDEX(Cadastro!$B$5:$B$304,MATCH(A87,Cadastro!$A$5:$A$304,0)),"ID não encontrado"))</f>
        <v/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2" t="str">
        <f aca="false">IF(A87="","",COUNTIF(C87:U87,"N"))</f>
        <v/>
      </c>
      <c r="W87" s="2" t="str">
        <f aca="false">IF(A87="","",IF(V87=0,"Completo","Pendente"))</f>
        <v/>
      </c>
      <c r="X87" s="11"/>
      <c r="Y87" s="11"/>
      <c r="Z87" s="11"/>
    </row>
    <row r="88" customFormat="false" ht="15" hidden="false" customHeight="false" outlineLevel="0" collapsed="false">
      <c r="A88" s="11"/>
      <c r="B88" s="17" t="str">
        <f aca="false">IF(A88="","",IFERROR(INDEX(Cadastro!$B$5:$B$304,MATCH(A88,Cadastro!$A$5:$A$304,0)),"ID não encontrado"))</f>
        <v/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2" t="str">
        <f aca="false">IF(A88="","",COUNTIF(C88:U88,"N"))</f>
        <v/>
      </c>
      <c r="W88" s="2" t="str">
        <f aca="false">IF(A88="","",IF(V88=0,"Completo","Pendente"))</f>
        <v/>
      </c>
      <c r="X88" s="11"/>
      <c r="Y88" s="11"/>
      <c r="Z88" s="11"/>
    </row>
    <row r="89" customFormat="false" ht="15" hidden="false" customHeight="false" outlineLevel="0" collapsed="false">
      <c r="A89" s="11"/>
      <c r="B89" s="17" t="str">
        <f aca="false">IF(A89="","",IFERROR(INDEX(Cadastro!$B$5:$B$304,MATCH(A89,Cadastro!$A$5:$A$304,0)),"ID não encontrado"))</f>
        <v/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2" t="str">
        <f aca="false">IF(A89="","",COUNTIF(C89:U89,"N"))</f>
        <v/>
      </c>
      <c r="W89" s="2" t="str">
        <f aca="false">IF(A89="","",IF(V89=0,"Completo","Pendente"))</f>
        <v/>
      </c>
      <c r="X89" s="11"/>
      <c r="Y89" s="11"/>
      <c r="Z89" s="11"/>
    </row>
    <row r="90" customFormat="false" ht="15" hidden="false" customHeight="false" outlineLevel="0" collapsed="false">
      <c r="A90" s="11"/>
      <c r="B90" s="17" t="str">
        <f aca="false">IF(A90="","",IFERROR(INDEX(Cadastro!$B$5:$B$304,MATCH(A90,Cadastro!$A$5:$A$304,0)),"ID não encontrado"))</f>
        <v/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2" t="str">
        <f aca="false">IF(A90="","",COUNTIF(C90:U90,"N"))</f>
        <v/>
      </c>
      <c r="W90" s="2" t="str">
        <f aca="false">IF(A90="","",IF(V90=0,"Completo","Pendente"))</f>
        <v/>
      </c>
      <c r="X90" s="11"/>
      <c r="Y90" s="11"/>
      <c r="Z90" s="11"/>
    </row>
    <row r="91" customFormat="false" ht="15" hidden="false" customHeight="false" outlineLevel="0" collapsed="false">
      <c r="A91" s="11"/>
      <c r="B91" s="17" t="str">
        <f aca="false">IF(A91="","",IFERROR(INDEX(Cadastro!$B$5:$B$304,MATCH(A91,Cadastro!$A$5:$A$304,0)),"ID não encontrado"))</f>
        <v/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2" t="str">
        <f aca="false">IF(A91="","",COUNTIF(C91:U91,"N"))</f>
        <v/>
      </c>
      <c r="W91" s="2" t="str">
        <f aca="false">IF(A91="","",IF(V91=0,"Completo","Pendente"))</f>
        <v/>
      </c>
      <c r="X91" s="11"/>
      <c r="Y91" s="11"/>
      <c r="Z91" s="11"/>
    </row>
    <row r="92" customFormat="false" ht="15" hidden="false" customHeight="false" outlineLevel="0" collapsed="false">
      <c r="A92" s="11"/>
      <c r="B92" s="17" t="str">
        <f aca="false">IF(A92="","",IFERROR(INDEX(Cadastro!$B$5:$B$304,MATCH(A92,Cadastro!$A$5:$A$304,0)),"ID não encontrado"))</f>
        <v/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2" t="str">
        <f aca="false">IF(A92="","",COUNTIF(C92:U92,"N"))</f>
        <v/>
      </c>
      <c r="W92" s="2" t="str">
        <f aca="false">IF(A92="","",IF(V92=0,"Completo","Pendente"))</f>
        <v/>
      </c>
      <c r="X92" s="11"/>
      <c r="Y92" s="11"/>
      <c r="Z92" s="11"/>
    </row>
    <row r="93" customFormat="false" ht="15" hidden="false" customHeight="false" outlineLevel="0" collapsed="false">
      <c r="A93" s="11"/>
      <c r="B93" s="17" t="str">
        <f aca="false">IF(A93="","",IFERROR(INDEX(Cadastro!$B$5:$B$304,MATCH(A93,Cadastro!$A$5:$A$304,0)),"ID não encontrado"))</f>
        <v/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2" t="str">
        <f aca="false">IF(A93="","",COUNTIF(C93:U93,"N"))</f>
        <v/>
      </c>
      <c r="W93" s="2" t="str">
        <f aca="false">IF(A93="","",IF(V93=0,"Completo","Pendente"))</f>
        <v/>
      </c>
      <c r="X93" s="11"/>
      <c r="Y93" s="11"/>
      <c r="Z93" s="11"/>
    </row>
    <row r="94" customFormat="false" ht="15" hidden="false" customHeight="false" outlineLevel="0" collapsed="false">
      <c r="A94" s="11"/>
      <c r="B94" s="17" t="str">
        <f aca="false">IF(A94="","",IFERROR(INDEX(Cadastro!$B$5:$B$304,MATCH(A94,Cadastro!$A$5:$A$304,0)),"ID não encontrado"))</f>
        <v/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2" t="str">
        <f aca="false">IF(A94="","",COUNTIF(C94:U94,"N"))</f>
        <v/>
      </c>
      <c r="W94" s="2" t="str">
        <f aca="false">IF(A94="","",IF(V94=0,"Completo","Pendente"))</f>
        <v/>
      </c>
      <c r="X94" s="11"/>
      <c r="Y94" s="11"/>
      <c r="Z94" s="11"/>
    </row>
    <row r="95" customFormat="false" ht="15" hidden="false" customHeight="false" outlineLevel="0" collapsed="false">
      <c r="A95" s="11"/>
      <c r="B95" s="17" t="str">
        <f aca="false">IF(A95="","",IFERROR(INDEX(Cadastro!$B$5:$B$304,MATCH(A95,Cadastro!$A$5:$A$304,0)),"ID não encontrado"))</f>
        <v/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2" t="str">
        <f aca="false">IF(A95="","",COUNTIF(C95:U95,"N"))</f>
        <v/>
      </c>
      <c r="W95" s="2" t="str">
        <f aca="false">IF(A95="","",IF(V95=0,"Completo","Pendente"))</f>
        <v/>
      </c>
      <c r="X95" s="11"/>
      <c r="Y95" s="11"/>
      <c r="Z95" s="11"/>
    </row>
    <row r="96" customFormat="false" ht="15" hidden="false" customHeight="false" outlineLevel="0" collapsed="false">
      <c r="A96" s="11"/>
      <c r="B96" s="17" t="str">
        <f aca="false">IF(A96="","",IFERROR(INDEX(Cadastro!$B$5:$B$304,MATCH(A96,Cadastro!$A$5:$A$304,0)),"ID não encontrado"))</f>
        <v/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2" t="str">
        <f aca="false">IF(A96="","",COUNTIF(C96:U96,"N"))</f>
        <v/>
      </c>
      <c r="W96" s="2" t="str">
        <f aca="false">IF(A96="","",IF(V96=0,"Completo","Pendente"))</f>
        <v/>
      </c>
      <c r="X96" s="11"/>
      <c r="Y96" s="11"/>
      <c r="Z96" s="11"/>
    </row>
    <row r="97" customFormat="false" ht="15" hidden="false" customHeight="false" outlineLevel="0" collapsed="false">
      <c r="A97" s="11"/>
      <c r="B97" s="17" t="str">
        <f aca="false">IF(A97="","",IFERROR(INDEX(Cadastro!$B$5:$B$304,MATCH(A97,Cadastro!$A$5:$A$304,0)),"ID não encontrado"))</f>
        <v/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2" t="str">
        <f aca="false">IF(A97="","",COUNTIF(C97:U97,"N"))</f>
        <v/>
      </c>
      <c r="W97" s="2" t="str">
        <f aca="false">IF(A97="","",IF(V97=0,"Completo","Pendente"))</f>
        <v/>
      </c>
      <c r="X97" s="11"/>
      <c r="Y97" s="11"/>
      <c r="Z97" s="11"/>
    </row>
    <row r="98" customFormat="false" ht="15" hidden="false" customHeight="false" outlineLevel="0" collapsed="false">
      <c r="A98" s="11"/>
      <c r="B98" s="17" t="str">
        <f aca="false">IF(A98="","",IFERROR(INDEX(Cadastro!$B$5:$B$304,MATCH(A98,Cadastro!$A$5:$A$304,0)),"ID não encontrado"))</f>
        <v/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2" t="str">
        <f aca="false">IF(A98="","",COUNTIF(C98:U98,"N"))</f>
        <v/>
      </c>
      <c r="W98" s="2" t="str">
        <f aca="false">IF(A98="","",IF(V98=0,"Completo","Pendente"))</f>
        <v/>
      </c>
      <c r="X98" s="11"/>
      <c r="Y98" s="11"/>
      <c r="Z98" s="11"/>
    </row>
    <row r="99" customFormat="false" ht="15" hidden="false" customHeight="false" outlineLevel="0" collapsed="false">
      <c r="A99" s="11"/>
      <c r="B99" s="17" t="str">
        <f aca="false">IF(A99="","",IFERROR(INDEX(Cadastro!$B$5:$B$304,MATCH(A99,Cadastro!$A$5:$A$304,0)),"ID não encontrado"))</f>
        <v/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2" t="str">
        <f aca="false">IF(A99="","",COUNTIF(C99:U99,"N"))</f>
        <v/>
      </c>
      <c r="W99" s="2" t="str">
        <f aca="false">IF(A99="","",IF(V99=0,"Completo","Pendente"))</f>
        <v/>
      </c>
      <c r="X99" s="11"/>
      <c r="Y99" s="11"/>
      <c r="Z99" s="11"/>
    </row>
    <row r="100" customFormat="false" ht="15" hidden="false" customHeight="false" outlineLevel="0" collapsed="false">
      <c r="A100" s="11"/>
      <c r="B100" s="17" t="str">
        <f aca="false">IF(A100="","",IFERROR(INDEX(Cadastro!$B$5:$B$304,MATCH(A100,Cadastro!$A$5:$A$304,0)),"ID não encontrado"))</f>
        <v/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2" t="str">
        <f aca="false">IF(A100="","",COUNTIF(C100:U100,"N"))</f>
        <v/>
      </c>
      <c r="W100" s="2" t="str">
        <f aca="false">IF(A100="","",IF(V100=0,"Completo","Pendente"))</f>
        <v/>
      </c>
      <c r="X100" s="11"/>
      <c r="Y100" s="11"/>
      <c r="Z100" s="11"/>
    </row>
    <row r="101" customFormat="false" ht="15" hidden="false" customHeight="false" outlineLevel="0" collapsed="false">
      <c r="A101" s="11"/>
      <c r="B101" s="17" t="str">
        <f aca="false">IF(A101="","",IFERROR(INDEX(Cadastro!$B$5:$B$304,MATCH(A101,Cadastro!$A$5:$A$304,0)),"ID não encontrado"))</f>
        <v/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2" t="str">
        <f aca="false">IF(A101="","",COUNTIF(C101:U101,"N"))</f>
        <v/>
      </c>
      <c r="W101" s="2" t="str">
        <f aca="false">IF(A101="","",IF(V101=0,"Completo","Pendente"))</f>
        <v/>
      </c>
      <c r="X101" s="11"/>
      <c r="Y101" s="11"/>
      <c r="Z101" s="11"/>
    </row>
    <row r="102" customFormat="false" ht="15" hidden="false" customHeight="false" outlineLevel="0" collapsed="false">
      <c r="A102" s="11"/>
      <c r="B102" s="17" t="str">
        <f aca="false">IF(A102="","",IFERROR(INDEX(Cadastro!$B$5:$B$304,MATCH(A102,Cadastro!$A$5:$A$304,0)),"ID não encontrado"))</f>
        <v/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2" t="str">
        <f aca="false">IF(A102="","",COUNTIF(C102:U102,"N"))</f>
        <v/>
      </c>
      <c r="W102" s="2" t="str">
        <f aca="false">IF(A102="","",IF(V102=0,"Completo","Pendente"))</f>
        <v/>
      </c>
      <c r="X102" s="11"/>
      <c r="Y102" s="11"/>
      <c r="Z102" s="11"/>
    </row>
    <row r="103" customFormat="false" ht="15" hidden="false" customHeight="false" outlineLevel="0" collapsed="false">
      <c r="A103" s="11"/>
      <c r="B103" s="17" t="str">
        <f aca="false">IF(A103="","",IFERROR(INDEX(Cadastro!$B$5:$B$304,MATCH(A103,Cadastro!$A$5:$A$304,0)),"ID não encontrado"))</f>
        <v/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2" t="str">
        <f aca="false">IF(A103="","",COUNTIF(C103:U103,"N"))</f>
        <v/>
      </c>
      <c r="W103" s="2" t="str">
        <f aca="false">IF(A103="","",IF(V103=0,"Completo","Pendente"))</f>
        <v/>
      </c>
      <c r="X103" s="11"/>
      <c r="Y103" s="11"/>
      <c r="Z103" s="11"/>
    </row>
    <row r="104" customFormat="false" ht="15" hidden="false" customHeight="false" outlineLevel="0" collapsed="false">
      <c r="A104" s="11"/>
      <c r="B104" s="17" t="str">
        <f aca="false">IF(A104="","",IFERROR(INDEX(Cadastro!$B$5:$B$304,MATCH(A104,Cadastro!$A$5:$A$304,0)),"ID não encontrado"))</f>
        <v/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2" t="str">
        <f aca="false">IF(A104="","",COUNTIF(C104:U104,"N"))</f>
        <v/>
      </c>
      <c r="W104" s="2" t="str">
        <f aca="false">IF(A104="","",IF(V104=0,"Completo","Pendente"))</f>
        <v/>
      </c>
      <c r="X104" s="11"/>
      <c r="Y104" s="11"/>
      <c r="Z104" s="11"/>
    </row>
    <row r="105" customFormat="false" ht="15" hidden="false" customHeight="false" outlineLevel="0" collapsed="false">
      <c r="A105" s="11"/>
      <c r="B105" s="17" t="str">
        <f aca="false">IF(A105="","",IFERROR(INDEX(Cadastro!$B$5:$B$304,MATCH(A105,Cadastro!$A$5:$A$304,0)),"ID não encontrado"))</f>
        <v/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2" t="str">
        <f aca="false">IF(A105="","",COUNTIF(C105:U105,"N"))</f>
        <v/>
      </c>
      <c r="W105" s="2" t="str">
        <f aca="false">IF(A105="","",IF(V105=0,"Completo","Pendente"))</f>
        <v/>
      </c>
      <c r="X105" s="11"/>
      <c r="Y105" s="11"/>
      <c r="Z105" s="11"/>
    </row>
    <row r="106" customFormat="false" ht="15" hidden="false" customHeight="false" outlineLevel="0" collapsed="false">
      <c r="A106" s="11"/>
      <c r="B106" s="17" t="str">
        <f aca="false">IF(A106="","",IFERROR(INDEX(Cadastro!$B$5:$B$304,MATCH(A106,Cadastro!$A$5:$A$304,0)),"ID não encontrado"))</f>
        <v/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2" t="str">
        <f aca="false">IF(A106="","",COUNTIF(C106:U106,"N"))</f>
        <v/>
      </c>
      <c r="W106" s="2" t="str">
        <f aca="false">IF(A106="","",IF(V106=0,"Completo","Pendente"))</f>
        <v/>
      </c>
      <c r="X106" s="11"/>
      <c r="Y106" s="11"/>
      <c r="Z106" s="11"/>
    </row>
    <row r="107" customFormat="false" ht="15" hidden="false" customHeight="false" outlineLevel="0" collapsed="false">
      <c r="A107" s="11"/>
      <c r="B107" s="17" t="str">
        <f aca="false">IF(A107="","",IFERROR(INDEX(Cadastro!$B$5:$B$304,MATCH(A107,Cadastro!$A$5:$A$304,0)),"ID não encontrado"))</f>
        <v/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2" t="str">
        <f aca="false">IF(A107="","",COUNTIF(C107:U107,"N"))</f>
        <v/>
      </c>
      <c r="W107" s="2" t="str">
        <f aca="false">IF(A107="","",IF(V107=0,"Completo","Pendente"))</f>
        <v/>
      </c>
      <c r="X107" s="11"/>
      <c r="Y107" s="11"/>
      <c r="Z107" s="11"/>
    </row>
    <row r="108" customFormat="false" ht="15" hidden="false" customHeight="false" outlineLevel="0" collapsed="false">
      <c r="A108" s="11"/>
      <c r="B108" s="17" t="str">
        <f aca="false">IF(A108="","",IFERROR(INDEX(Cadastro!$B$5:$B$304,MATCH(A108,Cadastro!$A$5:$A$304,0)),"ID não encontrado"))</f>
        <v/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2" t="str">
        <f aca="false">IF(A108="","",COUNTIF(C108:U108,"N"))</f>
        <v/>
      </c>
      <c r="W108" s="2" t="str">
        <f aca="false">IF(A108="","",IF(V108=0,"Completo","Pendente"))</f>
        <v/>
      </c>
      <c r="X108" s="11"/>
      <c r="Y108" s="11"/>
      <c r="Z108" s="11"/>
    </row>
    <row r="109" customFormat="false" ht="15" hidden="false" customHeight="false" outlineLevel="0" collapsed="false">
      <c r="A109" s="11"/>
      <c r="B109" s="17" t="str">
        <f aca="false">IF(A109="","",IFERROR(INDEX(Cadastro!$B$5:$B$304,MATCH(A109,Cadastro!$A$5:$A$304,0)),"ID não encontrado"))</f>
        <v/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2" t="str">
        <f aca="false">IF(A109="","",COUNTIF(C109:U109,"N"))</f>
        <v/>
      </c>
      <c r="W109" s="2" t="str">
        <f aca="false">IF(A109="","",IF(V109=0,"Completo","Pendente"))</f>
        <v/>
      </c>
      <c r="X109" s="11"/>
      <c r="Y109" s="11"/>
      <c r="Z109" s="11"/>
    </row>
    <row r="110" customFormat="false" ht="15" hidden="false" customHeight="false" outlineLevel="0" collapsed="false">
      <c r="A110" s="11"/>
      <c r="B110" s="17" t="str">
        <f aca="false">IF(A110="","",IFERROR(INDEX(Cadastro!$B$5:$B$304,MATCH(A110,Cadastro!$A$5:$A$304,0)),"ID não encontrado"))</f>
        <v/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2" t="str">
        <f aca="false">IF(A110="","",COUNTIF(C110:U110,"N"))</f>
        <v/>
      </c>
      <c r="W110" s="2" t="str">
        <f aca="false">IF(A110="","",IF(V110=0,"Completo","Pendente"))</f>
        <v/>
      </c>
      <c r="X110" s="11"/>
      <c r="Y110" s="11"/>
      <c r="Z110" s="11"/>
    </row>
    <row r="111" customFormat="false" ht="15" hidden="false" customHeight="false" outlineLevel="0" collapsed="false">
      <c r="A111" s="11"/>
      <c r="B111" s="17" t="str">
        <f aca="false">IF(A111="","",IFERROR(INDEX(Cadastro!$B$5:$B$304,MATCH(A111,Cadastro!$A$5:$A$304,0)),"ID não encontrado"))</f>
        <v/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2" t="str">
        <f aca="false">IF(A111="","",COUNTIF(C111:U111,"N"))</f>
        <v/>
      </c>
      <c r="W111" s="2" t="str">
        <f aca="false">IF(A111="","",IF(V111=0,"Completo","Pendente"))</f>
        <v/>
      </c>
      <c r="X111" s="11"/>
      <c r="Y111" s="11"/>
      <c r="Z111" s="11"/>
    </row>
    <row r="112" customFormat="false" ht="15" hidden="false" customHeight="false" outlineLevel="0" collapsed="false">
      <c r="A112" s="11"/>
      <c r="B112" s="17" t="str">
        <f aca="false">IF(A112="","",IFERROR(INDEX(Cadastro!$B$5:$B$304,MATCH(A112,Cadastro!$A$5:$A$304,0)),"ID não encontrado"))</f>
        <v/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2" t="str">
        <f aca="false">IF(A112="","",COUNTIF(C112:U112,"N"))</f>
        <v/>
      </c>
      <c r="W112" s="2" t="str">
        <f aca="false">IF(A112="","",IF(V112=0,"Completo","Pendente"))</f>
        <v/>
      </c>
      <c r="X112" s="11"/>
      <c r="Y112" s="11"/>
      <c r="Z112" s="11"/>
    </row>
    <row r="113" customFormat="false" ht="15" hidden="false" customHeight="false" outlineLevel="0" collapsed="false">
      <c r="A113" s="11"/>
      <c r="B113" s="17" t="str">
        <f aca="false">IF(A113="","",IFERROR(INDEX(Cadastro!$B$5:$B$304,MATCH(A113,Cadastro!$A$5:$A$304,0)),"ID não encontrado"))</f>
        <v/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2" t="str">
        <f aca="false">IF(A113="","",COUNTIF(C113:U113,"N"))</f>
        <v/>
      </c>
      <c r="W113" s="2" t="str">
        <f aca="false">IF(A113="","",IF(V113=0,"Completo","Pendente"))</f>
        <v/>
      </c>
      <c r="X113" s="11"/>
      <c r="Y113" s="11"/>
      <c r="Z113" s="11"/>
    </row>
    <row r="114" customFormat="false" ht="15" hidden="false" customHeight="false" outlineLevel="0" collapsed="false">
      <c r="A114" s="11"/>
      <c r="B114" s="17" t="str">
        <f aca="false">IF(A114="","",IFERROR(INDEX(Cadastro!$B$5:$B$304,MATCH(A114,Cadastro!$A$5:$A$304,0)),"ID não encontrado"))</f>
        <v/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2" t="str">
        <f aca="false">IF(A114="","",COUNTIF(C114:U114,"N"))</f>
        <v/>
      </c>
      <c r="W114" s="2" t="str">
        <f aca="false">IF(A114="","",IF(V114=0,"Completo","Pendente"))</f>
        <v/>
      </c>
      <c r="X114" s="11"/>
      <c r="Y114" s="11"/>
      <c r="Z114" s="11"/>
    </row>
    <row r="115" customFormat="false" ht="15" hidden="false" customHeight="false" outlineLevel="0" collapsed="false">
      <c r="A115" s="11"/>
      <c r="B115" s="17" t="str">
        <f aca="false">IF(A115="","",IFERROR(INDEX(Cadastro!$B$5:$B$304,MATCH(A115,Cadastro!$A$5:$A$304,0)),"ID não encontrado"))</f>
        <v/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2" t="str">
        <f aca="false">IF(A115="","",COUNTIF(C115:U115,"N"))</f>
        <v/>
      </c>
      <c r="W115" s="2" t="str">
        <f aca="false">IF(A115="","",IF(V115=0,"Completo","Pendente"))</f>
        <v/>
      </c>
      <c r="X115" s="11"/>
      <c r="Y115" s="11"/>
      <c r="Z115" s="11"/>
    </row>
    <row r="116" customFormat="false" ht="15" hidden="false" customHeight="false" outlineLevel="0" collapsed="false">
      <c r="A116" s="11"/>
      <c r="B116" s="17" t="str">
        <f aca="false">IF(A116="","",IFERROR(INDEX(Cadastro!$B$5:$B$304,MATCH(A116,Cadastro!$A$5:$A$304,0)),"ID não encontrado"))</f>
        <v/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2" t="str">
        <f aca="false">IF(A116="","",COUNTIF(C116:U116,"N"))</f>
        <v/>
      </c>
      <c r="W116" s="2" t="str">
        <f aca="false">IF(A116="","",IF(V116=0,"Completo","Pendente"))</f>
        <v/>
      </c>
      <c r="X116" s="11"/>
      <c r="Y116" s="11"/>
      <c r="Z116" s="11"/>
    </row>
    <row r="117" customFormat="false" ht="15" hidden="false" customHeight="false" outlineLevel="0" collapsed="false">
      <c r="A117" s="11"/>
      <c r="B117" s="17" t="str">
        <f aca="false">IF(A117="","",IFERROR(INDEX(Cadastro!$B$5:$B$304,MATCH(A117,Cadastro!$A$5:$A$304,0)),"ID não encontrado"))</f>
        <v/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2" t="str">
        <f aca="false">IF(A117="","",COUNTIF(C117:U117,"N"))</f>
        <v/>
      </c>
      <c r="W117" s="2" t="str">
        <f aca="false">IF(A117="","",IF(V117=0,"Completo","Pendente"))</f>
        <v/>
      </c>
      <c r="X117" s="11"/>
      <c r="Y117" s="11"/>
      <c r="Z117" s="11"/>
    </row>
    <row r="118" customFormat="false" ht="15" hidden="false" customHeight="false" outlineLevel="0" collapsed="false">
      <c r="A118" s="11"/>
      <c r="B118" s="17" t="str">
        <f aca="false">IF(A118="","",IFERROR(INDEX(Cadastro!$B$5:$B$304,MATCH(A118,Cadastro!$A$5:$A$304,0)),"ID não encontrado"))</f>
        <v/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2" t="str">
        <f aca="false">IF(A118="","",COUNTIF(C118:U118,"N"))</f>
        <v/>
      </c>
      <c r="W118" s="2" t="str">
        <f aca="false">IF(A118="","",IF(V118=0,"Completo","Pendente"))</f>
        <v/>
      </c>
      <c r="X118" s="11"/>
      <c r="Y118" s="11"/>
      <c r="Z118" s="11"/>
    </row>
    <row r="119" customFormat="false" ht="15" hidden="false" customHeight="false" outlineLevel="0" collapsed="false">
      <c r="A119" s="11"/>
      <c r="B119" s="17" t="str">
        <f aca="false">IF(A119="","",IFERROR(INDEX(Cadastro!$B$5:$B$304,MATCH(A119,Cadastro!$A$5:$A$304,0)),"ID não encontrado"))</f>
        <v/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2" t="str">
        <f aca="false">IF(A119="","",COUNTIF(C119:U119,"N"))</f>
        <v/>
      </c>
      <c r="W119" s="2" t="str">
        <f aca="false">IF(A119="","",IF(V119=0,"Completo","Pendente"))</f>
        <v/>
      </c>
      <c r="X119" s="11"/>
      <c r="Y119" s="11"/>
      <c r="Z119" s="11"/>
    </row>
    <row r="120" customFormat="false" ht="15" hidden="false" customHeight="false" outlineLevel="0" collapsed="false">
      <c r="A120" s="11"/>
      <c r="B120" s="17" t="str">
        <f aca="false">IF(A120="","",IFERROR(INDEX(Cadastro!$B$5:$B$304,MATCH(A120,Cadastro!$A$5:$A$304,0)),"ID não encontrado"))</f>
        <v/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2" t="str">
        <f aca="false">IF(A120="","",COUNTIF(C120:U120,"N"))</f>
        <v/>
      </c>
      <c r="W120" s="2" t="str">
        <f aca="false">IF(A120="","",IF(V120=0,"Completo","Pendente"))</f>
        <v/>
      </c>
      <c r="X120" s="11"/>
      <c r="Y120" s="11"/>
      <c r="Z120" s="11"/>
    </row>
    <row r="121" customFormat="false" ht="15" hidden="false" customHeight="false" outlineLevel="0" collapsed="false">
      <c r="A121" s="11"/>
      <c r="B121" s="17" t="str">
        <f aca="false">IF(A121="","",IFERROR(INDEX(Cadastro!$B$5:$B$304,MATCH(A121,Cadastro!$A$5:$A$304,0)),"ID não encontrado"))</f>
        <v/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2" t="str">
        <f aca="false">IF(A121="","",COUNTIF(C121:U121,"N"))</f>
        <v/>
      </c>
      <c r="W121" s="2" t="str">
        <f aca="false">IF(A121="","",IF(V121=0,"Completo","Pendente"))</f>
        <v/>
      </c>
      <c r="X121" s="11"/>
      <c r="Y121" s="11"/>
      <c r="Z121" s="11"/>
    </row>
    <row r="122" customFormat="false" ht="15" hidden="false" customHeight="false" outlineLevel="0" collapsed="false">
      <c r="A122" s="11"/>
      <c r="B122" s="17" t="str">
        <f aca="false">IF(A122="","",IFERROR(INDEX(Cadastro!$B$5:$B$304,MATCH(A122,Cadastro!$A$5:$A$304,0)),"ID não encontrado"))</f>
        <v/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2" t="str">
        <f aca="false">IF(A122="","",COUNTIF(C122:U122,"N"))</f>
        <v/>
      </c>
      <c r="W122" s="2" t="str">
        <f aca="false">IF(A122="","",IF(V122=0,"Completo","Pendente"))</f>
        <v/>
      </c>
      <c r="X122" s="11"/>
      <c r="Y122" s="11"/>
      <c r="Z122" s="11"/>
    </row>
    <row r="123" customFormat="false" ht="15" hidden="false" customHeight="false" outlineLevel="0" collapsed="false">
      <c r="A123" s="11"/>
      <c r="B123" s="17" t="str">
        <f aca="false">IF(A123="","",IFERROR(INDEX(Cadastro!$B$5:$B$304,MATCH(A123,Cadastro!$A$5:$A$304,0)),"ID não encontrado"))</f>
        <v/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2" t="str">
        <f aca="false">IF(A123="","",COUNTIF(C123:U123,"N"))</f>
        <v/>
      </c>
      <c r="W123" s="2" t="str">
        <f aca="false">IF(A123="","",IF(V123=0,"Completo","Pendente"))</f>
        <v/>
      </c>
      <c r="X123" s="11"/>
      <c r="Y123" s="11"/>
      <c r="Z123" s="11"/>
    </row>
    <row r="124" customFormat="false" ht="15" hidden="false" customHeight="false" outlineLevel="0" collapsed="false">
      <c r="A124" s="11"/>
      <c r="B124" s="17" t="str">
        <f aca="false">IF(A124="","",IFERROR(INDEX(Cadastro!$B$5:$B$304,MATCH(A124,Cadastro!$A$5:$A$304,0)),"ID não encontrado"))</f>
        <v/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2" t="str">
        <f aca="false">IF(A124="","",COUNTIF(C124:U124,"N"))</f>
        <v/>
      </c>
      <c r="W124" s="2" t="str">
        <f aca="false">IF(A124="","",IF(V124=0,"Completo","Pendente"))</f>
        <v/>
      </c>
      <c r="X124" s="11"/>
      <c r="Y124" s="11"/>
      <c r="Z124" s="11"/>
    </row>
    <row r="125" customFormat="false" ht="15" hidden="false" customHeight="false" outlineLevel="0" collapsed="false">
      <c r="A125" s="11"/>
      <c r="B125" s="17" t="str">
        <f aca="false">IF(A125="","",IFERROR(INDEX(Cadastro!$B$5:$B$304,MATCH(A125,Cadastro!$A$5:$A$304,0)),"ID não encontrado"))</f>
        <v/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2" t="str">
        <f aca="false">IF(A125="","",COUNTIF(C125:U125,"N"))</f>
        <v/>
      </c>
      <c r="W125" s="2" t="str">
        <f aca="false">IF(A125="","",IF(V125=0,"Completo","Pendente"))</f>
        <v/>
      </c>
      <c r="X125" s="11"/>
      <c r="Y125" s="11"/>
      <c r="Z125" s="11"/>
    </row>
    <row r="126" customFormat="false" ht="15" hidden="false" customHeight="false" outlineLevel="0" collapsed="false">
      <c r="A126" s="11"/>
      <c r="B126" s="17" t="str">
        <f aca="false">IF(A126="","",IFERROR(INDEX(Cadastro!$B$5:$B$304,MATCH(A126,Cadastro!$A$5:$A$304,0)),"ID não encontrado"))</f>
        <v/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2" t="str">
        <f aca="false">IF(A126="","",COUNTIF(C126:U126,"N"))</f>
        <v/>
      </c>
      <c r="W126" s="2" t="str">
        <f aca="false">IF(A126="","",IF(V126=0,"Completo","Pendente"))</f>
        <v/>
      </c>
      <c r="X126" s="11"/>
      <c r="Y126" s="11"/>
      <c r="Z126" s="11"/>
    </row>
    <row r="127" customFormat="false" ht="15" hidden="false" customHeight="false" outlineLevel="0" collapsed="false">
      <c r="A127" s="11"/>
      <c r="B127" s="17" t="str">
        <f aca="false">IF(A127="","",IFERROR(INDEX(Cadastro!$B$5:$B$304,MATCH(A127,Cadastro!$A$5:$A$304,0)),"ID não encontrado"))</f>
        <v/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2" t="str">
        <f aca="false">IF(A127="","",COUNTIF(C127:U127,"N"))</f>
        <v/>
      </c>
      <c r="W127" s="2" t="str">
        <f aca="false">IF(A127="","",IF(V127=0,"Completo","Pendente"))</f>
        <v/>
      </c>
      <c r="X127" s="11"/>
      <c r="Y127" s="11"/>
      <c r="Z127" s="11"/>
    </row>
    <row r="128" customFormat="false" ht="15" hidden="false" customHeight="false" outlineLevel="0" collapsed="false">
      <c r="A128" s="11"/>
      <c r="B128" s="17" t="str">
        <f aca="false">IF(A128="","",IFERROR(INDEX(Cadastro!$B$5:$B$304,MATCH(A128,Cadastro!$A$5:$A$304,0)),"ID não encontrado"))</f>
        <v/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2" t="str">
        <f aca="false">IF(A128="","",COUNTIF(C128:U128,"N"))</f>
        <v/>
      </c>
      <c r="W128" s="2" t="str">
        <f aca="false">IF(A128="","",IF(V128=0,"Completo","Pendente"))</f>
        <v/>
      </c>
      <c r="X128" s="11"/>
      <c r="Y128" s="11"/>
      <c r="Z128" s="11"/>
    </row>
    <row r="129" customFormat="false" ht="15" hidden="false" customHeight="false" outlineLevel="0" collapsed="false">
      <c r="A129" s="11"/>
      <c r="B129" s="17" t="str">
        <f aca="false">IF(A129="","",IFERROR(INDEX(Cadastro!$B$5:$B$304,MATCH(A129,Cadastro!$A$5:$A$304,0)),"ID não encontrado"))</f>
        <v/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2" t="str">
        <f aca="false">IF(A129="","",COUNTIF(C129:U129,"N"))</f>
        <v/>
      </c>
      <c r="W129" s="2" t="str">
        <f aca="false">IF(A129="","",IF(V129=0,"Completo","Pendente"))</f>
        <v/>
      </c>
      <c r="X129" s="11"/>
      <c r="Y129" s="11"/>
      <c r="Z129" s="11"/>
    </row>
    <row r="130" customFormat="false" ht="15" hidden="false" customHeight="false" outlineLevel="0" collapsed="false">
      <c r="A130" s="11"/>
      <c r="B130" s="17" t="str">
        <f aca="false">IF(A130="","",IFERROR(INDEX(Cadastro!$B$5:$B$304,MATCH(A130,Cadastro!$A$5:$A$304,0)),"ID não encontrado"))</f>
        <v/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2" t="str">
        <f aca="false">IF(A130="","",COUNTIF(C130:U130,"N"))</f>
        <v/>
      </c>
      <c r="W130" s="2" t="str">
        <f aca="false">IF(A130="","",IF(V130=0,"Completo","Pendente"))</f>
        <v/>
      </c>
      <c r="X130" s="11"/>
      <c r="Y130" s="11"/>
      <c r="Z130" s="11"/>
    </row>
    <row r="131" customFormat="false" ht="15" hidden="false" customHeight="false" outlineLevel="0" collapsed="false">
      <c r="A131" s="11"/>
      <c r="B131" s="17" t="str">
        <f aca="false">IF(A131="","",IFERROR(INDEX(Cadastro!$B$5:$B$304,MATCH(A131,Cadastro!$A$5:$A$304,0)),"ID não encontrado"))</f>
        <v/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2" t="str">
        <f aca="false">IF(A131="","",COUNTIF(C131:U131,"N"))</f>
        <v/>
      </c>
      <c r="W131" s="2" t="str">
        <f aca="false">IF(A131="","",IF(V131=0,"Completo","Pendente"))</f>
        <v/>
      </c>
      <c r="X131" s="11"/>
      <c r="Y131" s="11"/>
      <c r="Z131" s="11"/>
    </row>
    <row r="132" customFormat="false" ht="15" hidden="false" customHeight="false" outlineLevel="0" collapsed="false">
      <c r="A132" s="11"/>
      <c r="B132" s="17" t="str">
        <f aca="false">IF(A132="","",IFERROR(INDEX(Cadastro!$B$5:$B$304,MATCH(A132,Cadastro!$A$5:$A$304,0)),"ID não encontrado"))</f>
        <v/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2" t="str">
        <f aca="false">IF(A132="","",COUNTIF(C132:U132,"N"))</f>
        <v/>
      </c>
      <c r="W132" s="2" t="str">
        <f aca="false">IF(A132="","",IF(V132=0,"Completo","Pendente"))</f>
        <v/>
      </c>
      <c r="X132" s="11"/>
      <c r="Y132" s="11"/>
      <c r="Z132" s="11"/>
    </row>
    <row r="133" customFormat="false" ht="15" hidden="false" customHeight="false" outlineLevel="0" collapsed="false">
      <c r="A133" s="11"/>
      <c r="B133" s="17" t="str">
        <f aca="false">IF(A133="","",IFERROR(INDEX(Cadastro!$B$5:$B$304,MATCH(A133,Cadastro!$A$5:$A$304,0)),"ID não encontrado"))</f>
        <v/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2" t="str">
        <f aca="false">IF(A133="","",COUNTIF(C133:U133,"N"))</f>
        <v/>
      </c>
      <c r="W133" s="2" t="str">
        <f aca="false">IF(A133="","",IF(V133=0,"Completo","Pendente"))</f>
        <v/>
      </c>
      <c r="X133" s="11"/>
      <c r="Y133" s="11"/>
      <c r="Z133" s="11"/>
    </row>
    <row r="134" customFormat="false" ht="15" hidden="false" customHeight="false" outlineLevel="0" collapsed="false">
      <c r="A134" s="11"/>
      <c r="B134" s="17" t="str">
        <f aca="false">IF(A134="","",IFERROR(INDEX(Cadastro!$B$5:$B$304,MATCH(A134,Cadastro!$A$5:$A$304,0)),"ID não encontrado"))</f>
        <v/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2" t="str">
        <f aca="false">IF(A134="","",COUNTIF(C134:U134,"N"))</f>
        <v/>
      </c>
      <c r="W134" s="2" t="str">
        <f aca="false">IF(A134="","",IF(V134=0,"Completo","Pendente"))</f>
        <v/>
      </c>
      <c r="X134" s="11"/>
      <c r="Y134" s="11"/>
      <c r="Z134" s="11"/>
    </row>
    <row r="135" customFormat="false" ht="15" hidden="false" customHeight="false" outlineLevel="0" collapsed="false">
      <c r="A135" s="11"/>
      <c r="B135" s="17" t="str">
        <f aca="false">IF(A135="","",IFERROR(INDEX(Cadastro!$B$5:$B$304,MATCH(A135,Cadastro!$A$5:$A$304,0)),"ID não encontrado"))</f>
        <v/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2" t="str">
        <f aca="false">IF(A135="","",COUNTIF(C135:U135,"N"))</f>
        <v/>
      </c>
      <c r="W135" s="2" t="str">
        <f aca="false">IF(A135="","",IF(V135=0,"Completo","Pendente"))</f>
        <v/>
      </c>
      <c r="X135" s="11"/>
      <c r="Y135" s="11"/>
      <c r="Z135" s="11"/>
    </row>
    <row r="136" customFormat="false" ht="15" hidden="false" customHeight="false" outlineLevel="0" collapsed="false">
      <c r="A136" s="11"/>
      <c r="B136" s="17" t="str">
        <f aca="false">IF(A136="","",IFERROR(INDEX(Cadastro!$B$5:$B$304,MATCH(A136,Cadastro!$A$5:$A$304,0)),"ID não encontrado"))</f>
        <v/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2" t="str">
        <f aca="false">IF(A136="","",COUNTIF(C136:U136,"N"))</f>
        <v/>
      </c>
      <c r="W136" s="2" t="str">
        <f aca="false">IF(A136="","",IF(V136=0,"Completo","Pendente"))</f>
        <v/>
      </c>
      <c r="X136" s="11"/>
      <c r="Y136" s="11"/>
      <c r="Z136" s="11"/>
    </row>
    <row r="137" customFormat="false" ht="15" hidden="false" customHeight="false" outlineLevel="0" collapsed="false">
      <c r="A137" s="11"/>
      <c r="B137" s="17" t="str">
        <f aca="false">IF(A137="","",IFERROR(INDEX(Cadastro!$B$5:$B$304,MATCH(A137,Cadastro!$A$5:$A$304,0)),"ID não encontrado"))</f>
        <v/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2" t="str">
        <f aca="false">IF(A137="","",COUNTIF(C137:U137,"N"))</f>
        <v/>
      </c>
      <c r="W137" s="2" t="str">
        <f aca="false">IF(A137="","",IF(V137=0,"Completo","Pendente"))</f>
        <v/>
      </c>
      <c r="X137" s="11"/>
      <c r="Y137" s="11"/>
      <c r="Z137" s="11"/>
    </row>
    <row r="138" customFormat="false" ht="15" hidden="false" customHeight="false" outlineLevel="0" collapsed="false">
      <c r="A138" s="11"/>
      <c r="B138" s="17" t="str">
        <f aca="false">IF(A138="","",IFERROR(INDEX(Cadastro!$B$5:$B$304,MATCH(A138,Cadastro!$A$5:$A$304,0)),"ID não encontrado"))</f>
        <v/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2" t="str">
        <f aca="false">IF(A138="","",COUNTIF(C138:U138,"N"))</f>
        <v/>
      </c>
      <c r="W138" s="2" t="str">
        <f aca="false">IF(A138="","",IF(V138=0,"Completo","Pendente"))</f>
        <v/>
      </c>
      <c r="X138" s="11"/>
      <c r="Y138" s="11"/>
      <c r="Z138" s="11"/>
    </row>
    <row r="139" customFormat="false" ht="15" hidden="false" customHeight="false" outlineLevel="0" collapsed="false">
      <c r="A139" s="11"/>
      <c r="B139" s="17" t="str">
        <f aca="false">IF(A139="","",IFERROR(INDEX(Cadastro!$B$5:$B$304,MATCH(A139,Cadastro!$A$5:$A$304,0)),"ID não encontrado"))</f>
        <v/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2" t="str">
        <f aca="false">IF(A139="","",COUNTIF(C139:U139,"N"))</f>
        <v/>
      </c>
      <c r="W139" s="2" t="str">
        <f aca="false">IF(A139="","",IF(V139=0,"Completo","Pendente"))</f>
        <v/>
      </c>
      <c r="X139" s="11"/>
      <c r="Y139" s="11"/>
      <c r="Z139" s="11"/>
    </row>
    <row r="140" customFormat="false" ht="15" hidden="false" customHeight="false" outlineLevel="0" collapsed="false">
      <c r="A140" s="11"/>
      <c r="B140" s="17" t="str">
        <f aca="false">IF(A140="","",IFERROR(INDEX(Cadastro!$B$5:$B$304,MATCH(A140,Cadastro!$A$5:$A$304,0)),"ID não encontrado"))</f>
        <v/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2" t="str">
        <f aca="false">IF(A140="","",COUNTIF(C140:U140,"N"))</f>
        <v/>
      </c>
      <c r="W140" s="2" t="str">
        <f aca="false">IF(A140="","",IF(V140=0,"Completo","Pendente"))</f>
        <v/>
      </c>
      <c r="X140" s="11"/>
      <c r="Y140" s="11"/>
      <c r="Z140" s="11"/>
    </row>
    <row r="141" customFormat="false" ht="15" hidden="false" customHeight="false" outlineLevel="0" collapsed="false">
      <c r="A141" s="11"/>
      <c r="B141" s="17" t="str">
        <f aca="false">IF(A141="","",IFERROR(INDEX(Cadastro!$B$5:$B$304,MATCH(A141,Cadastro!$A$5:$A$304,0)),"ID não encontrado"))</f>
        <v/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2" t="str">
        <f aca="false">IF(A141="","",COUNTIF(C141:U141,"N"))</f>
        <v/>
      </c>
      <c r="W141" s="2" t="str">
        <f aca="false">IF(A141="","",IF(V141=0,"Completo","Pendente"))</f>
        <v/>
      </c>
      <c r="X141" s="11"/>
      <c r="Y141" s="11"/>
      <c r="Z141" s="11"/>
    </row>
    <row r="142" customFormat="false" ht="15" hidden="false" customHeight="false" outlineLevel="0" collapsed="false">
      <c r="A142" s="11"/>
      <c r="B142" s="17" t="str">
        <f aca="false">IF(A142="","",IFERROR(INDEX(Cadastro!$B$5:$B$304,MATCH(A142,Cadastro!$A$5:$A$304,0)),"ID não encontrado"))</f>
        <v/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2" t="str">
        <f aca="false">IF(A142="","",COUNTIF(C142:U142,"N"))</f>
        <v/>
      </c>
      <c r="W142" s="2" t="str">
        <f aca="false">IF(A142="","",IF(V142=0,"Completo","Pendente"))</f>
        <v/>
      </c>
      <c r="X142" s="11"/>
      <c r="Y142" s="11"/>
      <c r="Z142" s="11"/>
    </row>
    <row r="143" customFormat="false" ht="15" hidden="false" customHeight="false" outlineLevel="0" collapsed="false">
      <c r="A143" s="11"/>
      <c r="B143" s="17" t="str">
        <f aca="false">IF(A143="","",IFERROR(INDEX(Cadastro!$B$5:$B$304,MATCH(A143,Cadastro!$A$5:$A$304,0)),"ID não encontrado"))</f>
        <v/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2" t="str">
        <f aca="false">IF(A143="","",COUNTIF(C143:U143,"N"))</f>
        <v/>
      </c>
      <c r="W143" s="2" t="str">
        <f aca="false">IF(A143="","",IF(V143=0,"Completo","Pendente"))</f>
        <v/>
      </c>
      <c r="X143" s="11"/>
      <c r="Y143" s="11"/>
      <c r="Z143" s="11"/>
    </row>
    <row r="144" customFormat="false" ht="15" hidden="false" customHeight="false" outlineLevel="0" collapsed="false">
      <c r="A144" s="11"/>
      <c r="B144" s="17" t="str">
        <f aca="false">IF(A144="","",IFERROR(INDEX(Cadastro!$B$5:$B$304,MATCH(A144,Cadastro!$A$5:$A$304,0)),"ID não encontrado"))</f>
        <v/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2" t="str">
        <f aca="false">IF(A144="","",COUNTIF(C144:U144,"N"))</f>
        <v/>
      </c>
      <c r="W144" s="2" t="str">
        <f aca="false">IF(A144="","",IF(V144=0,"Completo","Pendente"))</f>
        <v/>
      </c>
      <c r="X144" s="11"/>
      <c r="Y144" s="11"/>
      <c r="Z144" s="11"/>
    </row>
    <row r="145" customFormat="false" ht="15" hidden="false" customHeight="false" outlineLevel="0" collapsed="false">
      <c r="A145" s="11"/>
      <c r="B145" s="17" t="str">
        <f aca="false">IF(A145="","",IFERROR(INDEX(Cadastro!$B$5:$B$304,MATCH(A145,Cadastro!$A$5:$A$304,0)),"ID não encontrado"))</f>
        <v/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2" t="str">
        <f aca="false">IF(A145="","",COUNTIF(C145:U145,"N"))</f>
        <v/>
      </c>
      <c r="W145" s="2" t="str">
        <f aca="false">IF(A145="","",IF(V145=0,"Completo","Pendente"))</f>
        <v/>
      </c>
      <c r="X145" s="11"/>
      <c r="Y145" s="11"/>
      <c r="Z145" s="11"/>
    </row>
    <row r="146" customFormat="false" ht="15" hidden="false" customHeight="false" outlineLevel="0" collapsed="false">
      <c r="A146" s="11"/>
      <c r="B146" s="17" t="str">
        <f aca="false">IF(A146="","",IFERROR(INDEX(Cadastro!$B$5:$B$304,MATCH(A146,Cadastro!$A$5:$A$304,0)),"ID não encontrado"))</f>
        <v/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2" t="str">
        <f aca="false">IF(A146="","",COUNTIF(C146:U146,"N"))</f>
        <v/>
      </c>
      <c r="W146" s="2" t="str">
        <f aca="false">IF(A146="","",IF(V146=0,"Completo","Pendente"))</f>
        <v/>
      </c>
      <c r="X146" s="11"/>
      <c r="Y146" s="11"/>
      <c r="Z146" s="11"/>
    </row>
    <row r="147" customFormat="false" ht="15" hidden="false" customHeight="false" outlineLevel="0" collapsed="false">
      <c r="A147" s="11"/>
      <c r="B147" s="17" t="str">
        <f aca="false">IF(A147="","",IFERROR(INDEX(Cadastro!$B$5:$B$304,MATCH(A147,Cadastro!$A$5:$A$304,0)),"ID não encontrado"))</f>
        <v/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2" t="str">
        <f aca="false">IF(A147="","",COUNTIF(C147:U147,"N"))</f>
        <v/>
      </c>
      <c r="W147" s="2" t="str">
        <f aca="false">IF(A147="","",IF(V147=0,"Completo","Pendente"))</f>
        <v/>
      </c>
      <c r="X147" s="11"/>
      <c r="Y147" s="11"/>
      <c r="Z147" s="11"/>
    </row>
    <row r="148" customFormat="false" ht="15" hidden="false" customHeight="false" outlineLevel="0" collapsed="false">
      <c r="A148" s="11"/>
      <c r="B148" s="17" t="str">
        <f aca="false">IF(A148="","",IFERROR(INDEX(Cadastro!$B$5:$B$304,MATCH(A148,Cadastro!$A$5:$A$304,0)),"ID não encontrado"))</f>
        <v/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2" t="str">
        <f aca="false">IF(A148="","",COUNTIF(C148:U148,"N"))</f>
        <v/>
      </c>
      <c r="W148" s="2" t="str">
        <f aca="false">IF(A148="","",IF(V148=0,"Completo","Pendente"))</f>
        <v/>
      </c>
      <c r="X148" s="11"/>
      <c r="Y148" s="11"/>
      <c r="Z148" s="11"/>
    </row>
    <row r="149" customFormat="false" ht="15" hidden="false" customHeight="false" outlineLevel="0" collapsed="false">
      <c r="A149" s="11"/>
      <c r="B149" s="17" t="str">
        <f aca="false">IF(A149="","",IFERROR(INDEX(Cadastro!$B$5:$B$304,MATCH(A149,Cadastro!$A$5:$A$304,0)),"ID não encontrado"))</f>
        <v/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2" t="str">
        <f aca="false">IF(A149="","",COUNTIF(C149:U149,"N"))</f>
        <v/>
      </c>
      <c r="W149" s="2" t="str">
        <f aca="false">IF(A149="","",IF(V149=0,"Completo","Pendente"))</f>
        <v/>
      </c>
      <c r="X149" s="11"/>
      <c r="Y149" s="11"/>
      <c r="Z149" s="11"/>
    </row>
    <row r="150" customFormat="false" ht="15" hidden="false" customHeight="false" outlineLevel="0" collapsed="false">
      <c r="A150" s="11"/>
      <c r="B150" s="17" t="str">
        <f aca="false">IF(A150="","",IFERROR(INDEX(Cadastro!$B$5:$B$304,MATCH(A150,Cadastro!$A$5:$A$304,0)),"ID não encontrado"))</f>
        <v/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2" t="str">
        <f aca="false">IF(A150="","",COUNTIF(C150:U150,"N"))</f>
        <v/>
      </c>
      <c r="W150" s="2" t="str">
        <f aca="false">IF(A150="","",IF(V150=0,"Completo","Pendente"))</f>
        <v/>
      </c>
      <c r="X150" s="11"/>
      <c r="Y150" s="11"/>
      <c r="Z150" s="11"/>
    </row>
    <row r="151" customFormat="false" ht="15" hidden="false" customHeight="false" outlineLevel="0" collapsed="false">
      <c r="A151" s="11"/>
      <c r="B151" s="17" t="str">
        <f aca="false">IF(A151="","",IFERROR(INDEX(Cadastro!$B$5:$B$304,MATCH(A151,Cadastro!$A$5:$A$304,0)),"ID não encontrado"))</f>
        <v/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2" t="str">
        <f aca="false">IF(A151="","",COUNTIF(C151:U151,"N"))</f>
        <v/>
      </c>
      <c r="W151" s="2" t="str">
        <f aca="false">IF(A151="","",IF(V151=0,"Completo","Pendente"))</f>
        <v/>
      </c>
      <c r="X151" s="11"/>
      <c r="Y151" s="11"/>
      <c r="Z151" s="11"/>
    </row>
    <row r="152" customFormat="false" ht="15" hidden="false" customHeight="false" outlineLevel="0" collapsed="false">
      <c r="A152" s="11"/>
      <c r="B152" s="17" t="str">
        <f aca="false">IF(A152="","",IFERROR(INDEX(Cadastro!$B$5:$B$304,MATCH(A152,Cadastro!$A$5:$A$304,0)),"ID não encontrado"))</f>
        <v/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2" t="str">
        <f aca="false">IF(A152="","",COUNTIF(C152:U152,"N"))</f>
        <v/>
      </c>
      <c r="W152" s="2" t="str">
        <f aca="false">IF(A152="","",IF(V152=0,"Completo","Pendente"))</f>
        <v/>
      </c>
      <c r="X152" s="11"/>
      <c r="Y152" s="11"/>
      <c r="Z152" s="11"/>
    </row>
    <row r="153" customFormat="false" ht="15" hidden="false" customHeight="false" outlineLevel="0" collapsed="false">
      <c r="A153" s="11"/>
      <c r="B153" s="17" t="str">
        <f aca="false">IF(A153="","",IFERROR(INDEX(Cadastro!$B$5:$B$304,MATCH(A153,Cadastro!$A$5:$A$304,0)),"ID não encontrado"))</f>
        <v/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2" t="str">
        <f aca="false">IF(A153="","",COUNTIF(C153:U153,"N"))</f>
        <v/>
      </c>
      <c r="W153" s="2" t="str">
        <f aca="false">IF(A153="","",IF(V153=0,"Completo","Pendente"))</f>
        <v/>
      </c>
      <c r="X153" s="11"/>
      <c r="Y153" s="11"/>
      <c r="Z153" s="11"/>
    </row>
    <row r="154" customFormat="false" ht="15" hidden="false" customHeight="false" outlineLevel="0" collapsed="false">
      <c r="A154" s="11"/>
      <c r="B154" s="17" t="str">
        <f aca="false">IF(A154="","",IFERROR(INDEX(Cadastro!$B$5:$B$304,MATCH(A154,Cadastro!$A$5:$A$304,0)),"ID não encontrado"))</f>
        <v/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2" t="str">
        <f aca="false">IF(A154="","",COUNTIF(C154:U154,"N"))</f>
        <v/>
      </c>
      <c r="W154" s="2" t="str">
        <f aca="false">IF(A154="","",IF(V154=0,"Completo","Pendente"))</f>
        <v/>
      </c>
      <c r="X154" s="11"/>
      <c r="Y154" s="11"/>
      <c r="Z154" s="11"/>
    </row>
    <row r="155" customFormat="false" ht="15" hidden="false" customHeight="false" outlineLevel="0" collapsed="false">
      <c r="A155" s="11"/>
      <c r="B155" s="17" t="str">
        <f aca="false">IF(A155="","",IFERROR(INDEX(Cadastro!$B$5:$B$304,MATCH(A155,Cadastro!$A$5:$A$304,0)),"ID não encontrado"))</f>
        <v/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2" t="str">
        <f aca="false">IF(A155="","",COUNTIF(C155:U155,"N"))</f>
        <v/>
      </c>
      <c r="W155" s="2" t="str">
        <f aca="false">IF(A155="","",IF(V155=0,"Completo","Pendente"))</f>
        <v/>
      </c>
      <c r="X155" s="11"/>
      <c r="Y155" s="11"/>
      <c r="Z155" s="11"/>
    </row>
    <row r="156" customFormat="false" ht="15" hidden="false" customHeight="false" outlineLevel="0" collapsed="false">
      <c r="A156" s="11"/>
      <c r="B156" s="17" t="str">
        <f aca="false">IF(A156="","",IFERROR(INDEX(Cadastro!$B$5:$B$304,MATCH(A156,Cadastro!$A$5:$A$304,0)),"ID não encontrado"))</f>
        <v/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2" t="str">
        <f aca="false">IF(A156="","",COUNTIF(C156:U156,"N"))</f>
        <v/>
      </c>
      <c r="W156" s="2" t="str">
        <f aca="false">IF(A156="","",IF(V156=0,"Completo","Pendente"))</f>
        <v/>
      </c>
      <c r="X156" s="11"/>
      <c r="Y156" s="11"/>
      <c r="Z156" s="11"/>
    </row>
    <row r="157" customFormat="false" ht="15" hidden="false" customHeight="false" outlineLevel="0" collapsed="false">
      <c r="A157" s="11"/>
      <c r="B157" s="17" t="str">
        <f aca="false">IF(A157="","",IFERROR(INDEX(Cadastro!$B$5:$B$304,MATCH(A157,Cadastro!$A$5:$A$304,0)),"ID não encontrado"))</f>
        <v/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2" t="str">
        <f aca="false">IF(A157="","",COUNTIF(C157:U157,"N"))</f>
        <v/>
      </c>
      <c r="W157" s="2" t="str">
        <f aca="false">IF(A157="","",IF(V157=0,"Completo","Pendente"))</f>
        <v/>
      </c>
      <c r="X157" s="11"/>
      <c r="Y157" s="11"/>
      <c r="Z157" s="11"/>
    </row>
    <row r="158" customFormat="false" ht="15" hidden="false" customHeight="false" outlineLevel="0" collapsed="false">
      <c r="A158" s="11"/>
      <c r="B158" s="17" t="str">
        <f aca="false">IF(A158="","",IFERROR(INDEX(Cadastro!$B$5:$B$304,MATCH(A158,Cadastro!$A$5:$A$304,0)),"ID não encontrado"))</f>
        <v/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2" t="str">
        <f aca="false">IF(A158="","",COUNTIF(C158:U158,"N"))</f>
        <v/>
      </c>
      <c r="W158" s="2" t="str">
        <f aca="false">IF(A158="","",IF(V158=0,"Completo","Pendente"))</f>
        <v/>
      </c>
      <c r="X158" s="11"/>
      <c r="Y158" s="11"/>
      <c r="Z158" s="11"/>
    </row>
    <row r="159" customFormat="false" ht="15" hidden="false" customHeight="false" outlineLevel="0" collapsed="false">
      <c r="A159" s="11"/>
      <c r="B159" s="17" t="str">
        <f aca="false">IF(A159="","",IFERROR(INDEX(Cadastro!$B$5:$B$304,MATCH(A159,Cadastro!$A$5:$A$304,0)),"ID não encontrado"))</f>
        <v/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2" t="str">
        <f aca="false">IF(A159="","",COUNTIF(C159:U159,"N"))</f>
        <v/>
      </c>
      <c r="W159" s="2" t="str">
        <f aca="false">IF(A159="","",IF(V159=0,"Completo","Pendente"))</f>
        <v/>
      </c>
      <c r="X159" s="11"/>
      <c r="Y159" s="11"/>
      <c r="Z159" s="11"/>
    </row>
    <row r="160" customFormat="false" ht="15" hidden="false" customHeight="false" outlineLevel="0" collapsed="false">
      <c r="A160" s="11"/>
      <c r="B160" s="17" t="str">
        <f aca="false">IF(A160="","",IFERROR(INDEX(Cadastro!$B$5:$B$304,MATCH(A160,Cadastro!$A$5:$A$304,0)),"ID não encontrado"))</f>
        <v/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2" t="str">
        <f aca="false">IF(A160="","",COUNTIF(C160:U160,"N"))</f>
        <v/>
      </c>
      <c r="W160" s="2" t="str">
        <f aca="false">IF(A160="","",IF(V160=0,"Completo","Pendente"))</f>
        <v/>
      </c>
      <c r="X160" s="11"/>
      <c r="Y160" s="11"/>
      <c r="Z160" s="11"/>
    </row>
    <row r="161" customFormat="false" ht="15" hidden="false" customHeight="false" outlineLevel="0" collapsed="false">
      <c r="A161" s="11"/>
      <c r="B161" s="17" t="str">
        <f aca="false">IF(A161="","",IFERROR(INDEX(Cadastro!$B$5:$B$304,MATCH(A161,Cadastro!$A$5:$A$304,0)),"ID não encontrado"))</f>
        <v/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2" t="str">
        <f aca="false">IF(A161="","",COUNTIF(C161:U161,"N"))</f>
        <v/>
      </c>
      <c r="W161" s="2" t="str">
        <f aca="false">IF(A161="","",IF(V161=0,"Completo","Pendente"))</f>
        <v/>
      </c>
      <c r="X161" s="11"/>
      <c r="Y161" s="11"/>
      <c r="Z161" s="11"/>
    </row>
    <row r="162" customFormat="false" ht="15" hidden="false" customHeight="false" outlineLevel="0" collapsed="false">
      <c r="A162" s="11"/>
      <c r="B162" s="17" t="str">
        <f aca="false">IF(A162="","",IFERROR(INDEX(Cadastro!$B$5:$B$304,MATCH(A162,Cadastro!$A$5:$A$304,0)),"ID não encontrado"))</f>
        <v/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2" t="str">
        <f aca="false">IF(A162="","",COUNTIF(C162:U162,"N"))</f>
        <v/>
      </c>
      <c r="W162" s="2" t="str">
        <f aca="false">IF(A162="","",IF(V162=0,"Completo","Pendente"))</f>
        <v/>
      </c>
      <c r="X162" s="11"/>
      <c r="Y162" s="11"/>
      <c r="Z162" s="11"/>
    </row>
    <row r="163" customFormat="false" ht="15" hidden="false" customHeight="false" outlineLevel="0" collapsed="false">
      <c r="A163" s="11"/>
      <c r="B163" s="17" t="str">
        <f aca="false">IF(A163="","",IFERROR(INDEX(Cadastro!$B$5:$B$304,MATCH(A163,Cadastro!$A$5:$A$304,0)),"ID não encontrado"))</f>
        <v/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2" t="str">
        <f aca="false">IF(A163="","",COUNTIF(C163:U163,"N"))</f>
        <v/>
      </c>
      <c r="W163" s="2" t="str">
        <f aca="false">IF(A163="","",IF(V163=0,"Completo","Pendente"))</f>
        <v/>
      </c>
      <c r="X163" s="11"/>
      <c r="Y163" s="11"/>
      <c r="Z163" s="11"/>
    </row>
    <row r="164" customFormat="false" ht="15" hidden="false" customHeight="false" outlineLevel="0" collapsed="false">
      <c r="A164" s="11"/>
      <c r="B164" s="17" t="str">
        <f aca="false">IF(A164="","",IFERROR(INDEX(Cadastro!$B$5:$B$304,MATCH(A164,Cadastro!$A$5:$A$304,0)),"ID não encontrado"))</f>
        <v/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2" t="str">
        <f aca="false">IF(A164="","",COUNTIF(C164:U164,"N"))</f>
        <v/>
      </c>
      <c r="W164" s="2" t="str">
        <f aca="false">IF(A164="","",IF(V164=0,"Completo","Pendente"))</f>
        <v/>
      </c>
      <c r="X164" s="11"/>
      <c r="Y164" s="11"/>
      <c r="Z164" s="11"/>
    </row>
    <row r="165" customFormat="false" ht="15" hidden="false" customHeight="false" outlineLevel="0" collapsed="false">
      <c r="A165" s="11"/>
      <c r="B165" s="17" t="str">
        <f aca="false">IF(A165="","",IFERROR(INDEX(Cadastro!$B$5:$B$304,MATCH(A165,Cadastro!$A$5:$A$304,0)),"ID não encontrado"))</f>
        <v/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2" t="str">
        <f aca="false">IF(A165="","",COUNTIF(C165:U165,"N"))</f>
        <v/>
      </c>
      <c r="W165" s="2" t="str">
        <f aca="false">IF(A165="","",IF(V165=0,"Completo","Pendente"))</f>
        <v/>
      </c>
      <c r="X165" s="11"/>
      <c r="Y165" s="11"/>
      <c r="Z165" s="11"/>
    </row>
    <row r="166" customFormat="false" ht="15" hidden="false" customHeight="false" outlineLevel="0" collapsed="false">
      <c r="A166" s="11"/>
      <c r="B166" s="17" t="str">
        <f aca="false">IF(A166="","",IFERROR(INDEX(Cadastro!$B$5:$B$304,MATCH(A166,Cadastro!$A$5:$A$304,0)),"ID não encontrado"))</f>
        <v/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2" t="str">
        <f aca="false">IF(A166="","",COUNTIF(C166:U166,"N"))</f>
        <v/>
      </c>
      <c r="W166" s="2" t="str">
        <f aca="false">IF(A166="","",IF(V166=0,"Completo","Pendente"))</f>
        <v/>
      </c>
      <c r="X166" s="11"/>
      <c r="Y166" s="11"/>
      <c r="Z166" s="11"/>
    </row>
    <row r="167" customFormat="false" ht="15" hidden="false" customHeight="false" outlineLevel="0" collapsed="false">
      <c r="A167" s="11"/>
      <c r="B167" s="17" t="str">
        <f aca="false">IF(A167="","",IFERROR(INDEX(Cadastro!$B$5:$B$304,MATCH(A167,Cadastro!$A$5:$A$304,0)),"ID não encontrado"))</f>
        <v/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2" t="str">
        <f aca="false">IF(A167="","",COUNTIF(C167:U167,"N"))</f>
        <v/>
      </c>
      <c r="W167" s="2" t="str">
        <f aca="false">IF(A167="","",IF(V167=0,"Completo","Pendente"))</f>
        <v/>
      </c>
      <c r="X167" s="11"/>
      <c r="Y167" s="11"/>
      <c r="Z167" s="11"/>
    </row>
    <row r="168" customFormat="false" ht="15" hidden="false" customHeight="false" outlineLevel="0" collapsed="false">
      <c r="A168" s="11"/>
      <c r="B168" s="17" t="str">
        <f aca="false">IF(A168="","",IFERROR(INDEX(Cadastro!$B$5:$B$304,MATCH(A168,Cadastro!$A$5:$A$304,0)),"ID não encontrado"))</f>
        <v/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2" t="str">
        <f aca="false">IF(A168="","",COUNTIF(C168:U168,"N"))</f>
        <v/>
      </c>
      <c r="W168" s="2" t="str">
        <f aca="false">IF(A168="","",IF(V168=0,"Completo","Pendente"))</f>
        <v/>
      </c>
      <c r="X168" s="11"/>
      <c r="Y168" s="11"/>
      <c r="Z168" s="11"/>
    </row>
    <row r="169" customFormat="false" ht="15" hidden="false" customHeight="false" outlineLevel="0" collapsed="false">
      <c r="A169" s="11"/>
      <c r="B169" s="17" t="str">
        <f aca="false">IF(A169="","",IFERROR(INDEX(Cadastro!$B$5:$B$304,MATCH(A169,Cadastro!$A$5:$A$304,0)),"ID não encontrado"))</f>
        <v/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2" t="str">
        <f aca="false">IF(A169="","",COUNTIF(C169:U169,"N"))</f>
        <v/>
      </c>
      <c r="W169" s="2" t="str">
        <f aca="false">IF(A169="","",IF(V169=0,"Completo","Pendente"))</f>
        <v/>
      </c>
      <c r="X169" s="11"/>
      <c r="Y169" s="11"/>
      <c r="Z169" s="11"/>
    </row>
    <row r="170" customFormat="false" ht="15" hidden="false" customHeight="false" outlineLevel="0" collapsed="false">
      <c r="A170" s="11"/>
      <c r="B170" s="17" t="str">
        <f aca="false">IF(A170="","",IFERROR(INDEX(Cadastro!$B$5:$B$304,MATCH(A170,Cadastro!$A$5:$A$304,0)),"ID não encontrado"))</f>
        <v/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2" t="str">
        <f aca="false">IF(A170="","",COUNTIF(C170:U170,"N"))</f>
        <v/>
      </c>
      <c r="W170" s="2" t="str">
        <f aca="false">IF(A170="","",IF(V170=0,"Completo","Pendente"))</f>
        <v/>
      </c>
      <c r="X170" s="11"/>
      <c r="Y170" s="11"/>
      <c r="Z170" s="11"/>
    </row>
    <row r="171" customFormat="false" ht="15" hidden="false" customHeight="false" outlineLevel="0" collapsed="false">
      <c r="A171" s="11"/>
      <c r="B171" s="17" t="str">
        <f aca="false">IF(A171="","",IFERROR(INDEX(Cadastro!$B$5:$B$304,MATCH(A171,Cadastro!$A$5:$A$304,0)),"ID não encontrado"))</f>
        <v/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2" t="str">
        <f aca="false">IF(A171="","",COUNTIF(C171:U171,"N"))</f>
        <v/>
      </c>
      <c r="W171" s="2" t="str">
        <f aca="false">IF(A171="","",IF(V171=0,"Completo","Pendente"))</f>
        <v/>
      </c>
      <c r="X171" s="11"/>
      <c r="Y171" s="11"/>
      <c r="Z171" s="11"/>
    </row>
    <row r="172" customFormat="false" ht="15" hidden="false" customHeight="false" outlineLevel="0" collapsed="false">
      <c r="A172" s="11"/>
      <c r="B172" s="17" t="str">
        <f aca="false">IF(A172="","",IFERROR(INDEX(Cadastro!$B$5:$B$304,MATCH(A172,Cadastro!$A$5:$A$304,0)),"ID não encontrado"))</f>
        <v/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2" t="str">
        <f aca="false">IF(A172="","",COUNTIF(C172:U172,"N"))</f>
        <v/>
      </c>
      <c r="W172" s="2" t="str">
        <f aca="false">IF(A172="","",IF(V172=0,"Completo","Pendente"))</f>
        <v/>
      </c>
      <c r="X172" s="11"/>
      <c r="Y172" s="11"/>
      <c r="Z172" s="11"/>
    </row>
    <row r="173" customFormat="false" ht="15" hidden="false" customHeight="false" outlineLevel="0" collapsed="false">
      <c r="A173" s="11"/>
      <c r="B173" s="17" t="str">
        <f aca="false">IF(A173="","",IFERROR(INDEX(Cadastro!$B$5:$B$304,MATCH(A173,Cadastro!$A$5:$A$304,0)),"ID não encontrado"))</f>
        <v/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2" t="str">
        <f aca="false">IF(A173="","",COUNTIF(C173:U173,"N"))</f>
        <v/>
      </c>
      <c r="W173" s="2" t="str">
        <f aca="false">IF(A173="","",IF(V173=0,"Completo","Pendente"))</f>
        <v/>
      </c>
      <c r="X173" s="11"/>
      <c r="Y173" s="11"/>
      <c r="Z173" s="11"/>
    </row>
    <row r="174" customFormat="false" ht="15" hidden="false" customHeight="false" outlineLevel="0" collapsed="false">
      <c r="A174" s="11"/>
      <c r="B174" s="17" t="str">
        <f aca="false">IF(A174="","",IFERROR(INDEX(Cadastro!$B$5:$B$304,MATCH(A174,Cadastro!$A$5:$A$304,0)),"ID não encontrado"))</f>
        <v/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2" t="str">
        <f aca="false">IF(A174="","",COUNTIF(C174:U174,"N"))</f>
        <v/>
      </c>
      <c r="W174" s="2" t="str">
        <f aca="false">IF(A174="","",IF(V174=0,"Completo","Pendente"))</f>
        <v/>
      </c>
      <c r="X174" s="11"/>
      <c r="Y174" s="11"/>
      <c r="Z174" s="11"/>
    </row>
    <row r="175" customFormat="false" ht="15" hidden="false" customHeight="false" outlineLevel="0" collapsed="false">
      <c r="A175" s="11"/>
      <c r="B175" s="17" t="str">
        <f aca="false">IF(A175="","",IFERROR(INDEX(Cadastro!$B$5:$B$304,MATCH(A175,Cadastro!$A$5:$A$304,0)),"ID não encontrado"))</f>
        <v/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2" t="str">
        <f aca="false">IF(A175="","",COUNTIF(C175:U175,"N"))</f>
        <v/>
      </c>
      <c r="W175" s="2" t="str">
        <f aca="false">IF(A175="","",IF(V175=0,"Completo","Pendente"))</f>
        <v/>
      </c>
      <c r="X175" s="11"/>
      <c r="Y175" s="11"/>
      <c r="Z175" s="11"/>
    </row>
    <row r="176" customFormat="false" ht="15" hidden="false" customHeight="false" outlineLevel="0" collapsed="false">
      <c r="A176" s="11"/>
      <c r="B176" s="17" t="str">
        <f aca="false">IF(A176="","",IFERROR(INDEX(Cadastro!$B$5:$B$304,MATCH(A176,Cadastro!$A$5:$A$304,0)),"ID não encontrado"))</f>
        <v/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2" t="str">
        <f aca="false">IF(A176="","",COUNTIF(C176:U176,"N"))</f>
        <v/>
      </c>
      <c r="W176" s="2" t="str">
        <f aca="false">IF(A176="","",IF(V176=0,"Completo","Pendente"))</f>
        <v/>
      </c>
      <c r="X176" s="11"/>
      <c r="Y176" s="11"/>
      <c r="Z176" s="11"/>
    </row>
    <row r="177" customFormat="false" ht="15" hidden="false" customHeight="false" outlineLevel="0" collapsed="false">
      <c r="A177" s="11"/>
      <c r="B177" s="17" t="str">
        <f aca="false">IF(A177="","",IFERROR(INDEX(Cadastro!$B$5:$B$304,MATCH(A177,Cadastro!$A$5:$A$304,0)),"ID não encontrado"))</f>
        <v/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2" t="str">
        <f aca="false">IF(A177="","",COUNTIF(C177:U177,"N"))</f>
        <v/>
      </c>
      <c r="W177" s="2" t="str">
        <f aca="false">IF(A177="","",IF(V177=0,"Completo","Pendente"))</f>
        <v/>
      </c>
      <c r="X177" s="11"/>
      <c r="Y177" s="11"/>
      <c r="Z177" s="11"/>
    </row>
    <row r="178" customFormat="false" ht="15" hidden="false" customHeight="false" outlineLevel="0" collapsed="false">
      <c r="A178" s="11"/>
      <c r="B178" s="17" t="str">
        <f aca="false">IF(A178="","",IFERROR(INDEX(Cadastro!$B$5:$B$304,MATCH(A178,Cadastro!$A$5:$A$304,0)),"ID não encontrado"))</f>
        <v/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2" t="str">
        <f aca="false">IF(A178="","",COUNTIF(C178:U178,"N"))</f>
        <v/>
      </c>
      <c r="W178" s="2" t="str">
        <f aca="false">IF(A178="","",IF(V178=0,"Completo","Pendente"))</f>
        <v/>
      </c>
      <c r="X178" s="11"/>
      <c r="Y178" s="11"/>
      <c r="Z178" s="11"/>
    </row>
    <row r="179" customFormat="false" ht="15" hidden="false" customHeight="false" outlineLevel="0" collapsed="false">
      <c r="A179" s="11"/>
      <c r="B179" s="17" t="str">
        <f aca="false">IF(A179="","",IFERROR(INDEX(Cadastro!$B$5:$B$304,MATCH(A179,Cadastro!$A$5:$A$304,0)),"ID não encontrado"))</f>
        <v/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2" t="str">
        <f aca="false">IF(A179="","",COUNTIF(C179:U179,"N"))</f>
        <v/>
      </c>
      <c r="W179" s="2" t="str">
        <f aca="false">IF(A179="","",IF(V179=0,"Completo","Pendente"))</f>
        <v/>
      </c>
      <c r="X179" s="11"/>
      <c r="Y179" s="11"/>
      <c r="Z179" s="11"/>
    </row>
    <row r="180" customFormat="false" ht="15" hidden="false" customHeight="false" outlineLevel="0" collapsed="false">
      <c r="A180" s="11"/>
      <c r="B180" s="17" t="str">
        <f aca="false">IF(A180="","",IFERROR(INDEX(Cadastro!$B$5:$B$304,MATCH(A180,Cadastro!$A$5:$A$304,0)),"ID não encontrado"))</f>
        <v/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2" t="str">
        <f aca="false">IF(A180="","",COUNTIF(C180:U180,"N"))</f>
        <v/>
      </c>
      <c r="W180" s="2" t="str">
        <f aca="false">IF(A180="","",IF(V180=0,"Completo","Pendente"))</f>
        <v/>
      </c>
      <c r="X180" s="11"/>
      <c r="Y180" s="11"/>
      <c r="Z180" s="11"/>
    </row>
    <row r="181" customFormat="false" ht="15" hidden="false" customHeight="false" outlineLevel="0" collapsed="false">
      <c r="A181" s="11"/>
      <c r="B181" s="17" t="str">
        <f aca="false">IF(A181="","",IFERROR(INDEX(Cadastro!$B$5:$B$304,MATCH(A181,Cadastro!$A$5:$A$304,0)),"ID não encontrado"))</f>
        <v/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2" t="str">
        <f aca="false">IF(A181="","",COUNTIF(C181:U181,"N"))</f>
        <v/>
      </c>
      <c r="W181" s="2" t="str">
        <f aca="false">IF(A181="","",IF(V181=0,"Completo","Pendente"))</f>
        <v/>
      </c>
      <c r="X181" s="11"/>
      <c r="Y181" s="11"/>
      <c r="Z181" s="11"/>
    </row>
    <row r="182" customFormat="false" ht="15" hidden="false" customHeight="false" outlineLevel="0" collapsed="false">
      <c r="A182" s="11"/>
      <c r="B182" s="17" t="str">
        <f aca="false">IF(A182="","",IFERROR(INDEX(Cadastro!$B$5:$B$304,MATCH(A182,Cadastro!$A$5:$A$304,0)),"ID não encontrado"))</f>
        <v/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2" t="str">
        <f aca="false">IF(A182="","",COUNTIF(C182:U182,"N"))</f>
        <v/>
      </c>
      <c r="W182" s="2" t="str">
        <f aca="false">IF(A182="","",IF(V182=0,"Completo","Pendente"))</f>
        <v/>
      </c>
      <c r="X182" s="11"/>
      <c r="Y182" s="11"/>
      <c r="Z182" s="11"/>
    </row>
    <row r="183" customFormat="false" ht="15" hidden="false" customHeight="false" outlineLevel="0" collapsed="false">
      <c r="A183" s="11"/>
      <c r="B183" s="17" t="str">
        <f aca="false">IF(A183="","",IFERROR(INDEX(Cadastro!$B$5:$B$304,MATCH(A183,Cadastro!$A$5:$A$304,0)),"ID não encontrado"))</f>
        <v/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2" t="str">
        <f aca="false">IF(A183="","",COUNTIF(C183:U183,"N"))</f>
        <v/>
      </c>
      <c r="W183" s="2" t="str">
        <f aca="false">IF(A183="","",IF(V183=0,"Completo","Pendente"))</f>
        <v/>
      </c>
      <c r="X183" s="11"/>
      <c r="Y183" s="11"/>
      <c r="Z183" s="11"/>
    </row>
    <row r="184" customFormat="false" ht="15" hidden="false" customHeight="false" outlineLevel="0" collapsed="false">
      <c r="A184" s="11"/>
      <c r="B184" s="17" t="str">
        <f aca="false">IF(A184="","",IFERROR(INDEX(Cadastro!$B$5:$B$304,MATCH(A184,Cadastro!$A$5:$A$304,0)),"ID não encontrado"))</f>
        <v/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2" t="str">
        <f aca="false">IF(A184="","",COUNTIF(C184:U184,"N"))</f>
        <v/>
      </c>
      <c r="W184" s="2" t="str">
        <f aca="false">IF(A184="","",IF(V184=0,"Completo","Pendente"))</f>
        <v/>
      </c>
      <c r="X184" s="11"/>
      <c r="Y184" s="11"/>
      <c r="Z184" s="11"/>
    </row>
    <row r="185" customFormat="false" ht="15" hidden="false" customHeight="false" outlineLevel="0" collapsed="false">
      <c r="A185" s="11"/>
      <c r="B185" s="17" t="str">
        <f aca="false">IF(A185="","",IFERROR(INDEX(Cadastro!$B$5:$B$304,MATCH(A185,Cadastro!$A$5:$A$304,0)),"ID não encontrado"))</f>
        <v/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2" t="str">
        <f aca="false">IF(A185="","",COUNTIF(C185:U185,"N"))</f>
        <v/>
      </c>
      <c r="W185" s="2" t="str">
        <f aca="false">IF(A185="","",IF(V185=0,"Completo","Pendente"))</f>
        <v/>
      </c>
      <c r="X185" s="11"/>
      <c r="Y185" s="11"/>
      <c r="Z185" s="11"/>
    </row>
    <row r="186" customFormat="false" ht="15" hidden="false" customHeight="false" outlineLevel="0" collapsed="false">
      <c r="A186" s="11"/>
      <c r="B186" s="17" t="str">
        <f aca="false">IF(A186="","",IFERROR(INDEX(Cadastro!$B$5:$B$304,MATCH(A186,Cadastro!$A$5:$A$304,0)),"ID não encontrado"))</f>
        <v/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2" t="str">
        <f aca="false">IF(A186="","",COUNTIF(C186:U186,"N"))</f>
        <v/>
      </c>
      <c r="W186" s="2" t="str">
        <f aca="false">IF(A186="","",IF(V186=0,"Completo","Pendente"))</f>
        <v/>
      </c>
      <c r="X186" s="11"/>
      <c r="Y186" s="11"/>
      <c r="Z186" s="11"/>
    </row>
    <row r="187" customFormat="false" ht="15" hidden="false" customHeight="false" outlineLevel="0" collapsed="false">
      <c r="A187" s="11"/>
      <c r="B187" s="17" t="str">
        <f aca="false">IF(A187="","",IFERROR(INDEX(Cadastro!$B$5:$B$304,MATCH(A187,Cadastro!$A$5:$A$304,0)),"ID não encontrado"))</f>
        <v/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2" t="str">
        <f aca="false">IF(A187="","",COUNTIF(C187:U187,"N"))</f>
        <v/>
      </c>
      <c r="W187" s="2" t="str">
        <f aca="false">IF(A187="","",IF(V187=0,"Completo","Pendente"))</f>
        <v/>
      </c>
      <c r="X187" s="11"/>
      <c r="Y187" s="11"/>
      <c r="Z187" s="11"/>
    </row>
    <row r="188" customFormat="false" ht="15" hidden="false" customHeight="false" outlineLevel="0" collapsed="false">
      <c r="A188" s="11"/>
      <c r="B188" s="17" t="str">
        <f aca="false">IF(A188="","",IFERROR(INDEX(Cadastro!$B$5:$B$304,MATCH(A188,Cadastro!$A$5:$A$304,0)),"ID não encontrado"))</f>
        <v/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2" t="str">
        <f aca="false">IF(A188="","",COUNTIF(C188:U188,"N"))</f>
        <v/>
      </c>
      <c r="W188" s="2" t="str">
        <f aca="false">IF(A188="","",IF(V188=0,"Completo","Pendente"))</f>
        <v/>
      </c>
      <c r="X188" s="11"/>
      <c r="Y188" s="11"/>
      <c r="Z188" s="11"/>
    </row>
    <row r="189" customFormat="false" ht="15" hidden="false" customHeight="false" outlineLevel="0" collapsed="false">
      <c r="A189" s="11"/>
      <c r="B189" s="17" t="str">
        <f aca="false">IF(A189="","",IFERROR(INDEX(Cadastro!$B$5:$B$304,MATCH(A189,Cadastro!$A$5:$A$304,0)),"ID não encontrado"))</f>
        <v/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2" t="str">
        <f aca="false">IF(A189="","",COUNTIF(C189:U189,"N"))</f>
        <v/>
      </c>
      <c r="W189" s="2" t="str">
        <f aca="false">IF(A189="","",IF(V189=0,"Completo","Pendente"))</f>
        <v/>
      </c>
      <c r="X189" s="11"/>
      <c r="Y189" s="11"/>
      <c r="Z189" s="11"/>
    </row>
    <row r="190" customFormat="false" ht="15" hidden="false" customHeight="false" outlineLevel="0" collapsed="false">
      <c r="A190" s="11"/>
      <c r="B190" s="17" t="str">
        <f aca="false">IF(A190="","",IFERROR(INDEX(Cadastro!$B$5:$B$304,MATCH(A190,Cadastro!$A$5:$A$304,0)),"ID não encontrado"))</f>
        <v/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2" t="str">
        <f aca="false">IF(A190="","",COUNTIF(C190:U190,"N"))</f>
        <v/>
      </c>
      <c r="W190" s="2" t="str">
        <f aca="false">IF(A190="","",IF(V190=0,"Completo","Pendente"))</f>
        <v/>
      </c>
      <c r="X190" s="11"/>
      <c r="Y190" s="11"/>
      <c r="Z190" s="11"/>
    </row>
    <row r="191" customFormat="false" ht="15" hidden="false" customHeight="false" outlineLevel="0" collapsed="false">
      <c r="A191" s="11"/>
      <c r="B191" s="17" t="str">
        <f aca="false">IF(A191="","",IFERROR(INDEX(Cadastro!$B$5:$B$304,MATCH(A191,Cadastro!$A$5:$A$304,0)),"ID não encontrado"))</f>
        <v/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2" t="str">
        <f aca="false">IF(A191="","",COUNTIF(C191:U191,"N"))</f>
        <v/>
      </c>
      <c r="W191" s="2" t="str">
        <f aca="false">IF(A191="","",IF(V191=0,"Completo","Pendente"))</f>
        <v/>
      </c>
      <c r="X191" s="11"/>
      <c r="Y191" s="11"/>
      <c r="Z191" s="11"/>
    </row>
    <row r="192" customFormat="false" ht="15" hidden="false" customHeight="false" outlineLevel="0" collapsed="false">
      <c r="A192" s="11"/>
      <c r="B192" s="17" t="str">
        <f aca="false">IF(A192="","",IFERROR(INDEX(Cadastro!$B$5:$B$304,MATCH(A192,Cadastro!$A$5:$A$304,0)),"ID não encontrado"))</f>
        <v/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2" t="str">
        <f aca="false">IF(A192="","",COUNTIF(C192:U192,"N"))</f>
        <v/>
      </c>
      <c r="W192" s="2" t="str">
        <f aca="false">IF(A192="","",IF(V192=0,"Completo","Pendente"))</f>
        <v/>
      </c>
      <c r="X192" s="11"/>
      <c r="Y192" s="11"/>
      <c r="Z192" s="11"/>
    </row>
    <row r="193" customFormat="false" ht="15" hidden="false" customHeight="false" outlineLevel="0" collapsed="false">
      <c r="A193" s="11"/>
      <c r="B193" s="17" t="str">
        <f aca="false">IF(A193="","",IFERROR(INDEX(Cadastro!$B$5:$B$304,MATCH(A193,Cadastro!$A$5:$A$304,0)),"ID não encontrado"))</f>
        <v/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2" t="str">
        <f aca="false">IF(A193="","",COUNTIF(C193:U193,"N"))</f>
        <v/>
      </c>
      <c r="W193" s="2" t="str">
        <f aca="false">IF(A193="","",IF(V193=0,"Completo","Pendente"))</f>
        <v/>
      </c>
      <c r="X193" s="11"/>
      <c r="Y193" s="11"/>
      <c r="Z193" s="11"/>
    </row>
    <row r="194" customFormat="false" ht="15" hidden="false" customHeight="false" outlineLevel="0" collapsed="false">
      <c r="A194" s="11"/>
      <c r="B194" s="17" t="str">
        <f aca="false">IF(A194="","",IFERROR(INDEX(Cadastro!$B$5:$B$304,MATCH(A194,Cadastro!$A$5:$A$304,0)),"ID não encontrado"))</f>
        <v/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2" t="str">
        <f aca="false">IF(A194="","",COUNTIF(C194:U194,"N"))</f>
        <v/>
      </c>
      <c r="W194" s="2" t="str">
        <f aca="false">IF(A194="","",IF(V194=0,"Completo","Pendente"))</f>
        <v/>
      </c>
      <c r="X194" s="11"/>
      <c r="Y194" s="11"/>
      <c r="Z194" s="11"/>
    </row>
    <row r="195" customFormat="false" ht="15" hidden="false" customHeight="false" outlineLevel="0" collapsed="false">
      <c r="A195" s="11"/>
      <c r="B195" s="17" t="str">
        <f aca="false">IF(A195="","",IFERROR(INDEX(Cadastro!$B$5:$B$304,MATCH(A195,Cadastro!$A$5:$A$304,0)),"ID não encontrado"))</f>
        <v/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2" t="str">
        <f aca="false">IF(A195="","",COUNTIF(C195:U195,"N"))</f>
        <v/>
      </c>
      <c r="W195" s="2" t="str">
        <f aca="false">IF(A195="","",IF(V195=0,"Completo","Pendente"))</f>
        <v/>
      </c>
      <c r="X195" s="11"/>
      <c r="Y195" s="11"/>
      <c r="Z195" s="11"/>
    </row>
    <row r="196" customFormat="false" ht="15" hidden="false" customHeight="false" outlineLevel="0" collapsed="false">
      <c r="A196" s="11"/>
      <c r="B196" s="17" t="str">
        <f aca="false">IF(A196="","",IFERROR(INDEX(Cadastro!$B$5:$B$304,MATCH(A196,Cadastro!$A$5:$A$304,0)),"ID não encontrado"))</f>
        <v/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2" t="str">
        <f aca="false">IF(A196="","",COUNTIF(C196:U196,"N"))</f>
        <v/>
      </c>
      <c r="W196" s="2" t="str">
        <f aca="false">IF(A196="","",IF(V196=0,"Completo","Pendente"))</f>
        <v/>
      </c>
      <c r="X196" s="11"/>
      <c r="Y196" s="11"/>
      <c r="Z196" s="11"/>
    </row>
    <row r="197" customFormat="false" ht="15" hidden="false" customHeight="false" outlineLevel="0" collapsed="false">
      <c r="A197" s="11"/>
      <c r="B197" s="17" t="str">
        <f aca="false">IF(A197="","",IFERROR(INDEX(Cadastro!$B$5:$B$304,MATCH(A197,Cadastro!$A$5:$A$304,0)),"ID não encontrado"))</f>
        <v/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2" t="str">
        <f aca="false">IF(A197="","",COUNTIF(C197:U197,"N"))</f>
        <v/>
      </c>
      <c r="W197" s="2" t="str">
        <f aca="false">IF(A197="","",IF(V197=0,"Completo","Pendente"))</f>
        <v/>
      </c>
      <c r="X197" s="11"/>
      <c r="Y197" s="11"/>
      <c r="Z197" s="11"/>
    </row>
    <row r="198" customFormat="false" ht="15" hidden="false" customHeight="false" outlineLevel="0" collapsed="false">
      <c r="A198" s="11"/>
      <c r="B198" s="17" t="str">
        <f aca="false">IF(A198="","",IFERROR(INDEX(Cadastro!$B$5:$B$304,MATCH(A198,Cadastro!$A$5:$A$304,0)),"ID não encontrado"))</f>
        <v/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2" t="str">
        <f aca="false">IF(A198="","",COUNTIF(C198:U198,"N"))</f>
        <v/>
      </c>
      <c r="W198" s="2" t="str">
        <f aca="false">IF(A198="","",IF(V198=0,"Completo","Pendente"))</f>
        <v/>
      </c>
      <c r="X198" s="11"/>
      <c r="Y198" s="11"/>
      <c r="Z198" s="11"/>
    </row>
    <row r="199" customFormat="false" ht="15" hidden="false" customHeight="false" outlineLevel="0" collapsed="false">
      <c r="A199" s="11"/>
      <c r="B199" s="17" t="str">
        <f aca="false">IF(A199="","",IFERROR(INDEX(Cadastro!$B$5:$B$304,MATCH(A199,Cadastro!$A$5:$A$304,0)),"ID não encontrado"))</f>
        <v/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2" t="str">
        <f aca="false">IF(A199="","",COUNTIF(C199:U199,"N"))</f>
        <v/>
      </c>
      <c r="W199" s="2" t="str">
        <f aca="false">IF(A199="","",IF(V199=0,"Completo","Pendente"))</f>
        <v/>
      </c>
      <c r="X199" s="11"/>
      <c r="Y199" s="11"/>
      <c r="Z199" s="11"/>
    </row>
    <row r="200" customFormat="false" ht="15" hidden="false" customHeight="false" outlineLevel="0" collapsed="false">
      <c r="A200" s="11"/>
      <c r="B200" s="17" t="str">
        <f aca="false">IF(A200="","",IFERROR(INDEX(Cadastro!$B$5:$B$304,MATCH(A200,Cadastro!$A$5:$A$304,0)),"ID não encontrado"))</f>
        <v/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2" t="str">
        <f aca="false">IF(A200="","",COUNTIF(C200:U200,"N"))</f>
        <v/>
      </c>
      <c r="W200" s="2" t="str">
        <f aca="false">IF(A200="","",IF(V200=0,"Completo","Pendente"))</f>
        <v/>
      </c>
      <c r="X200" s="11"/>
      <c r="Y200" s="11"/>
      <c r="Z200" s="11"/>
    </row>
    <row r="201" customFormat="false" ht="15" hidden="false" customHeight="false" outlineLevel="0" collapsed="false">
      <c r="A201" s="11"/>
      <c r="B201" s="17" t="str">
        <f aca="false">IF(A201="","",IFERROR(INDEX(Cadastro!$B$5:$B$304,MATCH(A201,Cadastro!$A$5:$A$304,0)),"ID não encontrado"))</f>
        <v/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2" t="str">
        <f aca="false">IF(A201="","",COUNTIF(C201:U201,"N"))</f>
        <v/>
      </c>
      <c r="W201" s="2" t="str">
        <f aca="false">IF(A201="","",IF(V201=0,"Completo","Pendente"))</f>
        <v/>
      </c>
      <c r="X201" s="11"/>
      <c r="Y201" s="11"/>
      <c r="Z201" s="11"/>
    </row>
    <row r="202" customFormat="false" ht="15" hidden="false" customHeight="false" outlineLevel="0" collapsed="false">
      <c r="A202" s="11"/>
      <c r="B202" s="17" t="str">
        <f aca="false">IF(A202="","",IFERROR(INDEX(Cadastro!$B$5:$B$304,MATCH(A202,Cadastro!$A$5:$A$304,0)),"ID não encontrado"))</f>
        <v/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2" t="str">
        <f aca="false">IF(A202="","",COUNTIF(C202:U202,"N"))</f>
        <v/>
      </c>
      <c r="W202" s="2" t="str">
        <f aca="false">IF(A202="","",IF(V202=0,"Completo","Pendente"))</f>
        <v/>
      </c>
      <c r="X202" s="11"/>
      <c r="Y202" s="11"/>
      <c r="Z202" s="11"/>
    </row>
    <row r="203" customFormat="false" ht="15" hidden="false" customHeight="false" outlineLevel="0" collapsed="false">
      <c r="A203" s="11"/>
      <c r="B203" s="17" t="str">
        <f aca="false">IF(A203="","",IFERROR(INDEX(Cadastro!$B$5:$B$304,MATCH(A203,Cadastro!$A$5:$A$304,0)),"ID não encontrado"))</f>
        <v/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2" t="str">
        <f aca="false">IF(A203="","",COUNTIF(C203:U203,"N"))</f>
        <v/>
      </c>
      <c r="W203" s="2" t="str">
        <f aca="false">IF(A203="","",IF(V203=0,"Completo","Pendente"))</f>
        <v/>
      </c>
      <c r="X203" s="11"/>
      <c r="Y203" s="11"/>
      <c r="Z203" s="11"/>
    </row>
    <row r="204" customFormat="false" ht="15" hidden="false" customHeight="false" outlineLevel="0" collapsed="false">
      <c r="A204" s="11"/>
      <c r="B204" s="17" t="str">
        <f aca="false">IF(A204="","",IFERROR(INDEX(Cadastro!$B$5:$B$304,MATCH(A204,Cadastro!$A$5:$A$304,0)),"ID não encontrado"))</f>
        <v/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2" t="str">
        <f aca="false">IF(A204="","",COUNTIF(C204:U204,"N"))</f>
        <v/>
      </c>
      <c r="W204" s="2" t="str">
        <f aca="false">IF(A204="","",IF(V204=0,"Completo","Pendente"))</f>
        <v/>
      </c>
      <c r="X204" s="11"/>
      <c r="Y204" s="11"/>
      <c r="Z204" s="11"/>
    </row>
    <row r="205" customFormat="false" ht="15" hidden="false" customHeight="false" outlineLevel="0" collapsed="false">
      <c r="A205" s="11"/>
      <c r="B205" s="17" t="str">
        <f aca="false">IF(A205="","",IFERROR(INDEX(Cadastro!$B$5:$B$304,MATCH(A205,Cadastro!$A$5:$A$304,0)),"ID não encontrado"))</f>
        <v/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2" t="str">
        <f aca="false">IF(A205="","",COUNTIF(C205:U205,"N"))</f>
        <v/>
      </c>
      <c r="W205" s="2" t="str">
        <f aca="false">IF(A205="","",IF(V205=0,"Completo","Pendente"))</f>
        <v/>
      </c>
      <c r="X205" s="11"/>
      <c r="Y205" s="11"/>
      <c r="Z205" s="11"/>
    </row>
    <row r="206" customFormat="false" ht="15" hidden="false" customHeight="false" outlineLevel="0" collapsed="false">
      <c r="A206" s="11"/>
      <c r="B206" s="17" t="str">
        <f aca="false">IF(A206="","",IFERROR(INDEX(Cadastro!$B$5:$B$304,MATCH(A206,Cadastro!$A$5:$A$304,0)),"ID não encontrado"))</f>
        <v/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2" t="str">
        <f aca="false">IF(A206="","",COUNTIF(C206:U206,"N"))</f>
        <v/>
      </c>
      <c r="W206" s="2" t="str">
        <f aca="false">IF(A206="","",IF(V206=0,"Completo","Pendente"))</f>
        <v/>
      </c>
      <c r="X206" s="11"/>
      <c r="Y206" s="11"/>
      <c r="Z206" s="11"/>
    </row>
    <row r="207" customFormat="false" ht="15" hidden="false" customHeight="false" outlineLevel="0" collapsed="false">
      <c r="A207" s="11"/>
      <c r="B207" s="17" t="str">
        <f aca="false">IF(A207="","",IFERROR(INDEX(Cadastro!$B$5:$B$304,MATCH(A207,Cadastro!$A$5:$A$304,0)),"ID não encontrado"))</f>
        <v/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2" t="str">
        <f aca="false">IF(A207="","",COUNTIF(C207:U207,"N"))</f>
        <v/>
      </c>
      <c r="W207" s="2" t="str">
        <f aca="false">IF(A207="","",IF(V207=0,"Completo","Pendente"))</f>
        <v/>
      </c>
      <c r="X207" s="11"/>
      <c r="Y207" s="11"/>
      <c r="Z207" s="11"/>
    </row>
    <row r="208" customFormat="false" ht="15" hidden="false" customHeight="false" outlineLevel="0" collapsed="false">
      <c r="A208" s="11"/>
      <c r="B208" s="17" t="str">
        <f aca="false">IF(A208="","",IFERROR(INDEX(Cadastro!$B$5:$B$304,MATCH(A208,Cadastro!$A$5:$A$304,0)),"ID não encontrado"))</f>
        <v/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2" t="str">
        <f aca="false">IF(A208="","",COUNTIF(C208:U208,"N"))</f>
        <v/>
      </c>
      <c r="W208" s="2" t="str">
        <f aca="false">IF(A208="","",IF(V208=0,"Completo","Pendente"))</f>
        <v/>
      </c>
      <c r="X208" s="11"/>
      <c r="Y208" s="11"/>
      <c r="Z208" s="11"/>
    </row>
    <row r="209" customFormat="false" ht="15" hidden="false" customHeight="false" outlineLevel="0" collapsed="false">
      <c r="A209" s="11"/>
      <c r="B209" s="17" t="str">
        <f aca="false">IF(A209="","",IFERROR(INDEX(Cadastro!$B$5:$B$304,MATCH(A209,Cadastro!$A$5:$A$304,0)),"ID não encontrado"))</f>
        <v/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2" t="str">
        <f aca="false">IF(A209="","",COUNTIF(C209:U209,"N"))</f>
        <v/>
      </c>
      <c r="W209" s="2" t="str">
        <f aca="false">IF(A209="","",IF(V209=0,"Completo","Pendente"))</f>
        <v/>
      </c>
      <c r="X209" s="11"/>
      <c r="Y209" s="11"/>
      <c r="Z209" s="11"/>
    </row>
    <row r="210" customFormat="false" ht="15" hidden="false" customHeight="false" outlineLevel="0" collapsed="false">
      <c r="A210" s="11"/>
      <c r="B210" s="17" t="str">
        <f aca="false">IF(A210="","",IFERROR(INDEX(Cadastro!$B$5:$B$304,MATCH(A210,Cadastro!$A$5:$A$304,0)),"ID não encontrado"))</f>
        <v/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2" t="str">
        <f aca="false">IF(A210="","",COUNTIF(C210:U210,"N"))</f>
        <v/>
      </c>
      <c r="W210" s="2" t="str">
        <f aca="false">IF(A210="","",IF(V210=0,"Completo","Pendente"))</f>
        <v/>
      </c>
      <c r="X210" s="11"/>
      <c r="Y210" s="11"/>
      <c r="Z210" s="11"/>
    </row>
    <row r="211" customFormat="false" ht="15" hidden="false" customHeight="false" outlineLevel="0" collapsed="false">
      <c r="A211" s="11"/>
      <c r="B211" s="17" t="str">
        <f aca="false">IF(A211="","",IFERROR(INDEX(Cadastro!$B$5:$B$304,MATCH(A211,Cadastro!$A$5:$A$304,0)),"ID não encontrado"))</f>
        <v/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2" t="str">
        <f aca="false">IF(A211="","",COUNTIF(C211:U211,"N"))</f>
        <v/>
      </c>
      <c r="W211" s="2" t="str">
        <f aca="false">IF(A211="","",IF(V211=0,"Completo","Pendente"))</f>
        <v/>
      </c>
      <c r="X211" s="11"/>
      <c r="Y211" s="11"/>
      <c r="Z211" s="11"/>
    </row>
    <row r="212" customFormat="false" ht="15" hidden="false" customHeight="false" outlineLevel="0" collapsed="false">
      <c r="A212" s="11"/>
      <c r="B212" s="17" t="str">
        <f aca="false">IF(A212="","",IFERROR(INDEX(Cadastro!$B$5:$B$304,MATCH(A212,Cadastro!$A$5:$A$304,0)),"ID não encontrado"))</f>
        <v/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2" t="str">
        <f aca="false">IF(A212="","",COUNTIF(C212:U212,"N"))</f>
        <v/>
      </c>
      <c r="W212" s="2" t="str">
        <f aca="false">IF(A212="","",IF(V212=0,"Completo","Pendente"))</f>
        <v/>
      </c>
      <c r="X212" s="11"/>
      <c r="Y212" s="11"/>
      <c r="Z212" s="11"/>
    </row>
    <row r="213" customFormat="false" ht="15" hidden="false" customHeight="false" outlineLevel="0" collapsed="false">
      <c r="A213" s="11"/>
      <c r="B213" s="17" t="str">
        <f aca="false">IF(A213="","",IFERROR(INDEX(Cadastro!$B$5:$B$304,MATCH(A213,Cadastro!$A$5:$A$304,0)),"ID não encontrado"))</f>
        <v/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2" t="str">
        <f aca="false">IF(A213="","",COUNTIF(C213:U213,"N"))</f>
        <v/>
      </c>
      <c r="W213" s="2" t="str">
        <f aca="false">IF(A213="","",IF(V213=0,"Completo","Pendente"))</f>
        <v/>
      </c>
      <c r="X213" s="11"/>
      <c r="Y213" s="11"/>
      <c r="Z213" s="11"/>
    </row>
    <row r="214" customFormat="false" ht="15" hidden="false" customHeight="false" outlineLevel="0" collapsed="false">
      <c r="A214" s="11"/>
      <c r="B214" s="17" t="str">
        <f aca="false">IF(A214="","",IFERROR(INDEX(Cadastro!$B$5:$B$304,MATCH(A214,Cadastro!$A$5:$A$304,0)),"ID não encontrado"))</f>
        <v/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2" t="str">
        <f aca="false">IF(A214="","",COUNTIF(C214:U214,"N"))</f>
        <v/>
      </c>
      <c r="W214" s="2" t="str">
        <f aca="false">IF(A214="","",IF(V214=0,"Completo","Pendente"))</f>
        <v/>
      </c>
      <c r="X214" s="11"/>
      <c r="Y214" s="11"/>
      <c r="Z214" s="11"/>
    </row>
    <row r="215" customFormat="false" ht="15" hidden="false" customHeight="false" outlineLevel="0" collapsed="false">
      <c r="A215" s="11"/>
      <c r="B215" s="17" t="str">
        <f aca="false">IF(A215="","",IFERROR(INDEX(Cadastro!$B$5:$B$304,MATCH(A215,Cadastro!$A$5:$A$304,0)),"ID não encontrado"))</f>
        <v/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2" t="str">
        <f aca="false">IF(A215="","",COUNTIF(C215:U215,"N"))</f>
        <v/>
      </c>
      <c r="W215" s="2" t="str">
        <f aca="false">IF(A215="","",IF(V215=0,"Completo","Pendente"))</f>
        <v/>
      </c>
      <c r="X215" s="11"/>
      <c r="Y215" s="11"/>
      <c r="Z215" s="11"/>
    </row>
    <row r="216" customFormat="false" ht="15" hidden="false" customHeight="false" outlineLevel="0" collapsed="false">
      <c r="A216" s="11"/>
      <c r="B216" s="17" t="str">
        <f aca="false">IF(A216="","",IFERROR(INDEX(Cadastro!$B$5:$B$304,MATCH(A216,Cadastro!$A$5:$A$304,0)),"ID não encontrado"))</f>
        <v/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2" t="str">
        <f aca="false">IF(A216="","",COUNTIF(C216:U216,"N"))</f>
        <v/>
      </c>
      <c r="W216" s="2" t="str">
        <f aca="false">IF(A216="","",IF(V216=0,"Completo","Pendente"))</f>
        <v/>
      </c>
      <c r="X216" s="11"/>
      <c r="Y216" s="11"/>
      <c r="Z216" s="11"/>
    </row>
    <row r="217" customFormat="false" ht="15" hidden="false" customHeight="false" outlineLevel="0" collapsed="false">
      <c r="A217" s="11"/>
      <c r="B217" s="17" t="str">
        <f aca="false">IF(A217="","",IFERROR(INDEX(Cadastro!$B$5:$B$304,MATCH(A217,Cadastro!$A$5:$A$304,0)),"ID não encontrado"))</f>
        <v/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2" t="str">
        <f aca="false">IF(A217="","",COUNTIF(C217:U217,"N"))</f>
        <v/>
      </c>
      <c r="W217" s="2" t="str">
        <f aca="false">IF(A217="","",IF(V217=0,"Completo","Pendente"))</f>
        <v/>
      </c>
      <c r="X217" s="11"/>
      <c r="Y217" s="11"/>
      <c r="Z217" s="11"/>
    </row>
    <row r="218" customFormat="false" ht="15" hidden="false" customHeight="false" outlineLevel="0" collapsed="false">
      <c r="A218" s="11"/>
      <c r="B218" s="17" t="str">
        <f aca="false">IF(A218="","",IFERROR(INDEX(Cadastro!$B$5:$B$304,MATCH(A218,Cadastro!$A$5:$A$304,0)),"ID não encontrado"))</f>
        <v/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2" t="str">
        <f aca="false">IF(A218="","",COUNTIF(C218:U218,"N"))</f>
        <v/>
      </c>
      <c r="W218" s="2" t="str">
        <f aca="false">IF(A218="","",IF(V218=0,"Completo","Pendente"))</f>
        <v/>
      </c>
      <c r="X218" s="11"/>
      <c r="Y218" s="11"/>
      <c r="Z218" s="11"/>
    </row>
    <row r="219" customFormat="false" ht="15" hidden="false" customHeight="false" outlineLevel="0" collapsed="false">
      <c r="A219" s="11"/>
      <c r="B219" s="17" t="str">
        <f aca="false">IF(A219="","",IFERROR(INDEX(Cadastro!$B$5:$B$304,MATCH(A219,Cadastro!$A$5:$A$304,0)),"ID não encontrado"))</f>
        <v/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2" t="str">
        <f aca="false">IF(A219="","",COUNTIF(C219:U219,"N"))</f>
        <v/>
      </c>
      <c r="W219" s="2" t="str">
        <f aca="false">IF(A219="","",IF(V219=0,"Completo","Pendente"))</f>
        <v/>
      </c>
      <c r="X219" s="11"/>
      <c r="Y219" s="11"/>
      <c r="Z219" s="11"/>
    </row>
    <row r="220" customFormat="false" ht="15" hidden="false" customHeight="false" outlineLevel="0" collapsed="false">
      <c r="A220" s="11"/>
      <c r="B220" s="17" t="str">
        <f aca="false">IF(A220="","",IFERROR(INDEX(Cadastro!$B$5:$B$304,MATCH(A220,Cadastro!$A$5:$A$304,0)),"ID não encontrado"))</f>
        <v/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2" t="str">
        <f aca="false">IF(A220="","",COUNTIF(C220:U220,"N"))</f>
        <v/>
      </c>
      <c r="W220" s="2" t="str">
        <f aca="false">IF(A220="","",IF(V220=0,"Completo","Pendente"))</f>
        <v/>
      </c>
      <c r="X220" s="11"/>
      <c r="Y220" s="11"/>
      <c r="Z220" s="11"/>
    </row>
    <row r="221" customFormat="false" ht="15" hidden="false" customHeight="false" outlineLevel="0" collapsed="false">
      <c r="A221" s="11"/>
      <c r="B221" s="17" t="str">
        <f aca="false">IF(A221="","",IFERROR(INDEX(Cadastro!$B$5:$B$304,MATCH(A221,Cadastro!$A$5:$A$304,0)),"ID não encontrado"))</f>
        <v/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2" t="str">
        <f aca="false">IF(A221="","",COUNTIF(C221:U221,"N"))</f>
        <v/>
      </c>
      <c r="W221" s="2" t="str">
        <f aca="false">IF(A221="","",IF(V221=0,"Completo","Pendente"))</f>
        <v/>
      </c>
      <c r="X221" s="11"/>
      <c r="Y221" s="11"/>
      <c r="Z221" s="11"/>
    </row>
    <row r="222" customFormat="false" ht="15" hidden="false" customHeight="false" outlineLevel="0" collapsed="false">
      <c r="A222" s="11"/>
      <c r="B222" s="17" t="str">
        <f aca="false">IF(A222="","",IFERROR(INDEX(Cadastro!$B$5:$B$304,MATCH(A222,Cadastro!$A$5:$A$304,0)),"ID não encontrado"))</f>
        <v/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2" t="str">
        <f aca="false">IF(A222="","",COUNTIF(C222:U222,"N"))</f>
        <v/>
      </c>
      <c r="W222" s="2" t="str">
        <f aca="false">IF(A222="","",IF(V222=0,"Completo","Pendente"))</f>
        <v/>
      </c>
      <c r="X222" s="11"/>
      <c r="Y222" s="11"/>
      <c r="Z222" s="11"/>
    </row>
    <row r="223" customFormat="false" ht="15" hidden="false" customHeight="false" outlineLevel="0" collapsed="false">
      <c r="A223" s="11"/>
      <c r="B223" s="17" t="str">
        <f aca="false">IF(A223="","",IFERROR(INDEX(Cadastro!$B$5:$B$304,MATCH(A223,Cadastro!$A$5:$A$304,0)),"ID não encontrado"))</f>
        <v/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2" t="str">
        <f aca="false">IF(A223="","",COUNTIF(C223:U223,"N"))</f>
        <v/>
      </c>
      <c r="W223" s="2" t="str">
        <f aca="false">IF(A223="","",IF(V223=0,"Completo","Pendente"))</f>
        <v/>
      </c>
      <c r="X223" s="11"/>
      <c r="Y223" s="11"/>
      <c r="Z223" s="11"/>
    </row>
    <row r="224" customFormat="false" ht="15" hidden="false" customHeight="false" outlineLevel="0" collapsed="false">
      <c r="A224" s="11"/>
      <c r="B224" s="17" t="str">
        <f aca="false">IF(A224="","",IFERROR(INDEX(Cadastro!$B$5:$B$304,MATCH(A224,Cadastro!$A$5:$A$304,0)),"ID não encontrado"))</f>
        <v/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2" t="str">
        <f aca="false">IF(A224="","",COUNTIF(C224:U224,"N"))</f>
        <v/>
      </c>
      <c r="W224" s="2" t="str">
        <f aca="false">IF(A224="","",IF(V224=0,"Completo","Pendente"))</f>
        <v/>
      </c>
      <c r="X224" s="11"/>
      <c r="Y224" s="11"/>
      <c r="Z224" s="11"/>
    </row>
    <row r="225" customFormat="false" ht="15" hidden="false" customHeight="false" outlineLevel="0" collapsed="false">
      <c r="A225" s="11"/>
      <c r="B225" s="17" t="str">
        <f aca="false">IF(A225="","",IFERROR(INDEX(Cadastro!$B$5:$B$304,MATCH(A225,Cadastro!$A$5:$A$304,0)),"ID não encontrado"))</f>
        <v/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2" t="str">
        <f aca="false">IF(A225="","",COUNTIF(C225:U225,"N"))</f>
        <v/>
      </c>
      <c r="W225" s="2" t="str">
        <f aca="false">IF(A225="","",IF(V225=0,"Completo","Pendente"))</f>
        <v/>
      </c>
      <c r="X225" s="11"/>
      <c r="Y225" s="11"/>
      <c r="Z225" s="11"/>
    </row>
    <row r="226" customFormat="false" ht="15" hidden="false" customHeight="false" outlineLevel="0" collapsed="false">
      <c r="A226" s="11"/>
      <c r="B226" s="17" t="str">
        <f aca="false">IF(A226="","",IFERROR(INDEX(Cadastro!$B$5:$B$304,MATCH(A226,Cadastro!$A$5:$A$304,0)),"ID não encontrado"))</f>
        <v/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2" t="str">
        <f aca="false">IF(A226="","",COUNTIF(C226:U226,"N"))</f>
        <v/>
      </c>
      <c r="W226" s="2" t="str">
        <f aca="false">IF(A226="","",IF(V226=0,"Completo","Pendente"))</f>
        <v/>
      </c>
      <c r="X226" s="11"/>
      <c r="Y226" s="11"/>
      <c r="Z226" s="11"/>
    </row>
    <row r="227" customFormat="false" ht="15" hidden="false" customHeight="false" outlineLevel="0" collapsed="false">
      <c r="A227" s="11"/>
      <c r="B227" s="17" t="str">
        <f aca="false">IF(A227="","",IFERROR(INDEX(Cadastro!$B$5:$B$304,MATCH(A227,Cadastro!$A$5:$A$304,0)),"ID não encontrado"))</f>
        <v/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2" t="str">
        <f aca="false">IF(A227="","",COUNTIF(C227:U227,"N"))</f>
        <v/>
      </c>
      <c r="W227" s="2" t="str">
        <f aca="false">IF(A227="","",IF(V227=0,"Completo","Pendente"))</f>
        <v/>
      </c>
      <c r="X227" s="11"/>
      <c r="Y227" s="11"/>
      <c r="Z227" s="11"/>
    </row>
    <row r="228" customFormat="false" ht="15" hidden="false" customHeight="false" outlineLevel="0" collapsed="false">
      <c r="A228" s="11"/>
      <c r="B228" s="17" t="str">
        <f aca="false">IF(A228="","",IFERROR(INDEX(Cadastro!$B$5:$B$304,MATCH(A228,Cadastro!$A$5:$A$304,0)),"ID não encontrado"))</f>
        <v/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2" t="str">
        <f aca="false">IF(A228="","",COUNTIF(C228:U228,"N"))</f>
        <v/>
      </c>
      <c r="W228" s="2" t="str">
        <f aca="false">IF(A228="","",IF(V228=0,"Completo","Pendente"))</f>
        <v/>
      </c>
      <c r="X228" s="11"/>
      <c r="Y228" s="11"/>
      <c r="Z228" s="11"/>
    </row>
    <row r="229" customFormat="false" ht="15" hidden="false" customHeight="false" outlineLevel="0" collapsed="false">
      <c r="A229" s="11"/>
      <c r="B229" s="17" t="str">
        <f aca="false">IF(A229="","",IFERROR(INDEX(Cadastro!$B$5:$B$304,MATCH(A229,Cadastro!$A$5:$A$304,0)),"ID não encontrado"))</f>
        <v/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2" t="str">
        <f aca="false">IF(A229="","",COUNTIF(C229:U229,"N"))</f>
        <v/>
      </c>
      <c r="W229" s="2" t="str">
        <f aca="false">IF(A229="","",IF(V229=0,"Completo","Pendente"))</f>
        <v/>
      </c>
      <c r="X229" s="11"/>
      <c r="Y229" s="11"/>
      <c r="Z229" s="11"/>
    </row>
    <row r="230" customFormat="false" ht="15" hidden="false" customHeight="false" outlineLevel="0" collapsed="false">
      <c r="A230" s="11"/>
      <c r="B230" s="17" t="str">
        <f aca="false">IF(A230="","",IFERROR(INDEX(Cadastro!$B$5:$B$304,MATCH(A230,Cadastro!$A$5:$A$304,0)),"ID não encontrado"))</f>
        <v/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2" t="str">
        <f aca="false">IF(A230="","",COUNTIF(C230:U230,"N"))</f>
        <v/>
      </c>
      <c r="W230" s="2" t="str">
        <f aca="false">IF(A230="","",IF(V230=0,"Completo","Pendente"))</f>
        <v/>
      </c>
      <c r="X230" s="11"/>
      <c r="Y230" s="11"/>
      <c r="Z230" s="11"/>
    </row>
    <row r="231" customFormat="false" ht="15" hidden="false" customHeight="false" outlineLevel="0" collapsed="false">
      <c r="A231" s="11"/>
      <c r="B231" s="17" t="str">
        <f aca="false">IF(A231="","",IFERROR(INDEX(Cadastro!$B$5:$B$304,MATCH(A231,Cadastro!$A$5:$A$304,0)),"ID não encontrado"))</f>
        <v/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2" t="str">
        <f aca="false">IF(A231="","",COUNTIF(C231:U231,"N"))</f>
        <v/>
      </c>
      <c r="W231" s="2" t="str">
        <f aca="false">IF(A231="","",IF(V231=0,"Completo","Pendente"))</f>
        <v/>
      </c>
      <c r="X231" s="11"/>
      <c r="Y231" s="11"/>
      <c r="Z231" s="11"/>
    </row>
    <row r="232" customFormat="false" ht="15" hidden="false" customHeight="false" outlineLevel="0" collapsed="false">
      <c r="A232" s="11"/>
      <c r="B232" s="17" t="str">
        <f aca="false">IF(A232="","",IFERROR(INDEX(Cadastro!$B$5:$B$304,MATCH(A232,Cadastro!$A$5:$A$304,0)),"ID não encontrado"))</f>
        <v/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2" t="str">
        <f aca="false">IF(A232="","",COUNTIF(C232:U232,"N"))</f>
        <v/>
      </c>
      <c r="W232" s="2" t="str">
        <f aca="false">IF(A232="","",IF(V232=0,"Completo","Pendente"))</f>
        <v/>
      </c>
      <c r="X232" s="11"/>
      <c r="Y232" s="11"/>
      <c r="Z232" s="11"/>
    </row>
    <row r="233" customFormat="false" ht="15" hidden="false" customHeight="false" outlineLevel="0" collapsed="false">
      <c r="A233" s="11"/>
      <c r="B233" s="17" t="str">
        <f aca="false">IF(A233="","",IFERROR(INDEX(Cadastro!$B$5:$B$304,MATCH(A233,Cadastro!$A$5:$A$304,0)),"ID não encontrado"))</f>
        <v/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2" t="str">
        <f aca="false">IF(A233="","",COUNTIF(C233:U233,"N"))</f>
        <v/>
      </c>
      <c r="W233" s="2" t="str">
        <f aca="false">IF(A233="","",IF(V233=0,"Completo","Pendente"))</f>
        <v/>
      </c>
      <c r="X233" s="11"/>
      <c r="Y233" s="11"/>
      <c r="Z233" s="11"/>
    </row>
    <row r="234" customFormat="false" ht="15" hidden="false" customHeight="false" outlineLevel="0" collapsed="false">
      <c r="A234" s="11"/>
      <c r="B234" s="17" t="str">
        <f aca="false">IF(A234="","",IFERROR(INDEX(Cadastro!$B$5:$B$304,MATCH(A234,Cadastro!$A$5:$A$304,0)),"ID não encontrado"))</f>
        <v/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2" t="str">
        <f aca="false">IF(A234="","",COUNTIF(C234:U234,"N"))</f>
        <v/>
      </c>
      <c r="W234" s="2" t="str">
        <f aca="false">IF(A234="","",IF(V234=0,"Completo","Pendente"))</f>
        <v/>
      </c>
      <c r="X234" s="11"/>
      <c r="Y234" s="11"/>
      <c r="Z234" s="11"/>
    </row>
    <row r="235" customFormat="false" ht="15" hidden="false" customHeight="false" outlineLevel="0" collapsed="false">
      <c r="A235" s="11"/>
      <c r="B235" s="17" t="str">
        <f aca="false">IF(A235="","",IFERROR(INDEX(Cadastro!$B$5:$B$304,MATCH(A235,Cadastro!$A$5:$A$304,0)),"ID não encontrado"))</f>
        <v/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2" t="str">
        <f aca="false">IF(A235="","",COUNTIF(C235:U235,"N"))</f>
        <v/>
      </c>
      <c r="W235" s="2" t="str">
        <f aca="false">IF(A235="","",IF(V235=0,"Completo","Pendente"))</f>
        <v/>
      </c>
      <c r="X235" s="11"/>
      <c r="Y235" s="11"/>
      <c r="Z235" s="11"/>
    </row>
    <row r="236" customFormat="false" ht="15" hidden="false" customHeight="false" outlineLevel="0" collapsed="false">
      <c r="A236" s="11"/>
      <c r="B236" s="17" t="str">
        <f aca="false">IF(A236="","",IFERROR(INDEX(Cadastro!$B$5:$B$304,MATCH(A236,Cadastro!$A$5:$A$304,0)),"ID não encontrado"))</f>
        <v/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2" t="str">
        <f aca="false">IF(A236="","",COUNTIF(C236:U236,"N"))</f>
        <v/>
      </c>
      <c r="W236" s="2" t="str">
        <f aca="false">IF(A236="","",IF(V236=0,"Completo","Pendente"))</f>
        <v/>
      </c>
      <c r="X236" s="11"/>
      <c r="Y236" s="11"/>
      <c r="Z236" s="11"/>
    </row>
    <row r="237" customFormat="false" ht="15" hidden="false" customHeight="false" outlineLevel="0" collapsed="false">
      <c r="A237" s="11"/>
      <c r="B237" s="17" t="str">
        <f aca="false">IF(A237="","",IFERROR(INDEX(Cadastro!$B$5:$B$304,MATCH(A237,Cadastro!$A$5:$A$304,0)),"ID não encontrado"))</f>
        <v/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2" t="str">
        <f aca="false">IF(A237="","",COUNTIF(C237:U237,"N"))</f>
        <v/>
      </c>
      <c r="W237" s="2" t="str">
        <f aca="false">IF(A237="","",IF(V237=0,"Completo","Pendente"))</f>
        <v/>
      </c>
      <c r="X237" s="11"/>
      <c r="Y237" s="11"/>
      <c r="Z237" s="11"/>
    </row>
    <row r="238" customFormat="false" ht="15" hidden="false" customHeight="false" outlineLevel="0" collapsed="false">
      <c r="A238" s="11"/>
      <c r="B238" s="17" t="str">
        <f aca="false">IF(A238="","",IFERROR(INDEX(Cadastro!$B$5:$B$304,MATCH(A238,Cadastro!$A$5:$A$304,0)),"ID não encontrado"))</f>
        <v/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2" t="str">
        <f aca="false">IF(A238="","",COUNTIF(C238:U238,"N"))</f>
        <v/>
      </c>
      <c r="W238" s="2" t="str">
        <f aca="false">IF(A238="","",IF(V238=0,"Completo","Pendente"))</f>
        <v/>
      </c>
      <c r="X238" s="11"/>
      <c r="Y238" s="11"/>
      <c r="Z238" s="11"/>
    </row>
    <row r="239" customFormat="false" ht="15" hidden="false" customHeight="false" outlineLevel="0" collapsed="false">
      <c r="A239" s="11"/>
      <c r="B239" s="17" t="str">
        <f aca="false">IF(A239="","",IFERROR(INDEX(Cadastro!$B$5:$B$304,MATCH(A239,Cadastro!$A$5:$A$304,0)),"ID não encontrado"))</f>
        <v/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2" t="str">
        <f aca="false">IF(A239="","",COUNTIF(C239:U239,"N"))</f>
        <v/>
      </c>
      <c r="W239" s="2" t="str">
        <f aca="false">IF(A239="","",IF(V239=0,"Completo","Pendente"))</f>
        <v/>
      </c>
      <c r="X239" s="11"/>
      <c r="Y239" s="11"/>
      <c r="Z239" s="11"/>
    </row>
    <row r="240" customFormat="false" ht="15" hidden="false" customHeight="false" outlineLevel="0" collapsed="false">
      <c r="A240" s="11"/>
      <c r="B240" s="17" t="str">
        <f aca="false">IF(A240="","",IFERROR(INDEX(Cadastro!$B$5:$B$304,MATCH(A240,Cadastro!$A$5:$A$304,0)),"ID não encontrado"))</f>
        <v/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2" t="str">
        <f aca="false">IF(A240="","",COUNTIF(C240:U240,"N"))</f>
        <v/>
      </c>
      <c r="W240" s="2" t="str">
        <f aca="false">IF(A240="","",IF(V240=0,"Completo","Pendente"))</f>
        <v/>
      </c>
      <c r="X240" s="11"/>
      <c r="Y240" s="11"/>
      <c r="Z240" s="11"/>
    </row>
    <row r="241" customFormat="false" ht="15" hidden="false" customHeight="false" outlineLevel="0" collapsed="false">
      <c r="A241" s="11"/>
      <c r="B241" s="17" t="str">
        <f aca="false">IF(A241="","",IFERROR(INDEX(Cadastro!$B$5:$B$304,MATCH(A241,Cadastro!$A$5:$A$304,0)),"ID não encontrado"))</f>
        <v/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2" t="str">
        <f aca="false">IF(A241="","",COUNTIF(C241:U241,"N"))</f>
        <v/>
      </c>
      <c r="W241" s="2" t="str">
        <f aca="false">IF(A241="","",IF(V241=0,"Completo","Pendente"))</f>
        <v/>
      </c>
      <c r="X241" s="11"/>
      <c r="Y241" s="11"/>
      <c r="Z241" s="11"/>
    </row>
    <row r="242" customFormat="false" ht="15" hidden="false" customHeight="false" outlineLevel="0" collapsed="false">
      <c r="A242" s="11"/>
      <c r="B242" s="17" t="str">
        <f aca="false">IF(A242="","",IFERROR(INDEX(Cadastro!$B$5:$B$304,MATCH(A242,Cadastro!$A$5:$A$304,0)),"ID não encontrado"))</f>
        <v/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2" t="str">
        <f aca="false">IF(A242="","",COUNTIF(C242:U242,"N"))</f>
        <v/>
      </c>
      <c r="W242" s="2" t="str">
        <f aca="false">IF(A242="","",IF(V242=0,"Completo","Pendente"))</f>
        <v/>
      </c>
      <c r="X242" s="11"/>
      <c r="Y242" s="11"/>
      <c r="Z242" s="11"/>
    </row>
    <row r="243" customFormat="false" ht="15" hidden="false" customHeight="false" outlineLevel="0" collapsed="false">
      <c r="A243" s="11"/>
      <c r="B243" s="17" t="str">
        <f aca="false">IF(A243="","",IFERROR(INDEX(Cadastro!$B$5:$B$304,MATCH(A243,Cadastro!$A$5:$A$304,0)),"ID não encontrado"))</f>
        <v/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2" t="str">
        <f aca="false">IF(A243="","",COUNTIF(C243:U243,"N"))</f>
        <v/>
      </c>
      <c r="W243" s="2" t="str">
        <f aca="false">IF(A243="","",IF(V243=0,"Completo","Pendente"))</f>
        <v/>
      </c>
      <c r="X243" s="11"/>
      <c r="Y243" s="11"/>
      <c r="Z243" s="11"/>
    </row>
    <row r="244" customFormat="false" ht="15" hidden="false" customHeight="false" outlineLevel="0" collapsed="false">
      <c r="A244" s="11"/>
      <c r="B244" s="17" t="str">
        <f aca="false">IF(A244="","",IFERROR(INDEX(Cadastro!$B$5:$B$304,MATCH(A244,Cadastro!$A$5:$A$304,0)),"ID não encontrado"))</f>
        <v/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2" t="str">
        <f aca="false">IF(A244="","",COUNTIF(C244:U244,"N"))</f>
        <v/>
      </c>
      <c r="W244" s="2" t="str">
        <f aca="false">IF(A244="","",IF(V244=0,"Completo","Pendente"))</f>
        <v/>
      </c>
      <c r="X244" s="11"/>
      <c r="Y244" s="11"/>
      <c r="Z244" s="11"/>
    </row>
    <row r="245" customFormat="false" ht="15" hidden="false" customHeight="false" outlineLevel="0" collapsed="false">
      <c r="A245" s="11"/>
      <c r="B245" s="17" t="str">
        <f aca="false">IF(A245="","",IFERROR(INDEX(Cadastro!$B$5:$B$304,MATCH(A245,Cadastro!$A$5:$A$304,0)),"ID não encontrado"))</f>
        <v/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2" t="str">
        <f aca="false">IF(A245="","",COUNTIF(C245:U245,"N"))</f>
        <v/>
      </c>
      <c r="W245" s="2" t="str">
        <f aca="false">IF(A245="","",IF(V245=0,"Completo","Pendente"))</f>
        <v/>
      </c>
      <c r="X245" s="11"/>
      <c r="Y245" s="11"/>
      <c r="Z245" s="11"/>
    </row>
    <row r="246" customFormat="false" ht="15" hidden="false" customHeight="false" outlineLevel="0" collapsed="false">
      <c r="A246" s="11"/>
      <c r="B246" s="17" t="str">
        <f aca="false">IF(A246="","",IFERROR(INDEX(Cadastro!$B$5:$B$304,MATCH(A246,Cadastro!$A$5:$A$304,0)),"ID não encontrado"))</f>
        <v/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2" t="str">
        <f aca="false">IF(A246="","",COUNTIF(C246:U246,"N"))</f>
        <v/>
      </c>
      <c r="W246" s="2" t="str">
        <f aca="false">IF(A246="","",IF(V246=0,"Completo","Pendente"))</f>
        <v/>
      </c>
      <c r="X246" s="11"/>
      <c r="Y246" s="11"/>
      <c r="Z246" s="11"/>
    </row>
    <row r="247" customFormat="false" ht="15" hidden="false" customHeight="false" outlineLevel="0" collapsed="false">
      <c r="A247" s="11"/>
      <c r="B247" s="17" t="str">
        <f aca="false">IF(A247="","",IFERROR(INDEX(Cadastro!$B$5:$B$304,MATCH(A247,Cadastro!$A$5:$A$304,0)),"ID não encontrado"))</f>
        <v/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2" t="str">
        <f aca="false">IF(A247="","",COUNTIF(C247:U247,"N"))</f>
        <v/>
      </c>
      <c r="W247" s="2" t="str">
        <f aca="false">IF(A247="","",IF(V247=0,"Completo","Pendente"))</f>
        <v/>
      </c>
      <c r="X247" s="11"/>
      <c r="Y247" s="11"/>
      <c r="Z247" s="11"/>
    </row>
    <row r="248" customFormat="false" ht="15" hidden="false" customHeight="false" outlineLevel="0" collapsed="false">
      <c r="A248" s="11"/>
      <c r="B248" s="17" t="str">
        <f aca="false">IF(A248="","",IFERROR(INDEX(Cadastro!$B$5:$B$304,MATCH(A248,Cadastro!$A$5:$A$304,0)),"ID não encontrado"))</f>
        <v/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2" t="str">
        <f aca="false">IF(A248="","",COUNTIF(C248:U248,"N"))</f>
        <v/>
      </c>
      <c r="W248" s="2" t="str">
        <f aca="false">IF(A248="","",IF(V248=0,"Completo","Pendente"))</f>
        <v/>
      </c>
      <c r="X248" s="11"/>
      <c r="Y248" s="11"/>
      <c r="Z248" s="11"/>
    </row>
    <row r="249" customFormat="false" ht="15" hidden="false" customHeight="false" outlineLevel="0" collapsed="false">
      <c r="A249" s="11"/>
      <c r="B249" s="17" t="str">
        <f aca="false">IF(A249="","",IFERROR(INDEX(Cadastro!$B$5:$B$304,MATCH(A249,Cadastro!$A$5:$A$304,0)),"ID não encontrado"))</f>
        <v/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2" t="str">
        <f aca="false">IF(A249="","",COUNTIF(C249:U249,"N"))</f>
        <v/>
      </c>
      <c r="W249" s="2" t="str">
        <f aca="false">IF(A249="","",IF(V249=0,"Completo","Pendente"))</f>
        <v/>
      </c>
      <c r="X249" s="11"/>
      <c r="Y249" s="11"/>
      <c r="Z249" s="11"/>
    </row>
    <row r="250" customFormat="false" ht="15" hidden="false" customHeight="false" outlineLevel="0" collapsed="false">
      <c r="A250" s="11"/>
      <c r="B250" s="17" t="str">
        <f aca="false">IF(A250="","",IFERROR(INDEX(Cadastro!$B$5:$B$304,MATCH(A250,Cadastro!$A$5:$A$304,0)),"ID não encontrado"))</f>
        <v/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2" t="str">
        <f aca="false">IF(A250="","",COUNTIF(C250:U250,"N"))</f>
        <v/>
      </c>
      <c r="W250" s="2" t="str">
        <f aca="false">IF(A250="","",IF(V250=0,"Completo","Pendente"))</f>
        <v/>
      </c>
      <c r="X250" s="11"/>
      <c r="Y250" s="11"/>
      <c r="Z250" s="11"/>
    </row>
    <row r="251" customFormat="false" ht="15" hidden="false" customHeight="false" outlineLevel="0" collapsed="false">
      <c r="A251" s="11"/>
      <c r="B251" s="17" t="str">
        <f aca="false">IF(A251="","",IFERROR(INDEX(Cadastro!$B$5:$B$304,MATCH(A251,Cadastro!$A$5:$A$304,0)),"ID não encontrado"))</f>
        <v/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2" t="str">
        <f aca="false">IF(A251="","",COUNTIF(C251:U251,"N"))</f>
        <v/>
      </c>
      <c r="W251" s="2" t="str">
        <f aca="false">IF(A251="","",IF(V251=0,"Completo","Pendente"))</f>
        <v/>
      </c>
      <c r="X251" s="11"/>
      <c r="Y251" s="11"/>
      <c r="Z251" s="11"/>
    </row>
    <row r="252" customFormat="false" ht="15" hidden="false" customHeight="false" outlineLevel="0" collapsed="false">
      <c r="A252" s="11"/>
      <c r="B252" s="17" t="str">
        <f aca="false">IF(A252="","",IFERROR(INDEX(Cadastro!$B$5:$B$304,MATCH(A252,Cadastro!$A$5:$A$304,0)),"ID não encontrado"))</f>
        <v/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2" t="str">
        <f aca="false">IF(A252="","",COUNTIF(C252:U252,"N"))</f>
        <v/>
      </c>
      <c r="W252" s="2" t="str">
        <f aca="false">IF(A252="","",IF(V252=0,"Completo","Pendente"))</f>
        <v/>
      </c>
      <c r="X252" s="11"/>
      <c r="Y252" s="11"/>
      <c r="Z252" s="11"/>
    </row>
    <row r="253" customFormat="false" ht="15" hidden="false" customHeight="false" outlineLevel="0" collapsed="false">
      <c r="A253" s="11"/>
      <c r="B253" s="17" t="str">
        <f aca="false">IF(A253="","",IFERROR(INDEX(Cadastro!$B$5:$B$304,MATCH(A253,Cadastro!$A$5:$A$304,0)),"ID não encontrado"))</f>
        <v/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2" t="str">
        <f aca="false">IF(A253="","",COUNTIF(C253:U253,"N"))</f>
        <v/>
      </c>
      <c r="W253" s="2" t="str">
        <f aca="false">IF(A253="","",IF(V253=0,"Completo","Pendente"))</f>
        <v/>
      </c>
      <c r="X253" s="11"/>
      <c r="Y253" s="11"/>
      <c r="Z253" s="11"/>
    </row>
    <row r="254" customFormat="false" ht="15" hidden="false" customHeight="false" outlineLevel="0" collapsed="false">
      <c r="A254" s="11"/>
      <c r="B254" s="17" t="str">
        <f aca="false">IF(A254="","",IFERROR(INDEX(Cadastro!$B$5:$B$304,MATCH(A254,Cadastro!$A$5:$A$304,0)),"ID não encontrado"))</f>
        <v/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2" t="str">
        <f aca="false">IF(A254="","",COUNTIF(C254:U254,"N"))</f>
        <v/>
      </c>
      <c r="W254" s="2" t="str">
        <f aca="false">IF(A254="","",IF(V254=0,"Completo","Pendente"))</f>
        <v/>
      </c>
      <c r="X254" s="11"/>
      <c r="Y254" s="11"/>
      <c r="Z254" s="11"/>
    </row>
    <row r="255" customFormat="false" ht="15" hidden="false" customHeight="false" outlineLevel="0" collapsed="false">
      <c r="A255" s="11"/>
      <c r="B255" s="17" t="str">
        <f aca="false">IF(A255="","",IFERROR(INDEX(Cadastro!$B$5:$B$304,MATCH(A255,Cadastro!$A$5:$A$304,0)),"ID não encontrado"))</f>
        <v/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2" t="str">
        <f aca="false">IF(A255="","",COUNTIF(C255:U255,"N"))</f>
        <v/>
      </c>
      <c r="W255" s="2" t="str">
        <f aca="false">IF(A255="","",IF(V255=0,"Completo","Pendente"))</f>
        <v/>
      </c>
      <c r="X255" s="11"/>
      <c r="Y255" s="11"/>
      <c r="Z255" s="11"/>
    </row>
    <row r="256" customFormat="false" ht="15" hidden="false" customHeight="false" outlineLevel="0" collapsed="false">
      <c r="A256" s="11"/>
      <c r="B256" s="17" t="str">
        <f aca="false">IF(A256="","",IFERROR(INDEX(Cadastro!$B$5:$B$304,MATCH(A256,Cadastro!$A$5:$A$304,0)),"ID não encontrado"))</f>
        <v/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2" t="str">
        <f aca="false">IF(A256="","",COUNTIF(C256:U256,"N"))</f>
        <v/>
      </c>
      <c r="W256" s="2" t="str">
        <f aca="false">IF(A256="","",IF(V256=0,"Completo","Pendente"))</f>
        <v/>
      </c>
      <c r="X256" s="11"/>
      <c r="Y256" s="11"/>
      <c r="Z256" s="11"/>
    </row>
    <row r="257" customFormat="false" ht="15" hidden="false" customHeight="false" outlineLevel="0" collapsed="false">
      <c r="A257" s="11"/>
      <c r="B257" s="17" t="str">
        <f aca="false">IF(A257="","",IFERROR(INDEX(Cadastro!$B$5:$B$304,MATCH(A257,Cadastro!$A$5:$A$304,0)),"ID não encontrado"))</f>
        <v/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2" t="str">
        <f aca="false">IF(A257="","",COUNTIF(C257:U257,"N"))</f>
        <v/>
      </c>
      <c r="W257" s="2" t="str">
        <f aca="false">IF(A257="","",IF(V257=0,"Completo","Pendente"))</f>
        <v/>
      </c>
      <c r="X257" s="11"/>
      <c r="Y257" s="11"/>
      <c r="Z257" s="11"/>
    </row>
    <row r="258" customFormat="false" ht="15" hidden="false" customHeight="false" outlineLevel="0" collapsed="false">
      <c r="A258" s="11"/>
      <c r="B258" s="17" t="str">
        <f aca="false">IF(A258="","",IFERROR(INDEX(Cadastro!$B$5:$B$304,MATCH(A258,Cadastro!$A$5:$A$304,0)),"ID não encontrado"))</f>
        <v/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2" t="str">
        <f aca="false">IF(A258="","",COUNTIF(C258:U258,"N"))</f>
        <v/>
      </c>
      <c r="W258" s="2" t="str">
        <f aca="false">IF(A258="","",IF(V258=0,"Completo","Pendente"))</f>
        <v/>
      </c>
      <c r="X258" s="11"/>
      <c r="Y258" s="11"/>
      <c r="Z258" s="11"/>
    </row>
    <row r="259" customFormat="false" ht="15" hidden="false" customHeight="false" outlineLevel="0" collapsed="false">
      <c r="A259" s="11"/>
      <c r="B259" s="17" t="str">
        <f aca="false">IF(A259="","",IFERROR(INDEX(Cadastro!$B$5:$B$304,MATCH(A259,Cadastro!$A$5:$A$304,0)),"ID não encontrado"))</f>
        <v/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2" t="str">
        <f aca="false">IF(A259="","",COUNTIF(C259:U259,"N"))</f>
        <v/>
      </c>
      <c r="W259" s="2" t="str">
        <f aca="false">IF(A259="","",IF(V259=0,"Completo","Pendente"))</f>
        <v/>
      </c>
      <c r="X259" s="11"/>
      <c r="Y259" s="11"/>
      <c r="Z259" s="11"/>
    </row>
    <row r="260" customFormat="false" ht="15" hidden="false" customHeight="false" outlineLevel="0" collapsed="false">
      <c r="A260" s="11"/>
      <c r="B260" s="17" t="str">
        <f aca="false">IF(A260="","",IFERROR(INDEX(Cadastro!$B$5:$B$304,MATCH(A260,Cadastro!$A$5:$A$304,0)),"ID não encontrado"))</f>
        <v/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2" t="str">
        <f aca="false">IF(A260="","",COUNTIF(C260:U260,"N"))</f>
        <v/>
      </c>
      <c r="W260" s="2" t="str">
        <f aca="false">IF(A260="","",IF(V260=0,"Completo","Pendente"))</f>
        <v/>
      </c>
      <c r="X260" s="11"/>
      <c r="Y260" s="11"/>
      <c r="Z260" s="11"/>
    </row>
    <row r="261" customFormat="false" ht="15" hidden="false" customHeight="false" outlineLevel="0" collapsed="false">
      <c r="A261" s="11"/>
      <c r="B261" s="17" t="str">
        <f aca="false">IF(A261="","",IFERROR(INDEX(Cadastro!$B$5:$B$304,MATCH(A261,Cadastro!$A$5:$A$304,0)),"ID não encontrado"))</f>
        <v/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2" t="str">
        <f aca="false">IF(A261="","",COUNTIF(C261:U261,"N"))</f>
        <v/>
      </c>
      <c r="W261" s="2" t="str">
        <f aca="false">IF(A261="","",IF(V261=0,"Completo","Pendente"))</f>
        <v/>
      </c>
      <c r="X261" s="11"/>
      <c r="Y261" s="11"/>
      <c r="Z261" s="11"/>
    </row>
    <row r="262" customFormat="false" ht="15" hidden="false" customHeight="false" outlineLevel="0" collapsed="false">
      <c r="A262" s="11"/>
      <c r="B262" s="17" t="str">
        <f aca="false">IF(A262="","",IFERROR(INDEX(Cadastro!$B$5:$B$304,MATCH(A262,Cadastro!$A$5:$A$304,0)),"ID não encontrado"))</f>
        <v/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2" t="str">
        <f aca="false">IF(A262="","",COUNTIF(C262:U262,"N"))</f>
        <v/>
      </c>
      <c r="W262" s="2" t="str">
        <f aca="false">IF(A262="","",IF(V262=0,"Completo","Pendente"))</f>
        <v/>
      </c>
      <c r="X262" s="11"/>
      <c r="Y262" s="11"/>
      <c r="Z262" s="11"/>
    </row>
    <row r="263" customFormat="false" ht="15" hidden="false" customHeight="false" outlineLevel="0" collapsed="false">
      <c r="A263" s="11"/>
      <c r="B263" s="17" t="str">
        <f aca="false">IF(A263="","",IFERROR(INDEX(Cadastro!$B$5:$B$304,MATCH(A263,Cadastro!$A$5:$A$304,0)),"ID não encontrado"))</f>
        <v/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2" t="str">
        <f aca="false">IF(A263="","",COUNTIF(C263:U263,"N"))</f>
        <v/>
      </c>
      <c r="W263" s="2" t="str">
        <f aca="false">IF(A263="","",IF(V263=0,"Completo","Pendente"))</f>
        <v/>
      </c>
      <c r="X263" s="11"/>
      <c r="Y263" s="11"/>
      <c r="Z263" s="11"/>
    </row>
    <row r="264" customFormat="false" ht="15" hidden="false" customHeight="false" outlineLevel="0" collapsed="false">
      <c r="A264" s="11"/>
      <c r="B264" s="17" t="str">
        <f aca="false">IF(A264="","",IFERROR(INDEX(Cadastro!$B$5:$B$304,MATCH(A264,Cadastro!$A$5:$A$304,0)),"ID não encontrado"))</f>
        <v/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2" t="str">
        <f aca="false">IF(A264="","",COUNTIF(C264:U264,"N"))</f>
        <v/>
      </c>
      <c r="W264" s="2" t="str">
        <f aca="false">IF(A264="","",IF(V264=0,"Completo","Pendente"))</f>
        <v/>
      </c>
      <c r="X264" s="11"/>
      <c r="Y264" s="11"/>
      <c r="Z264" s="11"/>
    </row>
    <row r="265" customFormat="false" ht="15" hidden="false" customHeight="false" outlineLevel="0" collapsed="false">
      <c r="A265" s="11"/>
      <c r="B265" s="17" t="str">
        <f aca="false">IF(A265="","",IFERROR(INDEX(Cadastro!$B$5:$B$304,MATCH(A265,Cadastro!$A$5:$A$304,0)),"ID não encontrado"))</f>
        <v/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2" t="str">
        <f aca="false">IF(A265="","",COUNTIF(C265:U265,"N"))</f>
        <v/>
      </c>
      <c r="W265" s="2" t="str">
        <f aca="false">IF(A265="","",IF(V265=0,"Completo","Pendente"))</f>
        <v/>
      </c>
      <c r="X265" s="11"/>
      <c r="Y265" s="11"/>
      <c r="Z265" s="11"/>
    </row>
    <row r="266" customFormat="false" ht="15" hidden="false" customHeight="false" outlineLevel="0" collapsed="false">
      <c r="A266" s="11"/>
      <c r="B266" s="17" t="str">
        <f aca="false">IF(A266="","",IFERROR(INDEX(Cadastro!$B$5:$B$304,MATCH(A266,Cadastro!$A$5:$A$304,0)),"ID não encontrado"))</f>
        <v/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2" t="str">
        <f aca="false">IF(A266="","",COUNTIF(C266:U266,"N"))</f>
        <v/>
      </c>
      <c r="W266" s="2" t="str">
        <f aca="false">IF(A266="","",IF(V266=0,"Completo","Pendente"))</f>
        <v/>
      </c>
      <c r="X266" s="11"/>
      <c r="Y266" s="11"/>
      <c r="Z266" s="11"/>
    </row>
    <row r="267" customFormat="false" ht="15" hidden="false" customHeight="false" outlineLevel="0" collapsed="false">
      <c r="A267" s="11"/>
      <c r="B267" s="17" t="str">
        <f aca="false">IF(A267="","",IFERROR(INDEX(Cadastro!$B$5:$B$304,MATCH(A267,Cadastro!$A$5:$A$304,0)),"ID não encontrado"))</f>
        <v/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2" t="str">
        <f aca="false">IF(A267="","",COUNTIF(C267:U267,"N"))</f>
        <v/>
      </c>
      <c r="W267" s="2" t="str">
        <f aca="false">IF(A267="","",IF(V267=0,"Completo","Pendente"))</f>
        <v/>
      </c>
      <c r="X267" s="11"/>
      <c r="Y267" s="11"/>
      <c r="Z267" s="11"/>
    </row>
    <row r="268" customFormat="false" ht="15" hidden="false" customHeight="false" outlineLevel="0" collapsed="false">
      <c r="A268" s="11"/>
      <c r="B268" s="17" t="str">
        <f aca="false">IF(A268="","",IFERROR(INDEX(Cadastro!$B$5:$B$304,MATCH(A268,Cadastro!$A$5:$A$304,0)),"ID não encontrado"))</f>
        <v/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2" t="str">
        <f aca="false">IF(A268="","",COUNTIF(C268:U268,"N"))</f>
        <v/>
      </c>
      <c r="W268" s="2" t="str">
        <f aca="false">IF(A268="","",IF(V268=0,"Completo","Pendente"))</f>
        <v/>
      </c>
      <c r="X268" s="11"/>
      <c r="Y268" s="11"/>
      <c r="Z268" s="11"/>
    </row>
    <row r="269" customFormat="false" ht="15" hidden="false" customHeight="false" outlineLevel="0" collapsed="false">
      <c r="A269" s="11"/>
      <c r="B269" s="17" t="str">
        <f aca="false">IF(A269="","",IFERROR(INDEX(Cadastro!$B$5:$B$304,MATCH(A269,Cadastro!$A$5:$A$304,0)),"ID não encontrado"))</f>
        <v/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2" t="str">
        <f aca="false">IF(A269="","",COUNTIF(C269:U269,"N"))</f>
        <v/>
      </c>
      <c r="W269" s="2" t="str">
        <f aca="false">IF(A269="","",IF(V269=0,"Completo","Pendente"))</f>
        <v/>
      </c>
      <c r="X269" s="11"/>
      <c r="Y269" s="11"/>
      <c r="Z269" s="11"/>
    </row>
    <row r="270" customFormat="false" ht="15" hidden="false" customHeight="false" outlineLevel="0" collapsed="false">
      <c r="A270" s="11"/>
      <c r="B270" s="17" t="str">
        <f aca="false">IF(A270="","",IFERROR(INDEX(Cadastro!$B$5:$B$304,MATCH(A270,Cadastro!$A$5:$A$304,0)),"ID não encontrado"))</f>
        <v/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2" t="str">
        <f aca="false">IF(A270="","",COUNTIF(C270:U270,"N"))</f>
        <v/>
      </c>
      <c r="W270" s="2" t="str">
        <f aca="false">IF(A270="","",IF(V270=0,"Completo","Pendente"))</f>
        <v/>
      </c>
      <c r="X270" s="11"/>
      <c r="Y270" s="11"/>
      <c r="Z270" s="11"/>
    </row>
    <row r="271" customFormat="false" ht="15" hidden="false" customHeight="false" outlineLevel="0" collapsed="false">
      <c r="A271" s="11"/>
      <c r="B271" s="17" t="str">
        <f aca="false">IF(A271="","",IFERROR(INDEX(Cadastro!$B$5:$B$304,MATCH(A271,Cadastro!$A$5:$A$304,0)),"ID não encontrado"))</f>
        <v/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2" t="str">
        <f aca="false">IF(A271="","",COUNTIF(C271:U271,"N"))</f>
        <v/>
      </c>
      <c r="W271" s="2" t="str">
        <f aca="false">IF(A271="","",IF(V271=0,"Completo","Pendente"))</f>
        <v/>
      </c>
      <c r="X271" s="11"/>
      <c r="Y271" s="11"/>
      <c r="Z271" s="11"/>
    </row>
    <row r="272" customFormat="false" ht="15" hidden="false" customHeight="false" outlineLevel="0" collapsed="false">
      <c r="A272" s="11"/>
      <c r="B272" s="17" t="str">
        <f aca="false">IF(A272="","",IFERROR(INDEX(Cadastro!$B$5:$B$304,MATCH(A272,Cadastro!$A$5:$A$304,0)),"ID não encontrado"))</f>
        <v/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2" t="str">
        <f aca="false">IF(A272="","",COUNTIF(C272:U272,"N"))</f>
        <v/>
      </c>
      <c r="W272" s="2" t="str">
        <f aca="false">IF(A272="","",IF(V272=0,"Completo","Pendente"))</f>
        <v/>
      </c>
      <c r="X272" s="11"/>
      <c r="Y272" s="11"/>
      <c r="Z272" s="11"/>
    </row>
    <row r="273" customFormat="false" ht="15" hidden="false" customHeight="false" outlineLevel="0" collapsed="false">
      <c r="A273" s="11"/>
      <c r="B273" s="17" t="str">
        <f aca="false">IF(A273="","",IFERROR(INDEX(Cadastro!$B$5:$B$304,MATCH(A273,Cadastro!$A$5:$A$304,0)),"ID não encontrado"))</f>
        <v/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2" t="str">
        <f aca="false">IF(A273="","",COUNTIF(C273:U273,"N"))</f>
        <v/>
      </c>
      <c r="W273" s="2" t="str">
        <f aca="false">IF(A273="","",IF(V273=0,"Completo","Pendente"))</f>
        <v/>
      </c>
      <c r="X273" s="11"/>
      <c r="Y273" s="11"/>
      <c r="Z273" s="11"/>
    </row>
    <row r="274" customFormat="false" ht="15" hidden="false" customHeight="false" outlineLevel="0" collapsed="false">
      <c r="A274" s="11"/>
      <c r="B274" s="17" t="str">
        <f aca="false">IF(A274="","",IFERROR(INDEX(Cadastro!$B$5:$B$304,MATCH(A274,Cadastro!$A$5:$A$304,0)),"ID não encontrado"))</f>
        <v/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2" t="str">
        <f aca="false">IF(A274="","",COUNTIF(C274:U274,"N"))</f>
        <v/>
      </c>
      <c r="W274" s="2" t="str">
        <f aca="false">IF(A274="","",IF(V274=0,"Completo","Pendente"))</f>
        <v/>
      </c>
      <c r="X274" s="11"/>
      <c r="Y274" s="11"/>
      <c r="Z274" s="11"/>
    </row>
    <row r="275" customFormat="false" ht="15" hidden="false" customHeight="false" outlineLevel="0" collapsed="false">
      <c r="A275" s="11"/>
      <c r="B275" s="17" t="str">
        <f aca="false">IF(A275="","",IFERROR(INDEX(Cadastro!$B$5:$B$304,MATCH(A275,Cadastro!$A$5:$A$304,0)),"ID não encontrado"))</f>
        <v/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2" t="str">
        <f aca="false">IF(A275="","",COUNTIF(C275:U275,"N"))</f>
        <v/>
      </c>
      <c r="W275" s="2" t="str">
        <f aca="false">IF(A275="","",IF(V275=0,"Completo","Pendente"))</f>
        <v/>
      </c>
      <c r="X275" s="11"/>
      <c r="Y275" s="11"/>
      <c r="Z275" s="11"/>
    </row>
    <row r="276" customFormat="false" ht="15" hidden="false" customHeight="false" outlineLevel="0" collapsed="false">
      <c r="A276" s="11"/>
      <c r="B276" s="17" t="str">
        <f aca="false">IF(A276="","",IFERROR(INDEX(Cadastro!$B$5:$B$304,MATCH(A276,Cadastro!$A$5:$A$304,0)),"ID não encontrado"))</f>
        <v/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2" t="str">
        <f aca="false">IF(A276="","",COUNTIF(C276:U276,"N"))</f>
        <v/>
      </c>
      <c r="W276" s="2" t="str">
        <f aca="false">IF(A276="","",IF(V276=0,"Completo","Pendente"))</f>
        <v/>
      </c>
      <c r="X276" s="11"/>
      <c r="Y276" s="11"/>
      <c r="Z276" s="11"/>
    </row>
    <row r="277" customFormat="false" ht="15" hidden="false" customHeight="false" outlineLevel="0" collapsed="false">
      <c r="A277" s="11"/>
      <c r="B277" s="17" t="str">
        <f aca="false">IF(A277="","",IFERROR(INDEX(Cadastro!$B$5:$B$304,MATCH(A277,Cadastro!$A$5:$A$304,0)),"ID não encontrado"))</f>
        <v/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2" t="str">
        <f aca="false">IF(A277="","",COUNTIF(C277:U277,"N"))</f>
        <v/>
      </c>
      <c r="W277" s="2" t="str">
        <f aca="false">IF(A277="","",IF(V277=0,"Completo","Pendente"))</f>
        <v/>
      </c>
      <c r="X277" s="11"/>
      <c r="Y277" s="11"/>
      <c r="Z277" s="11"/>
    </row>
    <row r="278" customFormat="false" ht="15" hidden="false" customHeight="false" outlineLevel="0" collapsed="false">
      <c r="A278" s="11"/>
      <c r="B278" s="17" t="str">
        <f aca="false">IF(A278="","",IFERROR(INDEX(Cadastro!$B$5:$B$304,MATCH(A278,Cadastro!$A$5:$A$304,0)),"ID não encontrado"))</f>
        <v/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2" t="str">
        <f aca="false">IF(A278="","",COUNTIF(C278:U278,"N"))</f>
        <v/>
      </c>
      <c r="W278" s="2" t="str">
        <f aca="false">IF(A278="","",IF(V278=0,"Completo","Pendente"))</f>
        <v/>
      </c>
      <c r="X278" s="11"/>
      <c r="Y278" s="11"/>
      <c r="Z278" s="11"/>
    </row>
    <row r="279" customFormat="false" ht="15" hidden="false" customHeight="false" outlineLevel="0" collapsed="false">
      <c r="A279" s="11"/>
      <c r="B279" s="17" t="str">
        <f aca="false">IF(A279="","",IFERROR(INDEX(Cadastro!$B$5:$B$304,MATCH(A279,Cadastro!$A$5:$A$304,0)),"ID não encontrado"))</f>
        <v/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2" t="str">
        <f aca="false">IF(A279="","",COUNTIF(C279:U279,"N"))</f>
        <v/>
      </c>
      <c r="W279" s="2" t="str">
        <f aca="false">IF(A279="","",IF(V279=0,"Completo","Pendente"))</f>
        <v/>
      </c>
      <c r="X279" s="11"/>
      <c r="Y279" s="11"/>
      <c r="Z279" s="11"/>
    </row>
    <row r="280" customFormat="false" ht="15" hidden="false" customHeight="false" outlineLevel="0" collapsed="false">
      <c r="A280" s="11"/>
      <c r="B280" s="17" t="str">
        <f aca="false">IF(A280="","",IFERROR(INDEX(Cadastro!$B$5:$B$304,MATCH(A280,Cadastro!$A$5:$A$304,0)),"ID não encontrado"))</f>
        <v/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2" t="str">
        <f aca="false">IF(A280="","",COUNTIF(C280:U280,"N"))</f>
        <v/>
      </c>
      <c r="W280" s="2" t="str">
        <f aca="false">IF(A280="","",IF(V280=0,"Completo","Pendente"))</f>
        <v/>
      </c>
      <c r="X280" s="11"/>
      <c r="Y280" s="11"/>
      <c r="Z280" s="11"/>
    </row>
    <row r="281" customFormat="false" ht="15" hidden="false" customHeight="false" outlineLevel="0" collapsed="false">
      <c r="A281" s="11"/>
      <c r="B281" s="17" t="str">
        <f aca="false">IF(A281="","",IFERROR(INDEX(Cadastro!$B$5:$B$304,MATCH(A281,Cadastro!$A$5:$A$304,0)),"ID não encontrado"))</f>
        <v/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2" t="str">
        <f aca="false">IF(A281="","",COUNTIF(C281:U281,"N"))</f>
        <v/>
      </c>
      <c r="W281" s="2" t="str">
        <f aca="false">IF(A281="","",IF(V281=0,"Completo","Pendente"))</f>
        <v/>
      </c>
      <c r="X281" s="11"/>
      <c r="Y281" s="11"/>
      <c r="Z281" s="11"/>
    </row>
    <row r="282" customFormat="false" ht="15" hidden="false" customHeight="false" outlineLevel="0" collapsed="false">
      <c r="A282" s="11"/>
      <c r="B282" s="17" t="str">
        <f aca="false">IF(A282="","",IFERROR(INDEX(Cadastro!$B$5:$B$304,MATCH(A282,Cadastro!$A$5:$A$304,0)),"ID não encontrado"))</f>
        <v/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2" t="str">
        <f aca="false">IF(A282="","",COUNTIF(C282:U282,"N"))</f>
        <v/>
      </c>
      <c r="W282" s="2" t="str">
        <f aca="false">IF(A282="","",IF(V282=0,"Completo","Pendente"))</f>
        <v/>
      </c>
      <c r="X282" s="11"/>
      <c r="Y282" s="11"/>
      <c r="Z282" s="11"/>
    </row>
    <row r="283" customFormat="false" ht="15" hidden="false" customHeight="false" outlineLevel="0" collapsed="false">
      <c r="A283" s="11"/>
      <c r="B283" s="17" t="str">
        <f aca="false">IF(A283="","",IFERROR(INDEX(Cadastro!$B$5:$B$304,MATCH(A283,Cadastro!$A$5:$A$304,0)),"ID não encontrado"))</f>
        <v/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2" t="str">
        <f aca="false">IF(A283="","",COUNTIF(C283:U283,"N"))</f>
        <v/>
      </c>
      <c r="W283" s="2" t="str">
        <f aca="false">IF(A283="","",IF(V283=0,"Completo","Pendente"))</f>
        <v/>
      </c>
      <c r="X283" s="11"/>
      <c r="Y283" s="11"/>
      <c r="Z283" s="11"/>
    </row>
    <row r="284" customFormat="false" ht="15" hidden="false" customHeight="false" outlineLevel="0" collapsed="false">
      <c r="A284" s="11"/>
      <c r="B284" s="17" t="str">
        <f aca="false">IF(A284="","",IFERROR(INDEX(Cadastro!$B$5:$B$304,MATCH(A284,Cadastro!$A$5:$A$304,0)),"ID não encontrado"))</f>
        <v/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2" t="str">
        <f aca="false">IF(A284="","",COUNTIF(C284:U284,"N"))</f>
        <v/>
      </c>
      <c r="W284" s="2" t="str">
        <f aca="false">IF(A284="","",IF(V284=0,"Completo","Pendente"))</f>
        <v/>
      </c>
      <c r="X284" s="11"/>
      <c r="Y284" s="11"/>
      <c r="Z284" s="11"/>
    </row>
    <row r="285" customFormat="false" ht="15" hidden="false" customHeight="false" outlineLevel="0" collapsed="false">
      <c r="A285" s="11"/>
      <c r="B285" s="17" t="str">
        <f aca="false">IF(A285="","",IFERROR(INDEX(Cadastro!$B$5:$B$304,MATCH(A285,Cadastro!$A$5:$A$304,0)),"ID não encontrado"))</f>
        <v/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2" t="str">
        <f aca="false">IF(A285="","",COUNTIF(C285:U285,"N"))</f>
        <v/>
      </c>
      <c r="W285" s="2" t="str">
        <f aca="false">IF(A285="","",IF(V285=0,"Completo","Pendente"))</f>
        <v/>
      </c>
      <c r="X285" s="11"/>
      <c r="Y285" s="11"/>
      <c r="Z285" s="11"/>
    </row>
    <row r="286" customFormat="false" ht="15" hidden="false" customHeight="false" outlineLevel="0" collapsed="false">
      <c r="A286" s="11"/>
      <c r="B286" s="17" t="str">
        <f aca="false">IF(A286="","",IFERROR(INDEX(Cadastro!$B$5:$B$304,MATCH(A286,Cadastro!$A$5:$A$304,0)),"ID não encontrado"))</f>
        <v/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2" t="str">
        <f aca="false">IF(A286="","",COUNTIF(C286:U286,"N"))</f>
        <v/>
      </c>
      <c r="W286" s="2" t="str">
        <f aca="false">IF(A286="","",IF(V286=0,"Completo","Pendente"))</f>
        <v/>
      </c>
      <c r="X286" s="11"/>
      <c r="Y286" s="11"/>
      <c r="Z286" s="11"/>
    </row>
    <row r="287" customFormat="false" ht="15" hidden="false" customHeight="false" outlineLevel="0" collapsed="false">
      <c r="A287" s="11"/>
      <c r="B287" s="17" t="str">
        <f aca="false">IF(A287="","",IFERROR(INDEX(Cadastro!$B$5:$B$304,MATCH(A287,Cadastro!$A$5:$A$304,0)),"ID não encontrado"))</f>
        <v/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2" t="str">
        <f aca="false">IF(A287="","",COUNTIF(C287:U287,"N"))</f>
        <v/>
      </c>
      <c r="W287" s="2" t="str">
        <f aca="false">IF(A287="","",IF(V287=0,"Completo","Pendente"))</f>
        <v/>
      </c>
      <c r="X287" s="11"/>
      <c r="Y287" s="11"/>
      <c r="Z287" s="11"/>
    </row>
    <row r="288" customFormat="false" ht="15" hidden="false" customHeight="false" outlineLevel="0" collapsed="false">
      <c r="A288" s="11"/>
      <c r="B288" s="17" t="str">
        <f aca="false">IF(A288="","",IFERROR(INDEX(Cadastro!$B$5:$B$304,MATCH(A288,Cadastro!$A$5:$A$304,0)),"ID não encontrado"))</f>
        <v/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2" t="str">
        <f aca="false">IF(A288="","",COUNTIF(C288:U288,"N"))</f>
        <v/>
      </c>
      <c r="W288" s="2" t="str">
        <f aca="false">IF(A288="","",IF(V288=0,"Completo","Pendente"))</f>
        <v/>
      </c>
      <c r="X288" s="11"/>
      <c r="Y288" s="11"/>
      <c r="Z288" s="11"/>
    </row>
    <row r="289" customFormat="false" ht="15" hidden="false" customHeight="false" outlineLevel="0" collapsed="false">
      <c r="A289" s="11"/>
      <c r="B289" s="17" t="str">
        <f aca="false">IF(A289="","",IFERROR(INDEX(Cadastro!$B$5:$B$304,MATCH(A289,Cadastro!$A$5:$A$304,0)),"ID não encontrado"))</f>
        <v/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2" t="str">
        <f aca="false">IF(A289="","",COUNTIF(C289:U289,"N"))</f>
        <v/>
      </c>
      <c r="W289" s="2" t="str">
        <f aca="false">IF(A289="","",IF(V289=0,"Completo","Pendente"))</f>
        <v/>
      </c>
      <c r="X289" s="11"/>
      <c r="Y289" s="11"/>
      <c r="Z289" s="11"/>
    </row>
    <row r="290" customFormat="false" ht="15" hidden="false" customHeight="false" outlineLevel="0" collapsed="false">
      <c r="A290" s="11"/>
      <c r="B290" s="17" t="str">
        <f aca="false">IF(A290="","",IFERROR(INDEX(Cadastro!$B$5:$B$304,MATCH(A290,Cadastro!$A$5:$A$304,0)),"ID não encontrado"))</f>
        <v/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2" t="str">
        <f aca="false">IF(A290="","",COUNTIF(C290:U290,"N"))</f>
        <v/>
      </c>
      <c r="W290" s="2" t="str">
        <f aca="false">IF(A290="","",IF(V290=0,"Completo","Pendente"))</f>
        <v/>
      </c>
      <c r="X290" s="11"/>
      <c r="Y290" s="11"/>
      <c r="Z290" s="11"/>
    </row>
    <row r="291" customFormat="false" ht="15" hidden="false" customHeight="false" outlineLevel="0" collapsed="false">
      <c r="A291" s="11"/>
      <c r="B291" s="17" t="str">
        <f aca="false">IF(A291="","",IFERROR(INDEX(Cadastro!$B$5:$B$304,MATCH(A291,Cadastro!$A$5:$A$304,0)),"ID não encontrado"))</f>
        <v/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2" t="str">
        <f aca="false">IF(A291="","",COUNTIF(C291:U291,"N"))</f>
        <v/>
      </c>
      <c r="W291" s="2" t="str">
        <f aca="false">IF(A291="","",IF(V291=0,"Completo","Pendente"))</f>
        <v/>
      </c>
      <c r="X291" s="11"/>
      <c r="Y291" s="11"/>
      <c r="Z291" s="11"/>
    </row>
    <row r="292" customFormat="false" ht="15" hidden="false" customHeight="false" outlineLevel="0" collapsed="false">
      <c r="A292" s="11"/>
      <c r="B292" s="17" t="str">
        <f aca="false">IF(A292="","",IFERROR(INDEX(Cadastro!$B$5:$B$304,MATCH(A292,Cadastro!$A$5:$A$304,0)),"ID não encontrado"))</f>
        <v/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2" t="str">
        <f aca="false">IF(A292="","",COUNTIF(C292:U292,"N"))</f>
        <v/>
      </c>
      <c r="W292" s="2" t="str">
        <f aca="false">IF(A292="","",IF(V292=0,"Completo","Pendente"))</f>
        <v/>
      </c>
      <c r="X292" s="11"/>
      <c r="Y292" s="11"/>
      <c r="Z292" s="11"/>
    </row>
    <row r="293" customFormat="false" ht="15" hidden="false" customHeight="false" outlineLevel="0" collapsed="false">
      <c r="A293" s="11"/>
      <c r="B293" s="17" t="str">
        <f aca="false">IF(A293="","",IFERROR(INDEX(Cadastro!$B$5:$B$304,MATCH(A293,Cadastro!$A$5:$A$304,0)),"ID não encontrado"))</f>
        <v/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2" t="str">
        <f aca="false">IF(A293="","",COUNTIF(C293:U293,"N"))</f>
        <v/>
      </c>
      <c r="W293" s="2" t="str">
        <f aca="false">IF(A293="","",IF(V293=0,"Completo","Pendente"))</f>
        <v/>
      </c>
      <c r="X293" s="11"/>
      <c r="Y293" s="11"/>
      <c r="Z293" s="11"/>
    </row>
    <row r="294" customFormat="false" ht="15" hidden="false" customHeight="false" outlineLevel="0" collapsed="false">
      <c r="A294" s="11"/>
      <c r="B294" s="17" t="str">
        <f aca="false">IF(A294="","",IFERROR(INDEX(Cadastro!$B$5:$B$304,MATCH(A294,Cadastro!$A$5:$A$304,0)),"ID não encontrado"))</f>
        <v/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2" t="str">
        <f aca="false">IF(A294="","",COUNTIF(C294:U294,"N"))</f>
        <v/>
      </c>
      <c r="W294" s="2" t="str">
        <f aca="false">IF(A294="","",IF(V294=0,"Completo","Pendente"))</f>
        <v/>
      </c>
      <c r="X294" s="11"/>
      <c r="Y294" s="11"/>
      <c r="Z294" s="11"/>
    </row>
    <row r="295" customFormat="false" ht="15" hidden="false" customHeight="false" outlineLevel="0" collapsed="false">
      <c r="A295" s="11"/>
      <c r="B295" s="17" t="str">
        <f aca="false">IF(A295="","",IFERROR(INDEX(Cadastro!$B$5:$B$304,MATCH(A295,Cadastro!$A$5:$A$304,0)),"ID não encontrado"))</f>
        <v/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2" t="str">
        <f aca="false">IF(A295="","",COUNTIF(C295:U295,"N"))</f>
        <v/>
      </c>
      <c r="W295" s="2" t="str">
        <f aca="false">IF(A295="","",IF(V295=0,"Completo","Pendente"))</f>
        <v/>
      </c>
      <c r="X295" s="11"/>
      <c r="Y295" s="11"/>
      <c r="Z295" s="11"/>
    </row>
    <row r="296" customFormat="false" ht="15" hidden="false" customHeight="false" outlineLevel="0" collapsed="false">
      <c r="A296" s="11"/>
      <c r="B296" s="17" t="str">
        <f aca="false">IF(A296="","",IFERROR(INDEX(Cadastro!$B$5:$B$304,MATCH(A296,Cadastro!$A$5:$A$304,0)),"ID não encontrado"))</f>
        <v/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2" t="str">
        <f aca="false">IF(A296="","",COUNTIF(C296:U296,"N"))</f>
        <v/>
      </c>
      <c r="W296" s="2" t="str">
        <f aca="false">IF(A296="","",IF(V296=0,"Completo","Pendente"))</f>
        <v/>
      </c>
      <c r="X296" s="11"/>
      <c r="Y296" s="11"/>
      <c r="Z296" s="11"/>
    </row>
    <row r="297" customFormat="false" ht="15" hidden="false" customHeight="false" outlineLevel="0" collapsed="false">
      <c r="A297" s="11"/>
      <c r="B297" s="17" t="str">
        <f aca="false">IF(A297="","",IFERROR(INDEX(Cadastro!$B$5:$B$304,MATCH(A297,Cadastro!$A$5:$A$304,0)),"ID não encontrado"))</f>
        <v/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2" t="str">
        <f aca="false">IF(A297="","",COUNTIF(C297:U297,"N"))</f>
        <v/>
      </c>
      <c r="W297" s="2" t="str">
        <f aca="false">IF(A297="","",IF(V297=0,"Completo","Pendente"))</f>
        <v/>
      </c>
      <c r="X297" s="11"/>
      <c r="Y297" s="11"/>
      <c r="Z297" s="11"/>
    </row>
    <row r="298" customFormat="false" ht="15" hidden="false" customHeight="false" outlineLevel="0" collapsed="false">
      <c r="A298" s="11"/>
      <c r="B298" s="17" t="str">
        <f aca="false">IF(A298="","",IFERROR(INDEX(Cadastro!$B$5:$B$304,MATCH(A298,Cadastro!$A$5:$A$304,0)),"ID não encontrado"))</f>
        <v/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2" t="str">
        <f aca="false">IF(A298="","",COUNTIF(C298:U298,"N"))</f>
        <v/>
      </c>
      <c r="W298" s="2" t="str">
        <f aca="false">IF(A298="","",IF(V298=0,"Completo","Pendente"))</f>
        <v/>
      </c>
      <c r="X298" s="11"/>
      <c r="Y298" s="11"/>
      <c r="Z298" s="11"/>
    </row>
    <row r="299" customFormat="false" ht="15" hidden="false" customHeight="false" outlineLevel="0" collapsed="false">
      <c r="A299" s="11"/>
      <c r="B299" s="17" t="str">
        <f aca="false">IF(A299="","",IFERROR(INDEX(Cadastro!$B$5:$B$304,MATCH(A299,Cadastro!$A$5:$A$304,0)),"ID não encontrado"))</f>
        <v/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2" t="str">
        <f aca="false">IF(A299="","",COUNTIF(C299:U299,"N"))</f>
        <v/>
      </c>
      <c r="W299" s="2" t="str">
        <f aca="false">IF(A299="","",IF(V299=0,"Completo","Pendente"))</f>
        <v/>
      </c>
      <c r="X299" s="11"/>
      <c r="Y299" s="11"/>
      <c r="Z299" s="11"/>
    </row>
    <row r="300" customFormat="false" ht="15" hidden="false" customHeight="false" outlineLevel="0" collapsed="false">
      <c r="A300" s="11"/>
      <c r="B300" s="17" t="str">
        <f aca="false">IF(A300="","",IFERROR(INDEX(Cadastro!$B$5:$B$304,MATCH(A300,Cadastro!$A$5:$A$304,0)),"ID não encontrado"))</f>
        <v/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2" t="str">
        <f aca="false">IF(A300="","",COUNTIF(C300:U300,"N"))</f>
        <v/>
      </c>
      <c r="W300" s="2" t="str">
        <f aca="false">IF(A300="","",IF(V300=0,"Completo","Pendente"))</f>
        <v/>
      </c>
      <c r="X300" s="11"/>
      <c r="Y300" s="11"/>
      <c r="Z300" s="11"/>
    </row>
    <row r="301" customFormat="false" ht="15" hidden="false" customHeight="false" outlineLevel="0" collapsed="false">
      <c r="A301" s="11"/>
      <c r="B301" s="17" t="str">
        <f aca="false">IF(A301="","",IFERROR(INDEX(Cadastro!$B$5:$B$304,MATCH(A301,Cadastro!$A$5:$A$304,0)),"ID não encontrado"))</f>
        <v/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2" t="str">
        <f aca="false">IF(A301="","",COUNTIF(C301:U301,"N"))</f>
        <v/>
      </c>
      <c r="W301" s="2" t="str">
        <f aca="false">IF(A301="","",IF(V301=0,"Completo","Pendente"))</f>
        <v/>
      </c>
      <c r="X301" s="11"/>
      <c r="Y301" s="11"/>
      <c r="Z301" s="11"/>
    </row>
    <row r="302" customFormat="false" ht="15" hidden="false" customHeight="false" outlineLevel="0" collapsed="false">
      <c r="A302" s="11"/>
      <c r="B302" s="17" t="str">
        <f aca="false">IF(A302="","",IFERROR(INDEX(Cadastro!$B$5:$B$304,MATCH(A302,Cadastro!$A$5:$A$304,0)),"ID não encontrado"))</f>
        <v/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2" t="str">
        <f aca="false">IF(A302="","",COUNTIF(C302:U302,"N"))</f>
        <v/>
      </c>
      <c r="W302" s="2" t="str">
        <f aca="false">IF(A302="","",IF(V302=0,"Completo","Pendente"))</f>
        <v/>
      </c>
      <c r="X302" s="11"/>
      <c r="Y302" s="11"/>
      <c r="Z302" s="11"/>
    </row>
    <row r="303" customFormat="false" ht="15" hidden="false" customHeight="false" outlineLevel="0" collapsed="false">
      <c r="A303" s="11"/>
      <c r="B303" s="17" t="str">
        <f aca="false">IF(A303="","",IFERROR(INDEX(Cadastro!$B$5:$B$304,MATCH(A303,Cadastro!$A$5:$A$304,0)),"ID não encontrado"))</f>
        <v/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2" t="str">
        <f aca="false">IF(A303="","",COUNTIF(C303:U303,"N"))</f>
        <v/>
      </c>
      <c r="W303" s="2" t="str">
        <f aca="false">IF(A303="","",IF(V303=0,"Completo","Pendente"))</f>
        <v/>
      </c>
      <c r="X303" s="11"/>
      <c r="Y303" s="11"/>
      <c r="Z303" s="11"/>
    </row>
    <row r="304" customFormat="false" ht="15" hidden="false" customHeight="false" outlineLevel="0" collapsed="false">
      <c r="A304" s="11"/>
      <c r="B304" s="17" t="str">
        <f aca="false">IF(A304="","",IFERROR(INDEX(Cadastro!$B$5:$B$304,MATCH(A304,Cadastro!$A$5:$A$304,0)),"ID não encontrado"))</f>
        <v/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2" t="str">
        <f aca="false">IF(A304="","",COUNTIF(C304:U304,"N"))</f>
        <v/>
      </c>
      <c r="W304" s="2" t="str">
        <f aca="false">IF(A304="","",IF(V304=0,"Completo","Pendente"))</f>
        <v/>
      </c>
      <c r="X304" s="11"/>
      <c r="Y304" s="11"/>
      <c r="Z304" s="11"/>
    </row>
  </sheetData>
  <conditionalFormatting sqref="W5:W304">
    <cfRule type="cellIs" priority="2" operator="equal" aboveAverage="0" equalAverage="0" bottom="0" percent="0" rank="0" text="" dxfId="0">
      <formula>"Pendente"</formula>
    </cfRule>
  </conditionalFormatting>
  <dataValidations count="1">
    <dataValidation allowBlank="true" errorStyle="stop" operator="between" showDropDown="false" showErrorMessage="false" showInputMessage="false" sqref="C5:U304" type="list">
      <formula1>"S,N,NA"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3" min="22" style="0" width="9"/>
    <col collapsed="false" customWidth="true" hidden="false" outlineLevel="0" max="24" min="24" style="0" width="34"/>
  </cols>
  <sheetData>
    <row r="1" customFormat="false" ht="17.35" hidden="false" customHeight="false" outlineLevel="0" collapsed="false">
      <c r="A1" s="1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3" t="s">
        <v>216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31.5" hidden="false" customHeight="true" outlineLevel="0" collapsed="false">
      <c r="A4" s="6" t="s">
        <v>217</v>
      </c>
      <c r="B4" s="6" t="s">
        <v>218</v>
      </c>
      <c r="C4" s="6" t="s">
        <v>219</v>
      </c>
      <c r="D4" s="6" t="s">
        <v>220</v>
      </c>
      <c r="E4" s="6" t="s">
        <v>221</v>
      </c>
      <c r="F4" s="6" t="s">
        <v>222</v>
      </c>
      <c r="G4" s="6" t="s">
        <v>223</v>
      </c>
      <c r="H4" s="6" t="s">
        <v>224</v>
      </c>
      <c r="I4" s="6" t="s">
        <v>225</v>
      </c>
      <c r="J4" s="6" t="s">
        <v>191</v>
      </c>
      <c r="K4" s="6" t="s">
        <v>129</v>
      </c>
      <c r="L4" s="6" t="s">
        <v>130</v>
      </c>
      <c r="M4" s="6" t="s">
        <v>133</v>
      </c>
      <c r="N4" s="6" t="s">
        <v>145</v>
      </c>
      <c r="O4" s="6" t="s">
        <v>226</v>
      </c>
      <c r="P4" s="6" t="s">
        <v>227</v>
      </c>
      <c r="Q4" s="6" t="s">
        <v>228</v>
      </c>
      <c r="R4" s="6" t="s">
        <v>229</v>
      </c>
      <c r="S4" s="6" t="s">
        <v>230</v>
      </c>
      <c r="T4" s="6" t="s">
        <v>231</v>
      </c>
      <c r="U4" s="6" t="s">
        <v>232</v>
      </c>
      <c r="V4" s="6" t="s">
        <v>233</v>
      </c>
      <c r="W4" s="6" t="s">
        <v>234</v>
      </c>
      <c r="X4" s="6" t="s">
        <v>148</v>
      </c>
    </row>
    <row r="5" customFormat="false" ht="15" hidden="false" customHeight="false" outlineLevel="0" collapsed="false">
      <c r="A5" s="11" t="s">
        <v>235</v>
      </c>
      <c r="B5" s="13" t="n">
        <v>46310</v>
      </c>
      <c r="C5" s="11" t="s">
        <v>236</v>
      </c>
      <c r="D5" s="11" t="s">
        <v>65</v>
      </c>
      <c r="E5" s="11" t="s">
        <v>237</v>
      </c>
      <c r="F5" s="19" t="n">
        <v>3900</v>
      </c>
      <c r="G5" s="12" t="str">
        <f aca="false">IF(F5="","",IF(F5&lt;=Parâmetros!$B$7,"Faixa 1",IF(F5&lt;=Parâmetros!$B$8,"Faixa 2","Faixa 3")))</f>
        <v>Faixa 1</v>
      </c>
      <c r="H5" s="12" t="str">
        <f aca="false">IF(G5="","",IF(G5="Faixa 1","Rodízio/Sorteio",IF(G5="Faixa 2","Cotação (≥3 propostas)","Chamada pública")))</f>
        <v>Rodízio/Sorteio</v>
      </c>
      <c r="I5" s="11" t="s">
        <v>149</v>
      </c>
      <c r="J5" s="17" t="str">
        <f aca="false">IF(I5="","",IFERROR(INDEX(Cadastro!$B$5:$B$304,MATCH(I5,Cadastro!$A$5:$A$304,0)),"ID não encontrado"))</f>
        <v>Maria das Dores Lanches ME</v>
      </c>
      <c r="K5" s="17" t="str">
        <f aca="false">IF(I5="","",IFERROR(INDEX(Cadastro!$E$5:$E$304,MATCH(I5,Cadastro!$A$5:$A$304,0)),""))</f>
        <v>S</v>
      </c>
      <c r="L5" s="17" t="str">
        <f aca="false">IF(I5="","",IFERROR(INDEX(Cadastro!$F$5:$F$304,MATCH(I5,Cadastro!$A$5:$A$304,0)),""))</f>
        <v>S</v>
      </c>
      <c r="M5" s="17" t="str">
        <f aca="false">IF(I5="","",IFERROR(INDEX(Cadastro!$I$5:$I$304,MATCH(I5,Cadastro!$A$5:$A$304,0)),""))</f>
        <v>T1</v>
      </c>
      <c r="N5" s="19" t="n">
        <v>3850</v>
      </c>
      <c r="O5" s="13" t="n">
        <v>46315</v>
      </c>
      <c r="P5" s="12" t="n">
        <f aca="false">IF(OR(B5="",O5=""),"",NETWORKDAYS(B5,O5)-1)</f>
        <v>3</v>
      </c>
      <c r="Q5" s="13" t="n">
        <v>46320</v>
      </c>
      <c r="R5" s="11" t="n">
        <v>5</v>
      </c>
      <c r="S5" s="13" t="n">
        <v>46331</v>
      </c>
      <c r="T5" s="11" t="s">
        <v>72</v>
      </c>
      <c r="U5" s="11" t="s">
        <v>63</v>
      </c>
      <c r="V5" s="11" t="n">
        <v>1</v>
      </c>
      <c r="W5" s="11" t="s">
        <v>64</v>
      </c>
      <c r="X5" s="11" t="s">
        <v>156</v>
      </c>
    </row>
    <row r="6" customFormat="false" ht="15" hidden="false" customHeight="false" outlineLevel="0" collapsed="false">
      <c r="A6" s="11" t="s">
        <v>238</v>
      </c>
      <c r="B6" s="13" t="n">
        <v>46311</v>
      </c>
      <c r="C6" s="11" t="s">
        <v>236</v>
      </c>
      <c r="D6" s="11" t="s">
        <v>80</v>
      </c>
      <c r="E6" s="11" t="s">
        <v>239</v>
      </c>
      <c r="F6" s="19" t="n">
        <v>18000</v>
      </c>
      <c r="G6" s="12" t="str">
        <f aca="false">IF(F6="","",IF(F6&lt;=Parâmetros!$B$7,"Faixa 1",IF(F6&lt;=Parâmetros!$B$8,"Faixa 2","Faixa 3")))</f>
        <v>Faixa 2</v>
      </c>
      <c r="H6" s="12" t="str">
        <f aca="false">IF(G6="","",IF(G6="Faixa 1","Rodízio/Sorteio",IF(G6="Faixa 2","Cotação (≥3 propostas)","Chamada pública")))</f>
        <v>Cotação (≥3 propostas)</v>
      </c>
      <c r="I6" s="11" t="s">
        <v>157</v>
      </c>
      <c r="J6" s="17" t="str">
        <f aca="false">IF(I6="","",IFERROR(INDEX(Cadastro!$B$5:$B$304,MATCH(I6,Cadastro!$A$5:$A$304,0)),"ID não encontrado"))</f>
        <v>João Som &amp; Luz MEI</v>
      </c>
      <c r="K6" s="17" t="str">
        <f aca="false">IF(I6="","",IFERROR(INDEX(Cadastro!$E$5:$E$304,MATCH(I6,Cadastro!$A$5:$A$304,0)),""))</f>
        <v>S</v>
      </c>
      <c r="L6" s="17" t="str">
        <f aca="false">IF(I6="","",IFERROR(INDEX(Cadastro!$F$5:$F$304,MATCH(I6,Cadastro!$A$5:$A$304,0)),""))</f>
        <v>N</v>
      </c>
      <c r="M6" s="17" t="str">
        <f aca="false">IF(I6="","",IFERROR(INDEX(Cadastro!$I$5:$I$304,MATCH(I6,Cadastro!$A$5:$A$304,0)),""))</f>
        <v>T2</v>
      </c>
      <c r="N6" s="19" t="n">
        <v>17200</v>
      </c>
      <c r="O6" s="13" t="n">
        <v>46318</v>
      </c>
      <c r="P6" s="12" t="n">
        <f aca="false">IF(OR(B6="",O6=""),"",NETWORKDAYS(B6,O6)-1)</f>
        <v>5</v>
      </c>
      <c r="Q6" s="13" t="n">
        <v>46320</v>
      </c>
      <c r="R6" s="11" t="n">
        <v>4</v>
      </c>
      <c r="S6" s="13" t="n">
        <v>46336</v>
      </c>
      <c r="T6" s="11" t="s">
        <v>72</v>
      </c>
      <c r="U6" s="11" t="s">
        <v>79</v>
      </c>
      <c r="V6" s="11" t="n">
        <v>4</v>
      </c>
      <c r="W6" s="11" t="s">
        <v>64</v>
      </c>
      <c r="X6" s="11" t="s">
        <v>156</v>
      </c>
    </row>
    <row r="7" customFormat="false" ht="15" hidden="false" customHeight="false" outlineLevel="0" collapsed="false">
      <c r="A7" s="11" t="s">
        <v>240</v>
      </c>
      <c r="B7" s="13" t="n">
        <v>46315</v>
      </c>
      <c r="C7" s="11" t="s">
        <v>241</v>
      </c>
      <c r="D7" s="11" t="s">
        <v>105</v>
      </c>
      <c r="E7" s="11" t="s">
        <v>242</v>
      </c>
      <c r="F7" s="19" t="n">
        <v>9600</v>
      </c>
      <c r="G7" s="12" t="str">
        <f aca="false">IF(F7="","",IF(F7&lt;=Parâmetros!$B$7,"Faixa 1",IF(F7&lt;=Parâmetros!$B$8,"Faixa 2","Faixa 3")))</f>
        <v>Faixa 1</v>
      </c>
      <c r="H7" s="12" t="str">
        <f aca="false">IF(G7="","",IF(G7="Faixa 1","Rodízio/Sorteio",IF(G7="Faixa 2","Cotação (≥3 propostas)","Chamada pública")))</f>
        <v>Rodízio/Sorteio</v>
      </c>
      <c r="I7" s="11" t="s">
        <v>164</v>
      </c>
      <c r="J7" s="17" t="str">
        <f aca="false">IF(I7="","",IFERROR(INDEX(Cadastro!$B$5:$B$304,MATCH(I7,Cadastro!$A$5:$A$304,0)),"ID não encontrado"))</f>
        <v>Coletivo Mãos de Mesquita (cooperativa)</v>
      </c>
      <c r="K7" s="17" t="str">
        <f aca="false">IF(I7="","",IFERROR(INDEX(Cadastro!$E$5:$E$304,MATCH(I7,Cadastro!$A$5:$A$304,0)),""))</f>
        <v>S</v>
      </c>
      <c r="L7" s="17" t="str">
        <f aca="false">IF(I7="","",IFERROR(INDEX(Cadastro!$F$5:$F$304,MATCH(I7,Cadastro!$A$5:$A$304,0)),""))</f>
        <v>S</v>
      </c>
      <c r="M7" s="17" t="str">
        <f aca="false">IF(I7="","",IFERROR(INDEX(Cadastro!$I$5:$I$304,MATCH(I7,Cadastro!$A$5:$A$304,0)),""))</f>
        <v>T1</v>
      </c>
      <c r="N7" s="19" t="n">
        <v>9600</v>
      </c>
      <c r="O7" s="13" t="n">
        <v>46317</v>
      </c>
      <c r="P7" s="12" t="n">
        <f aca="false">IF(OR(B7="",O7=""),"",NETWORKDAYS(B7,O7)-1)</f>
        <v>2</v>
      </c>
      <c r="Q7" s="13" t="n">
        <v>46328</v>
      </c>
      <c r="R7" s="11" t="n">
        <v>5</v>
      </c>
      <c r="S7" s="13" t="n">
        <v>46338</v>
      </c>
      <c r="T7" s="11" t="s">
        <v>72</v>
      </c>
      <c r="U7" s="11" t="s">
        <v>63</v>
      </c>
      <c r="V7" s="11" t="n">
        <v>1</v>
      </c>
      <c r="W7" s="11" t="s">
        <v>64</v>
      </c>
      <c r="X7" s="11" t="s">
        <v>156</v>
      </c>
    </row>
    <row r="8" customFormat="false" ht="15" hidden="false" customHeight="false" outlineLevel="0" collapsed="false">
      <c r="A8" s="11" t="s">
        <v>243</v>
      </c>
      <c r="B8" s="13" t="n">
        <v>46329</v>
      </c>
      <c r="C8" s="11" t="s">
        <v>244</v>
      </c>
      <c r="D8" s="11" t="s">
        <v>95</v>
      </c>
      <c r="E8" s="11" t="s">
        <v>245</v>
      </c>
      <c r="F8" s="19" t="n">
        <v>4000</v>
      </c>
      <c r="G8" s="12" t="str">
        <f aca="false">IF(F8="","",IF(F8&lt;=Parâmetros!$B$7,"Faixa 1",IF(F8&lt;=Parâmetros!$B$8,"Faixa 2","Faixa 3")))</f>
        <v>Faixa 1</v>
      </c>
      <c r="H8" s="12" t="str">
        <f aca="false">IF(G8="","",IF(G8="Faixa 1","Rodízio/Sorteio",IF(G8="Faixa 2","Cotação (≥3 propostas)","Chamada pública")))</f>
        <v>Rodízio/Sorteio</v>
      </c>
      <c r="I8" s="11" t="s">
        <v>170</v>
      </c>
      <c r="J8" s="17" t="str">
        <f aca="false">IF(I8="","",IFERROR(INDEX(Cadastro!$B$5:$B$304,MATCH(I8,Cadastro!$A$5:$A$304,0)),"ID não encontrado"))</f>
        <v>Ana Paula Silva (oficineira)</v>
      </c>
      <c r="K8" s="17" t="str">
        <f aca="false">IF(I8="","",IFERROR(INDEX(Cadastro!$E$5:$E$304,MATCH(I8,Cadastro!$A$5:$A$304,0)),""))</f>
        <v>S</v>
      </c>
      <c r="L8" s="17" t="str">
        <f aca="false">IF(I8="","",IFERROR(INDEX(Cadastro!$F$5:$F$304,MATCH(I8,Cadastro!$A$5:$A$304,0)),""))</f>
        <v>S</v>
      </c>
      <c r="M8" s="17" t="str">
        <f aca="false">IF(I8="","",IFERROR(INDEX(Cadastro!$I$5:$I$304,MATCH(I8,Cadastro!$A$5:$A$304,0)),""))</f>
        <v>T1</v>
      </c>
      <c r="N8" s="19" t="n">
        <v>4000</v>
      </c>
      <c r="O8" s="13" t="n">
        <v>46331</v>
      </c>
      <c r="P8" s="12" t="n">
        <f aca="false">IF(OR(B8="",O8=""),"",NETWORKDAYS(B8,O8)-1)</f>
        <v>2</v>
      </c>
      <c r="Q8" s="13" t="n">
        <v>46366</v>
      </c>
      <c r="R8" s="11" t="n">
        <v>5</v>
      </c>
      <c r="S8" s="13" t="n">
        <v>46374</v>
      </c>
      <c r="T8" s="11" t="s">
        <v>72</v>
      </c>
      <c r="U8" s="11" t="s">
        <v>63</v>
      </c>
      <c r="V8" s="11" t="n">
        <v>1</v>
      </c>
      <c r="W8" s="11" t="s">
        <v>64</v>
      </c>
      <c r="X8" s="11" t="s">
        <v>156</v>
      </c>
    </row>
    <row r="9" customFormat="false" ht="15" hidden="false" customHeight="false" outlineLevel="0" collapsed="false">
      <c r="A9" s="11" t="s">
        <v>246</v>
      </c>
      <c r="B9" s="13" t="n">
        <v>46330</v>
      </c>
      <c r="C9" s="11" t="s">
        <v>244</v>
      </c>
      <c r="D9" s="11" t="s">
        <v>101</v>
      </c>
      <c r="E9" s="11" t="s">
        <v>247</v>
      </c>
      <c r="F9" s="19" t="n">
        <v>6200</v>
      </c>
      <c r="G9" s="12" t="str">
        <f aca="false">IF(F9="","",IF(F9&lt;=Parâmetros!$B$7,"Faixa 1",IF(F9&lt;=Parâmetros!$B$8,"Faixa 2","Faixa 3")))</f>
        <v>Faixa 1</v>
      </c>
      <c r="H9" s="12" t="str">
        <f aca="false">IF(G9="","",IF(G9="Faixa 1","Rodízio/Sorteio",IF(G9="Faixa 2","Cotação (≥3 propostas)","Chamada pública")))</f>
        <v>Rodízio/Sorteio</v>
      </c>
      <c r="I9" s="11" t="s">
        <v>177</v>
      </c>
      <c r="J9" s="17" t="str">
        <f aca="false">IF(I9="","",IFERROR(INDEX(Cadastro!$B$5:$B$304,MATCH(I9,Cadastro!$A$5:$A$304,0)),"ID não encontrado"))</f>
        <v>Gráfica Baixada EPP</v>
      </c>
      <c r="K9" s="17" t="str">
        <f aca="false">IF(I9="","",IFERROR(INDEX(Cadastro!$E$5:$E$304,MATCH(I9,Cadastro!$A$5:$A$304,0)),""))</f>
        <v>S</v>
      </c>
      <c r="L9" s="17" t="str">
        <f aca="false">IF(I9="","",IFERROR(INDEX(Cadastro!$F$5:$F$304,MATCH(I9,Cadastro!$A$5:$A$304,0)),""))</f>
        <v>N</v>
      </c>
      <c r="M9" s="17" t="str">
        <f aca="false">IF(I9="","",IFERROR(INDEX(Cadastro!$I$5:$I$304,MATCH(I9,Cadastro!$A$5:$A$304,0)),""))</f>
        <v>T2</v>
      </c>
      <c r="N9" s="19" t="n">
        <v>5900</v>
      </c>
      <c r="O9" s="13" t="n">
        <v>46332</v>
      </c>
      <c r="P9" s="12" t="n">
        <f aca="false">IF(OR(B9="",O9=""),"",NETWORKDAYS(B9,O9)-1)</f>
        <v>2</v>
      </c>
      <c r="Q9" s="13" t="n">
        <v>46346</v>
      </c>
      <c r="R9" s="11" t="n">
        <v>3</v>
      </c>
      <c r="S9" s="13" t="n">
        <v>46357</v>
      </c>
      <c r="T9" s="11" t="s">
        <v>64</v>
      </c>
      <c r="U9" s="11" t="s">
        <v>89</v>
      </c>
      <c r="V9" s="11" t="n">
        <v>1</v>
      </c>
      <c r="W9" s="11" t="s">
        <v>72</v>
      </c>
      <c r="X9" s="11" t="s">
        <v>248</v>
      </c>
    </row>
    <row r="10" customFormat="false" ht="15" hidden="false" customHeight="false" outlineLevel="0" collapsed="false">
      <c r="A10" s="11"/>
      <c r="B10" s="13"/>
      <c r="C10" s="11"/>
      <c r="D10" s="11"/>
      <c r="E10" s="11"/>
      <c r="F10" s="19"/>
      <c r="G10" s="12" t="str">
        <f aca="false">IF(F10="","",IF(F10&lt;=Parâmetros!$B$7,"Faixa 1",IF(F10&lt;=Parâmetros!$B$8,"Faixa 2","Faixa 3")))</f>
        <v/>
      </c>
      <c r="H10" s="12" t="str">
        <f aca="false">IF(G10="","",IF(G10="Faixa 1","Rodízio/Sorteio",IF(G10="Faixa 2","Cotação (≥3 propostas)","Chamada pública")))</f>
        <v/>
      </c>
      <c r="I10" s="11"/>
      <c r="J10" s="17" t="str">
        <f aca="false">IF(I10="","",IFERROR(INDEX(Cadastro!$B$5:$B$304,MATCH(I10,Cadastro!$A$5:$A$304,0)),"ID não encontrado"))</f>
        <v/>
      </c>
      <c r="K10" s="17" t="str">
        <f aca="false">IF(I10="","",IFERROR(INDEX(Cadastro!$E$5:$E$304,MATCH(I10,Cadastro!$A$5:$A$304,0)),""))</f>
        <v/>
      </c>
      <c r="L10" s="17" t="str">
        <f aca="false">IF(I10="","",IFERROR(INDEX(Cadastro!$F$5:$F$304,MATCH(I10,Cadastro!$A$5:$A$304,0)),""))</f>
        <v/>
      </c>
      <c r="M10" s="17" t="str">
        <f aca="false">IF(I10="","",IFERROR(INDEX(Cadastro!$I$5:$I$304,MATCH(I10,Cadastro!$A$5:$A$304,0)),""))</f>
        <v/>
      </c>
      <c r="N10" s="19"/>
      <c r="O10" s="13"/>
      <c r="P10" s="12" t="str">
        <f aca="false">IF(OR(B10="",O10=""),"",NETWORKDAYS(B10,O10)-1)</f>
        <v/>
      </c>
      <c r="Q10" s="13"/>
      <c r="R10" s="11"/>
      <c r="S10" s="13"/>
      <c r="T10" s="11"/>
      <c r="U10" s="11"/>
      <c r="V10" s="11"/>
      <c r="W10" s="11"/>
      <c r="X10" s="11"/>
    </row>
    <row r="11" customFormat="false" ht="15" hidden="false" customHeight="false" outlineLevel="0" collapsed="false">
      <c r="A11" s="11"/>
      <c r="B11" s="13"/>
      <c r="C11" s="11"/>
      <c r="D11" s="11"/>
      <c r="E11" s="11"/>
      <c r="F11" s="19"/>
      <c r="G11" s="12" t="str">
        <f aca="false">IF(F11="","",IF(F11&lt;=Parâmetros!$B$7,"Faixa 1",IF(F11&lt;=Parâmetros!$B$8,"Faixa 2","Faixa 3")))</f>
        <v/>
      </c>
      <c r="H11" s="12" t="str">
        <f aca="false">IF(G11="","",IF(G11="Faixa 1","Rodízio/Sorteio",IF(G11="Faixa 2","Cotação (≥3 propostas)","Chamada pública")))</f>
        <v/>
      </c>
      <c r="I11" s="11"/>
      <c r="J11" s="17" t="str">
        <f aca="false">IF(I11="","",IFERROR(INDEX(Cadastro!$B$5:$B$304,MATCH(I11,Cadastro!$A$5:$A$304,0)),"ID não encontrado"))</f>
        <v/>
      </c>
      <c r="K11" s="17" t="str">
        <f aca="false">IF(I11="","",IFERROR(INDEX(Cadastro!$E$5:$E$304,MATCH(I11,Cadastro!$A$5:$A$304,0)),""))</f>
        <v/>
      </c>
      <c r="L11" s="17" t="str">
        <f aca="false">IF(I11="","",IFERROR(INDEX(Cadastro!$F$5:$F$304,MATCH(I11,Cadastro!$A$5:$A$304,0)),""))</f>
        <v/>
      </c>
      <c r="M11" s="17" t="str">
        <f aca="false">IF(I11="","",IFERROR(INDEX(Cadastro!$I$5:$I$304,MATCH(I11,Cadastro!$A$5:$A$304,0)),""))</f>
        <v/>
      </c>
      <c r="N11" s="19"/>
      <c r="O11" s="13"/>
      <c r="P11" s="12" t="str">
        <f aca="false">IF(OR(B11="",O11=""),"",NETWORKDAYS(B11,O11)-1)</f>
        <v/>
      </c>
      <c r="Q11" s="13"/>
      <c r="R11" s="11"/>
      <c r="S11" s="13"/>
      <c r="T11" s="11"/>
      <c r="U11" s="11"/>
      <c r="V11" s="11"/>
      <c r="W11" s="11"/>
      <c r="X11" s="11"/>
    </row>
    <row r="12" customFormat="false" ht="15" hidden="false" customHeight="false" outlineLevel="0" collapsed="false">
      <c r="A12" s="11"/>
      <c r="B12" s="13"/>
      <c r="C12" s="11"/>
      <c r="D12" s="11"/>
      <c r="E12" s="11"/>
      <c r="F12" s="19"/>
      <c r="G12" s="12" t="str">
        <f aca="false">IF(F12="","",IF(F12&lt;=Parâmetros!$B$7,"Faixa 1",IF(F12&lt;=Parâmetros!$B$8,"Faixa 2","Faixa 3")))</f>
        <v/>
      </c>
      <c r="H12" s="12" t="str">
        <f aca="false">IF(G12="","",IF(G12="Faixa 1","Rodízio/Sorteio",IF(G12="Faixa 2","Cotação (≥3 propostas)","Chamada pública")))</f>
        <v/>
      </c>
      <c r="I12" s="11"/>
      <c r="J12" s="17" t="str">
        <f aca="false">IF(I12="","",IFERROR(INDEX(Cadastro!$B$5:$B$304,MATCH(I12,Cadastro!$A$5:$A$304,0)),"ID não encontrado"))</f>
        <v/>
      </c>
      <c r="K12" s="17" t="str">
        <f aca="false">IF(I12="","",IFERROR(INDEX(Cadastro!$E$5:$E$304,MATCH(I12,Cadastro!$A$5:$A$304,0)),""))</f>
        <v/>
      </c>
      <c r="L12" s="17" t="str">
        <f aca="false">IF(I12="","",IFERROR(INDEX(Cadastro!$F$5:$F$304,MATCH(I12,Cadastro!$A$5:$A$304,0)),""))</f>
        <v/>
      </c>
      <c r="M12" s="17" t="str">
        <f aca="false">IF(I12="","",IFERROR(INDEX(Cadastro!$I$5:$I$304,MATCH(I12,Cadastro!$A$5:$A$304,0)),""))</f>
        <v/>
      </c>
      <c r="N12" s="19"/>
      <c r="O12" s="13"/>
      <c r="P12" s="12" t="str">
        <f aca="false">IF(OR(B12="",O12=""),"",NETWORKDAYS(B12,O12)-1)</f>
        <v/>
      </c>
      <c r="Q12" s="13"/>
      <c r="R12" s="11"/>
      <c r="S12" s="13"/>
      <c r="T12" s="11"/>
      <c r="U12" s="11"/>
      <c r="V12" s="11"/>
      <c r="W12" s="11"/>
      <c r="X12" s="11"/>
    </row>
    <row r="13" customFormat="false" ht="15" hidden="false" customHeight="false" outlineLevel="0" collapsed="false">
      <c r="A13" s="11"/>
      <c r="B13" s="13"/>
      <c r="C13" s="11"/>
      <c r="D13" s="11"/>
      <c r="E13" s="11"/>
      <c r="F13" s="19"/>
      <c r="G13" s="12" t="str">
        <f aca="false">IF(F13="","",IF(F13&lt;=Parâmetros!$B$7,"Faixa 1",IF(F13&lt;=Parâmetros!$B$8,"Faixa 2","Faixa 3")))</f>
        <v/>
      </c>
      <c r="H13" s="12" t="str">
        <f aca="false">IF(G13="","",IF(G13="Faixa 1","Rodízio/Sorteio",IF(G13="Faixa 2","Cotação (≥3 propostas)","Chamada pública")))</f>
        <v/>
      </c>
      <c r="I13" s="11"/>
      <c r="J13" s="17" t="str">
        <f aca="false">IF(I13="","",IFERROR(INDEX(Cadastro!$B$5:$B$304,MATCH(I13,Cadastro!$A$5:$A$304,0)),"ID não encontrado"))</f>
        <v/>
      </c>
      <c r="K13" s="17" t="str">
        <f aca="false">IF(I13="","",IFERROR(INDEX(Cadastro!$E$5:$E$304,MATCH(I13,Cadastro!$A$5:$A$304,0)),""))</f>
        <v/>
      </c>
      <c r="L13" s="17" t="str">
        <f aca="false">IF(I13="","",IFERROR(INDEX(Cadastro!$F$5:$F$304,MATCH(I13,Cadastro!$A$5:$A$304,0)),""))</f>
        <v/>
      </c>
      <c r="M13" s="17" t="str">
        <f aca="false">IF(I13="","",IFERROR(INDEX(Cadastro!$I$5:$I$304,MATCH(I13,Cadastro!$A$5:$A$304,0)),""))</f>
        <v/>
      </c>
      <c r="N13" s="19"/>
      <c r="O13" s="13"/>
      <c r="P13" s="12" t="str">
        <f aca="false">IF(OR(B13="",O13=""),"",NETWORKDAYS(B13,O13)-1)</f>
        <v/>
      </c>
      <c r="Q13" s="13"/>
      <c r="R13" s="11"/>
      <c r="S13" s="13"/>
      <c r="T13" s="11"/>
      <c r="U13" s="11"/>
      <c r="V13" s="11"/>
      <c r="W13" s="11"/>
      <c r="X13" s="11"/>
    </row>
    <row r="14" customFormat="false" ht="15" hidden="false" customHeight="false" outlineLevel="0" collapsed="false">
      <c r="A14" s="11"/>
      <c r="B14" s="13"/>
      <c r="C14" s="11"/>
      <c r="D14" s="11"/>
      <c r="E14" s="11"/>
      <c r="F14" s="19"/>
      <c r="G14" s="12" t="str">
        <f aca="false">IF(F14="","",IF(F14&lt;=Parâmetros!$B$7,"Faixa 1",IF(F14&lt;=Parâmetros!$B$8,"Faixa 2","Faixa 3")))</f>
        <v/>
      </c>
      <c r="H14" s="12" t="str">
        <f aca="false">IF(G14="","",IF(G14="Faixa 1","Rodízio/Sorteio",IF(G14="Faixa 2","Cotação (≥3 propostas)","Chamada pública")))</f>
        <v/>
      </c>
      <c r="I14" s="11"/>
      <c r="J14" s="17" t="str">
        <f aca="false">IF(I14="","",IFERROR(INDEX(Cadastro!$B$5:$B$304,MATCH(I14,Cadastro!$A$5:$A$304,0)),"ID não encontrado"))</f>
        <v/>
      </c>
      <c r="K14" s="17" t="str">
        <f aca="false">IF(I14="","",IFERROR(INDEX(Cadastro!$E$5:$E$304,MATCH(I14,Cadastro!$A$5:$A$304,0)),""))</f>
        <v/>
      </c>
      <c r="L14" s="17" t="str">
        <f aca="false">IF(I14="","",IFERROR(INDEX(Cadastro!$F$5:$F$304,MATCH(I14,Cadastro!$A$5:$A$304,0)),""))</f>
        <v/>
      </c>
      <c r="M14" s="17" t="str">
        <f aca="false">IF(I14="","",IFERROR(INDEX(Cadastro!$I$5:$I$304,MATCH(I14,Cadastro!$A$5:$A$304,0)),""))</f>
        <v/>
      </c>
      <c r="N14" s="19"/>
      <c r="O14" s="13"/>
      <c r="P14" s="12" t="str">
        <f aca="false">IF(OR(B14="",O14=""),"",NETWORKDAYS(B14,O14)-1)</f>
        <v/>
      </c>
      <c r="Q14" s="13"/>
      <c r="R14" s="11"/>
      <c r="S14" s="13"/>
      <c r="T14" s="11"/>
      <c r="U14" s="11"/>
      <c r="V14" s="11"/>
      <c r="W14" s="11"/>
      <c r="X14" s="11"/>
    </row>
    <row r="15" customFormat="false" ht="15" hidden="false" customHeight="false" outlineLevel="0" collapsed="false">
      <c r="A15" s="11"/>
      <c r="B15" s="13"/>
      <c r="C15" s="11"/>
      <c r="D15" s="11"/>
      <c r="E15" s="11"/>
      <c r="F15" s="19"/>
      <c r="G15" s="12" t="str">
        <f aca="false">IF(F15="","",IF(F15&lt;=Parâmetros!$B$7,"Faixa 1",IF(F15&lt;=Parâmetros!$B$8,"Faixa 2","Faixa 3")))</f>
        <v/>
      </c>
      <c r="H15" s="12" t="str">
        <f aca="false">IF(G15="","",IF(G15="Faixa 1","Rodízio/Sorteio",IF(G15="Faixa 2","Cotação (≥3 propostas)","Chamada pública")))</f>
        <v/>
      </c>
      <c r="I15" s="11"/>
      <c r="J15" s="17" t="str">
        <f aca="false">IF(I15="","",IFERROR(INDEX(Cadastro!$B$5:$B$304,MATCH(I15,Cadastro!$A$5:$A$304,0)),"ID não encontrado"))</f>
        <v/>
      </c>
      <c r="K15" s="17" t="str">
        <f aca="false">IF(I15="","",IFERROR(INDEX(Cadastro!$E$5:$E$304,MATCH(I15,Cadastro!$A$5:$A$304,0)),""))</f>
        <v/>
      </c>
      <c r="L15" s="17" t="str">
        <f aca="false">IF(I15="","",IFERROR(INDEX(Cadastro!$F$5:$F$304,MATCH(I15,Cadastro!$A$5:$A$304,0)),""))</f>
        <v/>
      </c>
      <c r="M15" s="17" t="str">
        <f aca="false">IF(I15="","",IFERROR(INDEX(Cadastro!$I$5:$I$304,MATCH(I15,Cadastro!$A$5:$A$304,0)),""))</f>
        <v/>
      </c>
      <c r="N15" s="19"/>
      <c r="O15" s="13"/>
      <c r="P15" s="12" t="str">
        <f aca="false">IF(OR(B15="",O15=""),"",NETWORKDAYS(B15,O15)-1)</f>
        <v/>
      </c>
      <c r="Q15" s="13"/>
      <c r="R15" s="11"/>
      <c r="S15" s="13"/>
      <c r="T15" s="11"/>
      <c r="U15" s="11"/>
      <c r="V15" s="11"/>
      <c r="W15" s="11"/>
      <c r="X15" s="11"/>
    </row>
    <row r="16" customFormat="false" ht="15" hidden="false" customHeight="false" outlineLevel="0" collapsed="false">
      <c r="A16" s="11"/>
      <c r="B16" s="13"/>
      <c r="C16" s="11"/>
      <c r="D16" s="11"/>
      <c r="E16" s="11"/>
      <c r="F16" s="19"/>
      <c r="G16" s="12" t="str">
        <f aca="false">IF(F16="","",IF(F16&lt;=Parâmetros!$B$7,"Faixa 1",IF(F16&lt;=Parâmetros!$B$8,"Faixa 2","Faixa 3")))</f>
        <v/>
      </c>
      <c r="H16" s="12" t="str">
        <f aca="false">IF(G16="","",IF(G16="Faixa 1","Rodízio/Sorteio",IF(G16="Faixa 2","Cotação (≥3 propostas)","Chamada pública")))</f>
        <v/>
      </c>
      <c r="I16" s="11"/>
      <c r="J16" s="17" t="str">
        <f aca="false">IF(I16="","",IFERROR(INDEX(Cadastro!$B$5:$B$304,MATCH(I16,Cadastro!$A$5:$A$304,0)),"ID não encontrado"))</f>
        <v/>
      </c>
      <c r="K16" s="17" t="str">
        <f aca="false">IF(I16="","",IFERROR(INDEX(Cadastro!$E$5:$E$304,MATCH(I16,Cadastro!$A$5:$A$304,0)),""))</f>
        <v/>
      </c>
      <c r="L16" s="17" t="str">
        <f aca="false">IF(I16="","",IFERROR(INDEX(Cadastro!$F$5:$F$304,MATCH(I16,Cadastro!$A$5:$A$304,0)),""))</f>
        <v/>
      </c>
      <c r="M16" s="17" t="str">
        <f aca="false">IF(I16="","",IFERROR(INDEX(Cadastro!$I$5:$I$304,MATCH(I16,Cadastro!$A$5:$A$304,0)),""))</f>
        <v/>
      </c>
      <c r="N16" s="19"/>
      <c r="O16" s="13"/>
      <c r="P16" s="12" t="str">
        <f aca="false">IF(OR(B16="",O16=""),"",NETWORKDAYS(B16,O16)-1)</f>
        <v/>
      </c>
      <c r="Q16" s="13"/>
      <c r="R16" s="11"/>
      <c r="S16" s="13"/>
      <c r="T16" s="11"/>
      <c r="U16" s="11"/>
      <c r="V16" s="11"/>
      <c r="W16" s="11"/>
      <c r="X16" s="11"/>
    </row>
    <row r="17" customFormat="false" ht="15" hidden="false" customHeight="false" outlineLevel="0" collapsed="false">
      <c r="A17" s="11"/>
      <c r="B17" s="13"/>
      <c r="C17" s="11"/>
      <c r="D17" s="11"/>
      <c r="E17" s="11"/>
      <c r="F17" s="19"/>
      <c r="G17" s="12" t="str">
        <f aca="false">IF(F17="","",IF(F17&lt;=Parâmetros!$B$7,"Faixa 1",IF(F17&lt;=Parâmetros!$B$8,"Faixa 2","Faixa 3")))</f>
        <v/>
      </c>
      <c r="H17" s="12" t="str">
        <f aca="false">IF(G17="","",IF(G17="Faixa 1","Rodízio/Sorteio",IF(G17="Faixa 2","Cotação (≥3 propostas)","Chamada pública")))</f>
        <v/>
      </c>
      <c r="I17" s="11"/>
      <c r="J17" s="17" t="str">
        <f aca="false">IF(I17="","",IFERROR(INDEX(Cadastro!$B$5:$B$304,MATCH(I17,Cadastro!$A$5:$A$304,0)),"ID não encontrado"))</f>
        <v/>
      </c>
      <c r="K17" s="17" t="str">
        <f aca="false">IF(I17="","",IFERROR(INDEX(Cadastro!$E$5:$E$304,MATCH(I17,Cadastro!$A$5:$A$304,0)),""))</f>
        <v/>
      </c>
      <c r="L17" s="17" t="str">
        <f aca="false">IF(I17="","",IFERROR(INDEX(Cadastro!$F$5:$F$304,MATCH(I17,Cadastro!$A$5:$A$304,0)),""))</f>
        <v/>
      </c>
      <c r="M17" s="17" t="str">
        <f aca="false">IF(I17="","",IFERROR(INDEX(Cadastro!$I$5:$I$304,MATCH(I17,Cadastro!$A$5:$A$304,0)),""))</f>
        <v/>
      </c>
      <c r="N17" s="19"/>
      <c r="O17" s="13"/>
      <c r="P17" s="12" t="str">
        <f aca="false">IF(OR(B17="",O17=""),"",NETWORKDAYS(B17,O17)-1)</f>
        <v/>
      </c>
      <c r="Q17" s="13"/>
      <c r="R17" s="11"/>
      <c r="S17" s="13"/>
      <c r="T17" s="11"/>
      <c r="U17" s="11"/>
      <c r="V17" s="11"/>
      <c r="W17" s="11"/>
      <c r="X17" s="11"/>
    </row>
    <row r="18" customFormat="false" ht="15" hidden="false" customHeight="false" outlineLevel="0" collapsed="false">
      <c r="A18" s="11"/>
      <c r="B18" s="13"/>
      <c r="C18" s="11"/>
      <c r="D18" s="11"/>
      <c r="E18" s="11"/>
      <c r="F18" s="19"/>
      <c r="G18" s="12" t="str">
        <f aca="false">IF(F18="","",IF(F18&lt;=Parâmetros!$B$7,"Faixa 1",IF(F18&lt;=Parâmetros!$B$8,"Faixa 2","Faixa 3")))</f>
        <v/>
      </c>
      <c r="H18" s="12" t="str">
        <f aca="false">IF(G18="","",IF(G18="Faixa 1","Rodízio/Sorteio",IF(G18="Faixa 2","Cotação (≥3 propostas)","Chamada pública")))</f>
        <v/>
      </c>
      <c r="I18" s="11"/>
      <c r="J18" s="17" t="str">
        <f aca="false">IF(I18="","",IFERROR(INDEX(Cadastro!$B$5:$B$304,MATCH(I18,Cadastro!$A$5:$A$304,0)),"ID não encontrado"))</f>
        <v/>
      </c>
      <c r="K18" s="17" t="str">
        <f aca="false">IF(I18="","",IFERROR(INDEX(Cadastro!$E$5:$E$304,MATCH(I18,Cadastro!$A$5:$A$304,0)),""))</f>
        <v/>
      </c>
      <c r="L18" s="17" t="str">
        <f aca="false">IF(I18="","",IFERROR(INDEX(Cadastro!$F$5:$F$304,MATCH(I18,Cadastro!$A$5:$A$304,0)),""))</f>
        <v/>
      </c>
      <c r="M18" s="17" t="str">
        <f aca="false">IF(I18="","",IFERROR(INDEX(Cadastro!$I$5:$I$304,MATCH(I18,Cadastro!$A$5:$A$304,0)),""))</f>
        <v/>
      </c>
      <c r="N18" s="19"/>
      <c r="O18" s="13"/>
      <c r="P18" s="12" t="str">
        <f aca="false">IF(OR(B18="",O18=""),"",NETWORKDAYS(B18,O18)-1)</f>
        <v/>
      </c>
      <c r="Q18" s="13"/>
      <c r="R18" s="11"/>
      <c r="S18" s="13"/>
      <c r="T18" s="11"/>
      <c r="U18" s="11"/>
      <c r="V18" s="11"/>
      <c r="W18" s="11"/>
      <c r="X18" s="11"/>
    </row>
    <row r="19" customFormat="false" ht="15" hidden="false" customHeight="false" outlineLevel="0" collapsed="false">
      <c r="A19" s="11"/>
      <c r="B19" s="13"/>
      <c r="C19" s="11"/>
      <c r="D19" s="11"/>
      <c r="E19" s="11"/>
      <c r="F19" s="19"/>
      <c r="G19" s="12" t="str">
        <f aca="false">IF(F19="","",IF(F19&lt;=Parâmetros!$B$7,"Faixa 1",IF(F19&lt;=Parâmetros!$B$8,"Faixa 2","Faixa 3")))</f>
        <v/>
      </c>
      <c r="H19" s="12" t="str">
        <f aca="false">IF(G19="","",IF(G19="Faixa 1","Rodízio/Sorteio",IF(G19="Faixa 2","Cotação (≥3 propostas)","Chamada pública")))</f>
        <v/>
      </c>
      <c r="I19" s="11"/>
      <c r="J19" s="17" t="str">
        <f aca="false">IF(I19="","",IFERROR(INDEX(Cadastro!$B$5:$B$304,MATCH(I19,Cadastro!$A$5:$A$304,0)),"ID não encontrado"))</f>
        <v/>
      </c>
      <c r="K19" s="17" t="str">
        <f aca="false">IF(I19="","",IFERROR(INDEX(Cadastro!$E$5:$E$304,MATCH(I19,Cadastro!$A$5:$A$304,0)),""))</f>
        <v/>
      </c>
      <c r="L19" s="17" t="str">
        <f aca="false">IF(I19="","",IFERROR(INDEX(Cadastro!$F$5:$F$304,MATCH(I19,Cadastro!$A$5:$A$304,0)),""))</f>
        <v/>
      </c>
      <c r="M19" s="17" t="str">
        <f aca="false">IF(I19="","",IFERROR(INDEX(Cadastro!$I$5:$I$304,MATCH(I19,Cadastro!$A$5:$A$304,0)),""))</f>
        <v/>
      </c>
      <c r="N19" s="19"/>
      <c r="O19" s="13"/>
      <c r="P19" s="12" t="str">
        <f aca="false">IF(OR(B19="",O19=""),"",NETWORKDAYS(B19,O19)-1)</f>
        <v/>
      </c>
      <c r="Q19" s="13"/>
      <c r="R19" s="11"/>
      <c r="S19" s="13"/>
      <c r="T19" s="11"/>
      <c r="U19" s="11"/>
      <c r="V19" s="11"/>
      <c r="W19" s="11"/>
      <c r="X19" s="11"/>
    </row>
    <row r="20" customFormat="false" ht="15" hidden="false" customHeight="false" outlineLevel="0" collapsed="false">
      <c r="A20" s="11"/>
      <c r="B20" s="13"/>
      <c r="C20" s="11"/>
      <c r="D20" s="11"/>
      <c r="E20" s="11"/>
      <c r="F20" s="19"/>
      <c r="G20" s="12" t="str">
        <f aca="false">IF(F20="","",IF(F20&lt;=Parâmetros!$B$7,"Faixa 1",IF(F20&lt;=Parâmetros!$B$8,"Faixa 2","Faixa 3")))</f>
        <v/>
      </c>
      <c r="H20" s="12" t="str">
        <f aca="false">IF(G20="","",IF(G20="Faixa 1","Rodízio/Sorteio",IF(G20="Faixa 2","Cotação (≥3 propostas)","Chamada pública")))</f>
        <v/>
      </c>
      <c r="I20" s="11"/>
      <c r="J20" s="17" t="str">
        <f aca="false">IF(I20="","",IFERROR(INDEX(Cadastro!$B$5:$B$304,MATCH(I20,Cadastro!$A$5:$A$304,0)),"ID não encontrado"))</f>
        <v/>
      </c>
      <c r="K20" s="17" t="str">
        <f aca="false">IF(I20="","",IFERROR(INDEX(Cadastro!$E$5:$E$304,MATCH(I20,Cadastro!$A$5:$A$304,0)),""))</f>
        <v/>
      </c>
      <c r="L20" s="17" t="str">
        <f aca="false">IF(I20="","",IFERROR(INDEX(Cadastro!$F$5:$F$304,MATCH(I20,Cadastro!$A$5:$A$304,0)),""))</f>
        <v/>
      </c>
      <c r="M20" s="17" t="str">
        <f aca="false">IF(I20="","",IFERROR(INDEX(Cadastro!$I$5:$I$304,MATCH(I20,Cadastro!$A$5:$A$304,0)),""))</f>
        <v/>
      </c>
      <c r="N20" s="19"/>
      <c r="O20" s="13"/>
      <c r="P20" s="12" t="str">
        <f aca="false">IF(OR(B20="",O20=""),"",NETWORKDAYS(B20,O20)-1)</f>
        <v/>
      </c>
      <c r="Q20" s="13"/>
      <c r="R20" s="11"/>
      <c r="S20" s="13"/>
      <c r="T20" s="11"/>
      <c r="U20" s="11"/>
      <c r="V20" s="11"/>
      <c r="W20" s="11"/>
      <c r="X20" s="11"/>
    </row>
    <row r="21" customFormat="false" ht="15" hidden="false" customHeight="false" outlineLevel="0" collapsed="false">
      <c r="A21" s="11"/>
      <c r="B21" s="13"/>
      <c r="C21" s="11"/>
      <c r="D21" s="11"/>
      <c r="E21" s="11"/>
      <c r="F21" s="19"/>
      <c r="G21" s="12" t="str">
        <f aca="false">IF(F21="","",IF(F21&lt;=Parâmetros!$B$7,"Faixa 1",IF(F21&lt;=Parâmetros!$B$8,"Faixa 2","Faixa 3")))</f>
        <v/>
      </c>
      <c r="H21" s="12" t="str">
        <f aca="false">IF(G21="","",IF(G21="Faixa 1","Rodízio/Sorteio",IF(G21="Faixa 2","Cotação (≥3 propostas)","Chamada pública")))</f>
        <v/>
      </c>
      <c r="I21" s="11"/>
      <c r="J21" s="17" t="str">
        <f aca="false">IF(I21="","",IFERROR(INDEX(Cadastro!$B$5:$B$304,MATCH(I21,Cadastro!$A$5:$A$304,0)),"ID não encontrado"))</f>
        <v/>
      </c>
      <c r="K21" s="17" t="str">
        <f aca="false">IF(I21="","",IFERROR(INDEX(Cadastro!$E$5:$E$304,MATCH(I21,Cadastro!$A$5:$A$304,0)),""))</f>
        <v/>
      </c>
      <c r="L21" s="17" t="str">
        <f aca="false">IF(I21="","",IFERROR(INDEX(Cadastro!$F$5:$F$304,MATCH(I21,Cadastro!$A$5:$A$304,0)),""))</f>
        <v/>
      </c>
      <c r="M21" s="17" t="str">
        <f aca="false">IF(I21="","",IFERROR(INDEX(Cadastro!$I$5:$I$304,MATCH(I21,Cadastro!$A$5:$A$304,0)),""))</f>
        <v/>
      </c>
      <c r="N21" s="19"/>
      <c r="O21" s="13"/>
      <c r="P21" s="12" t="str">
        <f aca="false">IF(OR(B21="",O21=""),"",NETWORKDAYS(B21,O21)-1)</f>
        <v/>
      </c>
      <c r="Q21" s="13"/>
      <c r="R21" s="11"/>
      <c r="S21" s="13"/>
      <c r="T21" s="11"/>
      <c r="U21" s="11"/>
      <c r="V21" s="11"/>
      <c r="W21" s="11"/>
      <c r="X21" s="11"/>
    </row>
    <row r="22" customFormat="false" ht="15" hidden="false" customHeight="false" outlineLevel="0" collapsed="false">
      <c r="A22" s="11"/>
      <c r="B22" s="13"/>
      <c r="C22" s="11"/>
      <c r="D22" s="11"/>
      <c r="E22" s="11"/>
      <c r="F22" s="19"/>
      <c r="G22" s="12" t="str">
        <f aca="false">IF(F22="","",IF(F22&lt;=Parâmetros!$B$7,"Faixa 1",IF(F22&lt;=Parâmetros!$B$8,"Faixa 2","Faixa 3")))</f>
        <v/>
      </c>
      <c r="H22" s="12" t="str">
        <f aca="false">IF(G22="","",IF(G22="Faixa 1","Rodízio/Sorteio",IF(G22="Faixa 2","Cotação (≥3 propostas)","Chamada pública")))</f>
        <v/>
      </c>
      <c r="I22" s="11"/>
      <c r="J22" s="17" t="str">
        <f aca="false">IF(I22="","",IFERROR(INDEX(Cadastro!$B$5:$B$304,MATCH(I22,Cadastro!$A$5:$A$304,0)),"ID não encontrado"))</f>
        <v/>
      </c>
      <c r="K22" s="17" t="str">
        <f aca="false">IF(I22="","",IFERROR(INDEX(Cadastro!$E$5:$E$304,MATCH(I22,Cadastro!$A$5:$A$304,0)),""))</f>
        <v/>
      </c>
      <c r="L22" s="17" t="str">
        <f aca="false">IF(I22="","",IFERROR(INDEX(Cadastro!$F$5:$F$304,MATCH(I22,Cadastro!$A$5:$A$304,0)),""))</f>
        <v/>
      </c>
      <c r="M22" s="17" t="str">
        <f aca="false">IF(I22="","",IFERROR(INDEX(Cadastro!$I$5:$I$304,MATCH(I22,Cadastro!$A$5:$A$304,0)),""))</f>
        <v/>
      </c>
      <c r="N22" s="19"/>
      <c r="O22" s="13"/>
      <c r="P22" s="12" t="str">
        <f aca="false">IF(OR(B22="",O22=""),"",NETWORKDAYS(B22,O22)-1)</f>
        <v/>
      </c>
      <c r="Q22" s="13"/>
      <c r="R22" s="11"/>
      <c r="S22" s="13"/>
      <c r="T22" s="11"/>
      <c r="U22" s="11"/>
      <c r="V22" s="11"/>
      <c r="W22" s="11"/>
      <c r="X22" s="11"/>
    </row>
    <row r="23" customFormat="false" ht="15" hidden="false" customHeight="false" outlineLevel="0" collapsed="false">
      <c r="A23" s="11"/>
      <c r="B23" s="13"/>
      <c r="C23" s="11"/>
      <c r="D23" s="11"/>
      <c r="E23" s="11"/>
      <c r="F23" s="19"/>
      <c r="G23" s="12" t="str">
        <f aca="false">IF(F23="","",IF(F23&lt;=Parâmetros!$B$7,"Faixa 1",IF(F23&lt;=Parâmetros!$B$8,"Faixa 2","Faixa 3")))</f>
        <v/>
      </c>
      <c r="H23" s="12" t="str">
        <f aca="false">IF(G23="","",IF(G23="Faixa 1","Rodízio/Sorteio",IF(G23="Faixa 2","Cotação (≥3 propostas)","Chamada pública")))</f>
        <v/>
      </c>
      <c r="I23" s="11"/>
      <c r="J23" s="17" t="str">
        <f aca="false">IF(I23="","",IFERROR(INDEX(Cadastro!$B$5:$B$304,MATCH(I23,Cadastro!$A$5:$A$304,0)),"ID não encontrado"))</f>
        <v/>
      </c>
      <c r="K23" s="17" t="str">
        <f aca="false">IF(I23="","",IFERROR(INDEX(Cadastro!$E$5:$E$304,MATCH(I23,Cadastro!$A$5:$A$304,0)),""))</f>
        <v/>
      </c>
      <c r="L23" s="17" t="str">
        <f aca="false">IF(I23="","",IFERROR(INDEX(Cadastro!$F$5:$F$304,MATCH(I23,Cadastro!$A$5:$A$304,0)),""))</f>
        <v/>
      </c>
      <c r="M23" s="17" t="str">
        <f aca="false">IF(I23="","",IFERROR(INDEX(Cadastro!$I$5:$I$304,MATCH(I23,Cadastro!$A$5:$A$304,0)),""))</f>
        <v/>
      </c>
      <c r="N23" s="19"/>
      <c r="O23" s="13"/>
      <c r="P23" s="12" t="str">
        <f aca="false">IF(OR(B23="",O23=""),"",NETWORKDAYS(B23,O23)-1)</f>
        <v/>
      </c>
      <c r="Q23" s="13"/>
      <c r="R23" s="11"/>
      <c r="S23" s="13"/>
      <c r="T23" s="11"/>
      <c r="U23" s="11"/>
      <c r="V23" s="11"/>
      <c r="W23" s="11"/>
      <c r="X23" s="11"/>
    </row>
    <row r="24" customFormat="false" ht="15" hidden="false" customHeight="false" outlineLevel="0" collapsed="false">
      <c r="A24" s="11"/>
      <c r="B24" s="13"/>
      <c r="C24" s="11"/>
      <c r="D24" s="11"/>
      <c r="E24" s="11"/>
      <c r="F24" s="19"/>
      <c r="G24" s="12" t="str">
        <f aca="false">IF(F24="","",IF(F24&lt;=Parâmetros!$B$7,"Faixa 1",IF(F24&lt;=Parâmetros!$B$8,"Faixa 2","Faixa 3")))</f>
        <v/>
      </c>
      <c r="H24" s="12" t="str">
        <f aca="false">IF(G24="","",IF(G24="Faixa 1","Rodízio/Sorteio",IF(G24="Faixa 2","Cotação (≥3 propostas)","Chamada pública")))</f>
        <v/>
      </c>
      <c r="I24" s="11"/>
      <c r="J24" s="17" t="str">
        <f aca="false">IF(I24="","",IFERROR(INDEX(Cadastro!$B$5:$B$304,MATCH(I24,Cadastro!$A$5:$A$304,0)),"ID não encontrado"))</f>
        <v/>
      </c>
      <c r="K24" s="17" t="str">
        <f aca="false">IF(I24="","",IFERROR(INDEX(Cadastro!$E$5:$E$304,MATCH(I24,Cadastro!$A$5:$A$304,0)),""))</f>
        <v/>
      </c>
      <c r="L24" s="17" t="str">
        <f aca="false">IF(I24="","",IFERROR(INDEX(Cadastro!$F$5:$F$304,MATCH(I24,Cadastro!$A$5:$A$304,0)),""))</f>
        <v/>
      </c>
      <c r="M24" s="17" t="str">
        <f aca="false">IF(I24="","",IFERROR(INDEX(Cadastro!$I$5:$I$304,MATCH(I24,Cadastro!$A$5:$A$304,0)),""))</f>
        <v/>
      </c>
      <c r="N24" s="19"/>
      <c r="O24" s="13"/>
      <c r="P24" s="12" t="str">
        <f aca="false">IF(OR(B24="",O24=""),"",NETWORKDAYS(B24,O24)-1)</f>
        <v/>
      </c>
      <c r="Q24" s="13"/>
      <c r="R24" s="11"/>
      <c r="S24" s="13"/>
      <c r="T24" s="11"/>
      <c r="U24" s="11"/>
      <c r="V24" s="11"/>
      <c r="W24" s="11"/>
      <c r="X24" s="11"/>
    </row>
    <row r="25" customFormat="false" ht="15" hidden="false" customHeight="false" outlineLevel="0" collapsed="false">
      <c r="A25" s="11"/>
      <c r="B25" s="13"/>
      <c r="C25" s="11"/>
      <c r="D25" s="11"/>
      <c r="E25" s="11"/>
      <c r="F25" s="19"/>
      <c r="G25" s="12" t="str">
        <f aca="false">IF(F25="","",IF(F25&lt;=Parâmetros!$B$7,"Faixa 1",IF(F25&lt;=Parâmetros!$B$8,"Faixa 2","Faixa 3")))</f>
        <v/>
      </c>
      <c r="H25" s="12" t="str">
        <f aca="false">IF(G25="","",IF(G25="Faixa 1","Rodízio/Sorteio",IF(G25="Faixa 2","Cotação (≥3 propostas)","Chamada pública")))</f>
        <v/>
      </c>
      <c r="I25" s="11"/>
      <c r="J25" s="17" t="str">
        <f aca="false">IF(I25="","",IFERROR(INDEX(Cadastro!$B$5:$B$304,MATCH(I25,Cadastro!$A$5:$A$304,0)),"ID não encontrado"))</f>
        <v/>
      </c>
      <c r="K25" s="17" t="str">
        <f aca="false">IF(I25="","",IFERROR(INDEX(Cadastro!$E$5:$E$304,MATCH(I25,Cadastro!$A$5:$A$304,0)),""))</f>
        <v/>
      </c>
      <c r="L25" s="17" t="str">
        <f aca="false">IF(I25="","",IFERROR(INDEX(Cadastro!$F$5:$F$304,MATCH(I25,Cadastro!$A$5:$A$304,0)),""))</f>
        <v/>
      </c>
      <c r="M25" s="17" t="str">
        <f aca="false">IF(I25="","",IFERROR(INDEX(Cadastro!$I$5:$I$304,MATCH(I25,Cadastro!$A$5:$A$304,0)),""))</f>
        <v/>
      </c>
      <c r="N25" s="19"/>
      <c r="O25" s="13"/>
      <c r="P25" s="12" t="str">
        <f aca="false">IF(OR(B25="",O25=""),"",NETWORKDAYS(B25,O25)-1)</f>
        <v/>
      </c>
      <c r="Q25" s="13"/>
      <c r="R25" s="11"/>
      <c r="S25" s="13"/>
      <c r="T25" s="11"/>
      <c r="U25" s="11"/>
      <c r="V25" s="11"/>
      <c r="W25" s="11"/>
      <c r="X25" s="11"/>
    </row>
    <row r="26" customFormat="false" ht="15" hidden="false" customHeight="false" outlineLevel="0" collapsed="false">
      <c r="A26" s="11"/>
      <c r="B26" s="13"/>
      <c r="C26" s="11"/>
      <c r="D26" s="11"/>
      <c r="E26" s="11"/>
      <c r="F26" s="19"/>
      <c r="G26" s="12" t="str">
        <f aca="false">IF(F26="","",IF(F26&lt;=Parâmetros!$B$7,"Faixa 1",IF(F26&lt;=Parâmetros!$B$8,"Faixa 2","Faixa 3")))</f>
        <v/>
      </c>
      <c r="H26" s="12" t="str">
        <f aca="false">IF(G26="","",IF(G26="Faixa 1","Rodízio/Sorteio",IF(G26="Faixa 2","Cotação (≥3 propostas)","Chamada pública")))</f>
        <v/>
      </c>
      <c r="I26" s="11"/>
      <c r="J26" s="17" t="str">
        <f aca="false">IF(I26="","",IFERROR(INDEX(Cadastro!$B$5:$B$304,MATCH(I26,Cadastro!$A$5:$A$304,0)),"ID não encontrado"))</f>
        <v/>
      </c>
      <c r="K26" s="17" t="str">
        <f aca="false">IF(I26="","",IFERROR(INDEX(Cadastro!$E$5:$E$304,MATCH(I26,Cadastro!$A$5:$A$304,0)),""))</f>
        <v/>
      </c>
      <c r="L26" s="17" t="str">
        <f aca="false">IF(I26="","",IFERROR(INDEX(Cadastro!$F$5:$F$304,MATCH(I26,Cadastro!$A$5:$A$304,0)),""))</f>
        <v/>
      </c>
      <c r="M26" s="17" t="str">
        <f aca="false">IF(I26="","",IFERROR(INDEX(Cadastro!$I$5:$I$304,MATCH(I26,Cadastro!$A$5:$A$304,0)),""))</f>
        <v/>
      </c>
      <c r="N26" s="19"/>
      <c r="O26" s="13"/>
      <c r="P26" s="12" t="str">
        <f aca="false">IF(OR(B26="",O26=""),"",NETWORKDAYS(B26,O26)-1)</f>
        <v/>
      </c>
      <c r="Q26" s="13"/>
      <c r="R26" s="11"/>
      <c r="S26" s="13"/>
      <c r="T26" s="11"/>
      <c r="U26" s="11"/>
      <c r="V26" s="11"/>
      <c r="W26" s="11"/>
      <c r="X26" s="11"/>
    </row>
    <row r="27" customFormat="false" ht="15" hidden="false" customHeight="false" outlineLevel="0" collapsed="false">
      <c r="A27" s="11"/>
      <c r="B27" s="13"/>
      <c r="C27" s="11"/>
      <c r="D27" s="11"/>
      <c r="E27" s="11"/>
      <c r="F27" s="19"/>
      <c r="G27" s="12" t="str">
        <f aca="false">IF(F27="","",IF(F27&lt;=Parâmetros!$B$7,"Faixa 1",IF(F27&lt;=Parâmetros!$B$8,"Faixa 2","Faixa 3")))</f>
        <v/>
      </c>
      <c r="H27" s="12" t="str">
        <f aca="false">IF(G27="","",IF(G27="Faixa 1","Rodízio/Sorteio",IF(G27="Faixa 2","Cotação (≥3 propostas)","Chamada pública")))</f>
        <v/>
      </c>
      <c r="I27" s="11"/>
      <c r="J27" s="17" t="str">
        <f aca="false">IF(I27="","",IFERROR(INDEX(Cadastro!$B$5:$B$304,MATCH(I27,Cadastro!$A$5:$A$304,0)),"ID não encontrado"))</f>
        <v/>
      </c>
      <c r="K27" s="17" t="str">
        <f aca="false">IF(I27="","",IFERROR(INDEX(Cadastro!$E$5:$E$304,MATCH(I27,Cadastro!$A$5:$A$304,0)),""))</f>
        <v/>
      </c>
      <c r="L27" s="17" t="str">
        <f aca="false">IF(I27="","",IFERROR(INDEX(Cadastro!$F$5:$F$304,MATCH(I27,Cadastro!$A$5:$A$304,0)),""))</f>
        <v/>
      </c>
      <c r="M27" s="17" t="str">
        <f aca="false">IF(I27="","",IFERROR(INDEX(Cadastro!$I$5:$I$304,MATCH(I27,Cadastro!$A$5:$A$304,0)),""))</f>
        <v/>
      </c>
      <c r="N27" s="19"/>
      <c r="O27" s="13"/>
      <c r="P27" s="12" t="str">
        <f aca="false">IF(OR(B27="",O27=""),"",NETWORKDAYS(B27,O27)-1)</f>
        <v/>
      </c>
      <c r="Q27" s="13"/>
      <c r="R27" s="11"/>
      <c r="S27" s="13"/>
      <c r="T27" s="11"/>
      <c r="U27" s="11"/>
      <c r="V27" s="11"/>
      <c r="W27" s="11"/>
      <c r="X27" s="11"/>
    </row>
    <row r="28" customFormat="false" ht="15" hidden="false" customHeight="false" outlineLevel="0" collapsed="false">
      <c r="A28" s="11"/>
      <c r="B28" s="13"/>
      <c r="C28" s="11"/>
      <c r="D28" s="11"/>
      <c r="E28" s="11"/>
      <c r="F28" s="19"/>
      <c r="G28" s="12" t="str">
        <f aca="false">IF(F28="","",IF(F28&lt;=Parâmetros!$B$7,"Faixa 1",IF(F28&lt;=Parâmetros!$B$8,"Faixa 2","Faixa 3")))</f>
        <v/>
      </c>
      <c r="H28" s="12" t="str">
        <f aca="false">IF(G28="","",IF(G28="Faixa 1","Rodízio/Sorteio",IF(G28="Faixa 2","Cotação (≥3 propostas)","Chamada pública")))</f>
        <v/>
      </c>
      <c r="I28" s="11"/>
      <c r="J28" s="17" t="str">
        <f aca="false">IF(I28="","",IFERROR(INDEX(Cadastro!$B$5:$B$304,MATCH(I28,Cadastro!$A$5:$A$304,0)),"ID não encontrado"))</f>
        <v/>
      </c>
      <c r="K28" s="17" t="str">
        <f aca="false">IF(I28="","",IFERROR(INDEX(Cadastro!$E$5:$E$304,MATCH(I28,Cadastro!$A$5:$A$304,0)),""))</f>
        <v/>
      </c>
      <c r="L28" s="17" t="str">
        <f aca="false">IF(I28="","",IFERROR(INDEX(Cadastro!$F$5:$F$304,MATCH(I28,Cadastro!$A$5:$A$304,0)),""))</f>
        <v/>
      </c>
      <c r="M28" s="17" t="str">
        <f aca="false">IF(I28="","",IFERROR(INDEX(Cadastro!$I$5:$I$304,MATCH(I28,Cadastro!$A$5:$A$304,0)),""))</f>
        <v/>
      </c>
      <c r="N28" s="19"/>
      <c r="O28" s="13"/>
      <c r="P28" s="12" t="str">
        <f aca="false">IF(OR(B28="",O28=""),"",NETWORKDAYS(B28,O28)-1)</f>
        <v/>
      </c>
      <c r="Q28" s="13"/>
      <c r="R28" s="11"/>
      <c r="S28" s="13"/>
      <c r="T28" s="11"/>
      <c r="U28" s="11"/>
      <c r="V28" s="11"/>
      <c r="W28" s="11"/>
      <c r="X28" s="11"/>
    </row>
    <row r="29" customFormat="false" ht="15" hidden="false" customHeight="false" outlineLevel="0" collapsed="false">
      <c r="A29" s="11"/>
      <c r="B29" s="13"/>
      <c r="C29" s="11"/>
      <c r="D29" s="11"/>
      <c r="E29" s="11"/>
      <c r="F29" s="19"/>
      <c r="G29" s="12" t="str">
        <f aca="false">IF(F29="","",IF(F29&lt;=Parâmetros!$B$7,"Faixa 1",IF(F29&lt;=Parâmetros!$B$8,"Faixa 2","Faixa 3")))</f>
        <v/>
      </c>
      <c r="H29" s="12" t="str">
        <f aca="false">IF(G29="","",IF(G29="Faixa 1","Rodízio/Sorteio",IF(G29="Faixa 2","Cotação (≥3 propostas)","Chamada pública")))</f>
        <v/>
      </c>
      <c r="I29" s="11"/>
      <c r="J29" s="17" t="str">
        <f aca="false">IF(I29="","",IFERROR(INDEX(Cadastro!$B$5:$B$304,MATCH(I29,Cadastro!$A$5:$A$304,0)),"ID não encontrado"))</f>
        <v/>
      </c>
      <c r="K29" s="17" t="str">
        <f aca="false">IF(I29="","",IFERROR(INDEX(Cadastro!$E$5:$E$304,MATCH(I29,Cadastro!$A$5:$A$304,0)),""))</f>
        <v/>
      </c>
      <c r="L29" s="17" t="str">
        <f aca="false">IF(I29="","",IFERROR(INDEX(Cadastro!$F$5:$F$304,MATCH(I29,Cadastro!$A$5:$A$304,0)),""))</f>
        <v/>
      </c>
      <c r="M29" s="17" t="str">
        <f aca="false">IF(I29="","",IFERROR(INDEX(Cadastro!$I$5:$I$304,MATCH(I29,Cadastro!$A$5:$A$304,0)),""))</f>
        <v/>
      </c>
      <c r="N29" s="19"/>
      <c r="O29" s="13"/>
      <c r="P29" s="12" t="str">
        <f aca="false">IF(OR(B29="",O29=""),"",NETWORKDAYS(B29,O29)-1)</f>
        <v/>
      </c>
      <c r="Q29" s="13"/>
      <c r="R29" s="11"/>
      <c r="S29" s="13"/>
      <c r="T29" s="11"/>
      <c r="U29" s="11"/>
      <c r="V29" s="11"/>
      <c r="W29" s="11"/>
      <c r="X29" s="11"/>
    </row>
    <row r="30" customFormat="false" ht="15" hidden="false" customHeight="false" outlineLevel="0" collapsed="false">
      <c r="A30" s="11"/>
      <c r="B30" s="13"/>
      <c r="C30" s="11"/>
      <c r="D30" s="11"/>
      <c r="E30" s="11"/>
      <c r="F30" s="19"/>
      <c r="G30" s="12" t="str">
        <f aca="false">IF(F30="","",IF(F30&lt;=Parâmetros!$B$7,"Faixa 1",IF(F30&lt;=Parâmetros!$B$8,"Faixa 2","Faixa 3")))</f>
        <v/>
      </c>
      <c r="H30" s="12" t="str">
        <f aca="false">IF(G30="","",IF(G30="Faixa 1","Rodízio/Sorteio",IF(G30="Faixa 2","Cotação (≥3 propostas)","Chamada pública")))</f>
        <v/>
      </c>
      <c r="I30" s="11"/>
      <c r="J30" s="17" t="str">
        <f aca="false">IF(I30="","",IFERROR(INDEX(Cadastro!$B$5:$B$304,MATCH(I30,Cadastro!$A$5:$A$304,0)),"ID não encontrado"))</f>
        <v/>
      </c>
      <c r="K30" s="17" t="str">
        <f aca="false">IF(I30="","",IFERROR(INDEX(Cadastro!$E$5:$E$304,MATCH(I30,Cadastro!$A$5:$A$304,0)),""))</f>
        <v/>
      </c>
      <c r="L30" s="17" t="str">
        <f aca="false">IF(I30="","",IFERROR(INDEX(Cadastro!$F$5:$F$304,MATCH(I30,Cadastro!$A$5:$A$304,0)),""))</f>
        <v/>
      </c>
      <c r="M30" s="17" t="str">
        <f aca="false">IF(I30="","",IFERROR(INDEX(Cadastro!$I$5:$I$304,MATCH(I30,Cadastro!$A$5:$A$304,0)),""))</f>
        <v/>
      </c>
      <c r="N30" s="19"/>
      <c r="O30" s="13"/>
      <c r="P30" s="12" t="str">
        <f aca="false">IF(OR(B30="",O30=""),"",NETWORKDAYS(B30,O30)-1)</f>
        <v/>
      </c>
      <c r="Q30" s="13"/>
      <c r="R30" s="11"/>
      <c r="S30" s="13"/>
      <c r="T30" s="11"/>
      <c r="U30" s="11"/>
      <c r="V30" s="11"/>
      <c r="W30" s="11"/>
      <c r="X30" s="11"/>
    </row>
    <row r="31" customFormat="false" ht="15" hidden="false" customHeight="false" outlineLevel="0" collapsed="false">
      <c r="A31" s="11"/>
      <c r="B31" s="13"/>
      <c r="C31" s="11"/>
      <c r="D31" s="11"/>
      <c r="E31" s="11"/>
      <c r="F31" s="19"/>
      <c r="G31" s="12" t="str">
        <f aca="false">IF(F31="","",IF(F31&lt;=Parâmetros!$B$7,"Faixa 1",IF(F31&lt;=Parâmetros!$B$8,"Faixa 2","Faixa 3")))</f>
        <v/>
      </c>
      <c r="H31" s="12" t="str">
        <f aca="false">IF(G31="","",IF(G31="Faixa 1","Rodízio/Sorteio",IF(G31="Faixa 2","Cotação (≥3 propostas)","Chamada pública")))</f>
        <v/>
      </c>
      <c r="I31" s="11"/>
      <c r="J31" s="17" t="str">
        <f aca="false">IF(I31="","",IFERROR(INDEX(Cadastro!$B$5:$B$304,MATCH(I31,Cadastro!$A$5:$A$304,0)),"ID não encontrado"))</f>
        <v/>
      </c>
      <c r="K31" s="17" t="str">
        <f aca="false">IF(I31="","",IFERROR(INDEX(Cadastro!$E$5:$E$304,MATCH(I31,Cadastro!$A$5:$A$304,0)),""))</f>
        <v/>
      </c>
      <c r="L31" s="17" t="str">
        <f aca="false">IF(I31="","",IFERROR(INDEX(Cadastro!$F$5:$F$304,MATCH(I31,Cadastro!$A$5:$A$304,0)),""))</f>
        <v/>
      </c>
      <c r="M31" s="17" t="str">
        <f aca="false">IF(I31="","",IFERROR(INDEX(Cadastro!$I$5:$I$304,MATCH(I31,Cadastro!$A$5:$A$304,0)),""))</f>
        <v/>
      </c>
      <c r="N31" s="19"/>
      <c r="O31" s="13"/>
      <c r="P31" s="12" t="str">
        <f aca="false">IF(OR(B31="",O31=""),"",NETWORKDAYS(B31,O31)-1)</f>
        <v/>
      </c>
      <c r="Q31" s="13"/>
      <c r="R31" s="11"/>
      <c r="S31" s="13"/>
      <c r="T31" s="11"/>
      <c r="U31" s="11"/>
      <c r="V31" s="11"/>
      <c r="W31" s="11"/>
      <c r="X31" s="11"/>
    </row>
    <row r="32" customFormat="false" ht="15" hidden="false" customHeight="false" outlineLevel="0" collapsed="false">
      <c r="A32" s="11"/>
      <c r="B32" s="13"/>
      <c r="C32" s="11"/>
      <c r="D32" s="11"/>
      <c r="E32" s="11"/>
      <c r="F32" s="19"/>
      <c r="G32" s="12" t="str">
        <f aca="false">IF(F32="","",IF(F32&lt;=Parâmetros!$B$7,"Faixa 1",IF(F32&lt;=Parâmetros!$B$8,"Faixa 2","Faixa 3")))</f>
        <v/>
      </c>
      <c r="H32" s="12" t="str">
        <f aca="false">IF(G32="","",IF(G32="Faixa 1","Rodízio/Sorteio",IF(G32="Faixa 2","Cotação (≥3 propostas)","Chamada pública")))</f>
        <v/>
      </c>
      <c r="I32" s="11"/>
      <c r="J32" s="17" t="str">
        <f aca="false">IF(I32="","",IFERROR(INDEX(Cadastro!$B$5:$B$304,MATCH(I32,Cadastro!$A$5:$A$304,0)),"ID não encontrado"))</f>
        <v/>
      </c>
      <c r="K32" s="17" t="str">
        <f aca="false">IF(I32="","",IFERROR(INDEX(Cadastro!$E$5:$E$304,MATCH(I32,Cadastro!$A$5:$A$304,0)),""))</f>
        <v/>
      </c>
      <c r="L32" s="17" t="str">
        <f aca="false">IF(I32="","",IFERROR(INDEX(Cadastro!$F$5:$F$304,MATCH(I32,Cadastro!$A$5:$A$304,0)),""))</f>
        <v/>
      </c>
      <c r="M32" s="17" t="str">
        <f aca="false">IF(I32="","",IFERROR(INDEX(Cadastro!$I$5:$I$304,MATCH(I32,Cadastro!$A$5:$A$304,0)),""))</f>
        <v/>
      </c>
      <c r="N32" s="19"/>
      <c r="O32" s="13"/>
      <c r="P32" s="12" t="str">
        <f aca="false">IF(OR(B32="",O32=""),"",NETWORKDAYS(B32,O32)-1)</f>
        <v/>
      </c>
      <c r="Q32" s="13"/>
      <c r="R32" s="11"/>
      <c r="S32" s="13"/>
      <c r="T32" s="11"/>
      <c r="U32" s="11"/>
      <c r="V32" s="11"/>
      <c r="W32" s="11"/>
      <c r="X32" s="11"/>
    </row>
    <row r="33" customFormat="false" ht="15" hidden="false" customHeight="false" outlineLevel="0" collapsed="false">
      <c r="A33" s="11"/>
      <c r="B33" s="13"/>
      <c r="C33" s="11"/>
      <c r="D33" s="11"/>
      <c r="E33" s="11"/>
      <c r="F33" s="19"/>
      <c r="G33" s="12" t="str">
        <f aca="false">IF(F33="","",IF(F33&lt;=Parâmetros!$B$7,"Faixa 1",IF(F33&lt;=Parâmetros!$B$8,"Faixa 2","Faixa 3")))</f>
        <v/>
      </c>
      <c r="H33" s="12" t="str">
        <f aca="false">IF(G33="","",IF(G33="Faixa 1","Rodízio/Sorteio",IF(G33="Faixa 2","Cotação (≥3 propostas)","Chamada pública")))</f>
        <v/>
      </c>
      <c r="I33" s="11"/>
      <c r="J33" s="17" t="str">
        <f aca="false">IF(I33="","",IFERROR(INDEX(Cadastro!$B$5:$B$304,MATCH(I33,Cadastro!$A$5:$A$304,0)),"ID não encontrado"))</f>
        <v/>
      </c>
      <c r="K33" s="17" t="str">
        <f aca="false">IF(I33="","",IFERROR(INDEX(Cadastro!$E$5:$E$304,MATCH(I33,Cadastro!$A$5:$A$304,0)),""))</f>
        <v/>
      </c>
      <c r="L33" s="17" t="str">
        <f aca="false">IF(I33="","",IFERROR(INDEX(Cadastro!$F$5:$F$304,MATCH(I33,Cadastro!$A$5:$A$304,0)),""))</f>
        <v/>
      </c>
      <c r="M33" s="17" t="str">
        <f aca="false">IF(I33="","",IFERROR(INDEX(Cadastro!$I$5:$I$304,MATCH(I33,Cadastro!$A$5:$A$304,0)),""))</f>
        <v/>
      </c>
      <c r="N33" s="19"/>
      <c r="O33" s="13"/>
      <c r="P33" s="12" t="str">
        <f aca="false">IF(OR(B33="",O33=""),"",NETWORKDAYS(B33,O33)-1)</f>
        <v/>
      </c>
      <c r="Q33" s="13"/>
      <c r="R33" s="11"/>
      <c r="S33" s="13"/>
      <c r="T33" s="11"/>
      <c r="U33" s="11"/>
      <c r="V33" s="11"/>
      <c r="W33" s="11"/>
      <c r="X33" s="11"/>
    </row>
    <row r="34" customFormat="false" ht="15" hidden="false" customHeight="false" outlineLevel="0" collapsed="false">
      <c r="A34" s="11"/>
      <c r="B34" s="13"/>
      <c r="C34" s="11"/>
      <c r="D34" s="11"/>
      <c r="E34" s="11"/>
      <c r="F34" s="19"/>
      <c r="G34" s="12" t="str">
        <f aca="false">IF(F34="","",IF(F34&lt;=Parâmetros!$B$7,"Faixa 1",IF(F34&lt;=Parâmetros!$B$8,"Faixa 2","Faixa 3")))</f>
        <v/>
      </c>
      <c r="H34" s="12" t="str">
        <f aca="false">IF(G34="","",IF(G34="Faixa 1","Rodízio/Sorteio",IF(G34="Faixa 2","Cotação (≥3 propostas)","Chamada pública")))</f>
        <v/>
      </c>
      <c r="I34" s="11"/>
      <c r="J34" s="17" t="str">
        <f aca="false">IF(I34="","",IFERROR(INDEX(Cadastro!$B$5:$B$304,MATCH(I34,Cadastro!$A$5:$A$304,0)),"ID não encontrado"))</f>
        <v/>
      </c>
      <c r="K34" s="17" t="str">
        <f aca="false">IF(I34="","",IFERROR(INDEX(Cadastro!$E$5:$E$304,MATCH(I34,Cadastro!$A$5:$A$304,0)),""))</f>
        <v/>
      </c>
      <c r="L34" s="17" t="str">
        <f aca="false">IF(I34="","",IFERROR(INDEX(Cadastro!$F$5:$F$304,MATCH(I34,Cadastro!$A$5:$A$304,0)),""))</f>
        <v/>
      </c>
      <c r="M34" s="17" t="str">
        <f aca="false">IF(I34="","",IFERROR(INDEX(Cadastro!$I$5:$I$304,MATCH(I34,Cadastro!$A$5:$A$304,0)),""))</f>
        <v/>
      </c>
      <c r="N34" s="19"/>
      <c r="O34" s="13"/>
      <c r="P34" s="12" t="str">
        <f aca="false">IF(OR(B34="",O34=""),"",NETWORKDAYS(B34,O34)-1)</f>
        <v/>
      </c>
      <c r="Q34" s="13"/>
      <c r="R34" s="11"/>
      <c r="S34" s="13"/>
      <c r="T34" s="11"/>
      <c r="U34" s="11"/>
      <c r="V34" s="11"/>
      <c r="W34" s="11"/>
      <c r="X34" s="11"/>
    </row>
    <row r="35" customFormat="false" ht="15" hidden="false" customHeight="false" outlineLevel="0" collapsed="false">
      <c r="A35" s="11"/>
      <c r="B35" s="13"/>
      <c r="C35" s="11"/>
      <c r="D35" s="11"/>
      <c r="E35" s="11"/>
      <c r="F35" s="19"/>
      <c r="G35" s="12" t="str">
        <f aca="false">IF(F35="","",IF(F35&lt;=Parâmetros!$B$7,"Faixa 1",IF(F35&lt;=Parâmetros!$B$8,"Faixa 2","Faixa 3")))</f>
        <v/>
      </c>
      <c r="H35" s="12" t="str">
        <f aca="false">IF(G35="","",IF(G35="Faixa 1","Rodízio/Sorteio",IF(G35="Faixa 2","Cotação (≥3 propostas)","Chamada pública")))</f>
        <v/>
      </c>
      <c r="I35" s="11"/>
      <c r="J35" s="17" t="str">
        <f aca="false">IF(I35="","",IFERROR(INDEX(Cadastro!$B$5:$B$304,MATCH(I35,Cadastro!$A$5:$A$304,0)),"ID não encontrado"))</f>
        <v/>
      </c>
      <c r="K35" s="17" t="str">
        <f aca="false">IF(I35="","",IFERROR(INDEX(Cadastro!$E$5:$E$304,MATCH(I35,Cadastro!$A$5:$A$304,0)),""))</f>
        <v/>
      </c>
      <c r="L35" s="17" t="str">
        <f aca="false">IF(I35="","",IFERROR(INDEX(Cadastro!$F$5:$F$304,MATCH(I35,Cadastro!$A$5:$A$304,0)),""))</f>
        <v/>
      </c>
      <c r="M35" s="17" t="str">
        <f aca="false">IF(I35="","",IFERROR(INDEX(Cadastro!$I$5:$I$304,MATCH(I35,Cadastro!$A$5:$A$304,0)),""))</f>
        <v/>
      </c>
      <c r="N35" s="19"/>
      <c r="O35" s="13"/>
      <c r="P35" s="12" t="str">
        <f aca="false">IF(OR(B35="",O35=""),"",NETWORKDAYS(B35,O35)-1)</f>
        <v/>
      </c>
      <c r="Q35" s="13"/>
      <c r="R35" s="11"/>
      <c r="S35" s="13"/>
      <c r="T35" s="11"/>
      <c r="U35" s="11"/>
      <c r="V35" s="11"/>
      <c r="W35" s="11"/>
      <c r="X35" s="11"/>
    </row>
    <row r="36" customFormat="false" ht="15" hidden="false" customHeight="false" outlineLevel="0" collapsed="false">
      <c r="A36" s="11"/>
      <c r="B36" s="13"/>
      <c r="C36" s="11"/>
      <c r="D36" s="11"/>
      <c r="E36" s="11"/>
      <c r="F36" s="19"/>
      <c r="G36" s="12" t="str">
        <f aca="false">IF(F36="","",IF(F36&lt;=Parâmetros!$B$7,"Faixa 1",IF(F36&lt;=Parâmetros!$B$8,"Faixa 2","Faixa 3")))</f>
        <v/>
      </c>
      <c r="H36" s="12" t="str">
        <f aca="false">IF(G36="","",IF(G36="Faixa 1","Rodízio/Sorteio",IF(G36="Faixa 2","Cotação (≥3 propostas)","Chamada pública")))</f>
        <v/>
      </c>
      <c r="I36" s="11"/>
      <c r="J36" s="17" t="str">
        <f aca="false">IF(I36="","",IFERROR(INDEX(Cadastro!$B$5:$B$304,MATCH(I36,Cadastro!$A$5:$A$304,0)),"ID não encontrado"))</f>
        <v/>
      </c>
      <c r="K36" s="17" t="str">
        <f aca="false">IF(I36="","",IFERROR(INDEX(Cadastro!$E$5:$E$304,MATCH(I36,Cadastro!$A$5:$A$304,0)),""))</f>
        <v/>
      </c>
      <c r="L36" s="17" t="str">
        <f aca="false">IF(I36="","",IFERROR(INDEX(Cadastro!$F$5:$F$304,MATCH(I36,Cadastro!$A$5:$A$304,0)),""))</f>
        <v/>
      </c>
      <c r="M36" s="17" t="str">
        <f aca="false">IF(I36="","",IFERROR(INDEX(Cadastro!$I$5:$I$304,MATCH(I36,Cadastro!$A$5:$A$304,0)),""))</f>
        <v/>
      </c>
      <c r="N36" s="19"/>
      <c r="O36" s="13"/>
      <c r="P36" s="12" t="str">
        <f aca="false">IF(OR(B36="",O36=""),"",NETWORKDAYS(B36,O36)-1)</f>
        <v/>
      </c>
      <c r="Q36" s="13"/>
      <c r="R36" s="11"/>
      <c r="S36" s="13"/>
      <c r="T36" s="11"/>
      <c r="U36" s="11"/>
      <c r="V36" s="11"/>
      <c r="W36" s="11"/>
      <c r="X36" s="11"/>
    </row>
    <row r="37" customFormat="false" ht="15" hidden="false" customHeight="false" outlineLevel="0" collapsed="false">
      <c r="A37" s="11"/>
      <c r="B37" s="13"/>
      <c r="C37" s="11"/>
      <c r="D37" s="11"/>
      <c r="E37" s="11"/>
      <c r="F37" s="19"/>
      <c r="G37" s="12" t="str">
        <f aca="false">IF(F37="","",IF(F37&lt;=Parâmetros!$B$7,"Faixa 1",IF(F37&lt;=Parâmetros!$B$8,"Faixa 2","Faixa 3")))</f>
        <v/>
      </c>
      <c r="H37" s="12" t="str">
        <f aca="false">IF(G37="","",IF(G37="Faixa 1","Rodízio/Sorteio",IF(G37="Faixa 2","Cotação (≥3 propostas)","Chamada pública")))</f>
        <v/>
      </c>
      <c r="I37" s="11"/>
      <c r="J37" s="17" t="str">
        <f aca="false">IF(I37="","",IFERROR(INDEX(Cadastro!$B$5:$B$304,MATCH(I37,Cadastro!$A$5:$A$304,0)),"ID não encontrado"))</f>
        <v/>
      </c>
      <c r="K37" s="17" t="str">
        <f aca="false">IF(I37="","",IFERROR(INDEX(Cadastro!$E$5:$E$304,MATCH(I37,Cadastro!$A$5:$A$304,0)),""))</f>
        <v/>
      </c>
      <c r="L37" s="17" t="str">
        <f aca="false">IF(I37="","",IFERROR(INDEX(Cadastro!$F$5:$F$304,MATCH(I37,Cadastro!$A$5:$A$304,0)),""))</f>
        <v/>
      </c>
      <c r="M37" s="17" t="str">
        <f aca="false">IF(I37="","",IFERROR(INDEX(Cadastro!$I$5:$I$304,MATCH(I37,Cadastro!$A$5:$A$304,0)),""))</f>
        <v/>
      </c>
      <c r="N37" s="19"/>
      <c r="O37" s="13"/>
      <c r="P37" s="12" t="str">
        <f aca="false">IF(OR(B37="",O37=""),"",NETWORKDAYS(B37,O37)-1)</f>
        <v/>
      </c>
      <c r="Q37" s="13"/>
      <c r="R37" s="11"/>
      <c r="S37" s="13"/>
      <c r="T37" s="11"/>
      <c r="U37" s="11"/>
      <c r="V37" s="11"/>
      <c r="W37" s="11"/>
      <c r="X37" s="11"/>
    </row>
    <row r="38" customFormat="false" ht="15" hidden="false" customHeight="false" outlineLevel="0" collapsed="false">
      <c r="A38" s="11"/>
      <c r="B38" s="13"/>
      <c r="C38" s="11"/>
      <c r="D38" s="11"/>
      <c r="E38" s="11"/>
      <c r="F38" s="19"/>
      <c r="G38" s="12" t="str">
        <f aca="false">IF(F38="","",IF(F38&lt;=Parâmetros!$B$7,"Faixa 1",IF(F38&lt;=Parâmetros!$B$8,"Faixa 2","Faixa 3")))</f>
        <v/>
      </c>
      <c r="H38" s="12" t="str">
        <f aca="false">IF(G38="","",IF(G38="Faixa 1","Rodízio/Sorteio",IF(G38="Faixa 2","Cotação (≥3 propostas)","Chamada pública")))</f>
        <v/>
      </c>
      <c r="I38" s="11"/>
      <c r="J38" s="17" t="str">
        <f aca="false">IF(I38="","",IFERROR(INDEX(Cadastro!$B$5:$B$304,MATCH(I38,Cadastro!$A$5:$A$304,0)),"ID não encontrado"))</f>
        <v/>
      </c>
      <c r="K38" s="17" t="str">
        <f aca="false">IF(I38="","",IFERROR(INDEX(Cadastro!$E$5:$E$304,MATCH(I38,Cadastro!$A$5:$A$304,0)),""))</f>
        <v/>
      </c>
      <c r="L38" s="17" t="str">
        <f aca="false">IF(I38="","",IFERROR(INDEX(Cadastro!$F$5:$F$304,MATCH(I38,Cadastro!$A$5:$A$304,0)),""))</f>
        <v/>
      </c>
      <c r="M38" s="17" t="str">
        <f aca="false">IF(I38="","",IFERROR(INDEX(Cadastro!$I$5:$I$304,MATCH(I38,Cadastro!$A$5:$A$304,0)),""))</f>
        <v/>
      </c>
      <c r="N38" s="19"/>
      <c r="O38" s="13"/>
      <c r="P38" s="12" t="str">
        <f aca="false">IF(OR(B38="",O38=""),"",NETWORKDAYS(B38,O38)-1)</f>
        <v/>
      </c>
      <c r="Q38" s="13"/>
      <c r="R38" s="11"/>
      <c r="S38" s="13"/>
      <c r="T38" s="11"/>
      <c r="U38" s="11"/>
      <c r="V38" s="11"/>
      <c r="W38" s="11"/>
      <c r="X38" s="11"/>
    </row>
    <row r="39" customFormat="false" ht="15" hidden="false" customHeight="false" outlineLevel="0" collapsed="false">
      <c r="A39" s="11"/>
      <c r="B39" s="13"/>
      <c r="C39" s="11"/>
      <c r="D39" s="11"/>
      <c r="E39" s="11"/>
      <c r="F39" s="19"/>
      <c r="G39" s="12" t="str">
        <f aca="false">IF(F39="","",IF(F39&lt;=Parâmetros!$B$7,"Faixa 1",IF(F39&lt;=Parâmetros!$B$8,"Faixa 2","Faixa 3")))</f>
        <v/>
      </c>
      <c r="H39" s="12" t="str">
        <f aca="false">IF(G39="","",IF(G39="Faixa 1","Rodízio/Sorteio",IF(G39="Faixa 2","Cotação (≥3 propostas)","Chamada pública")))</f>
        <v/>
      </c>
      <c r="I39" s="11"/>
      <c r="J39" s="17" t="str">
        <f aca="false">IF(I39="","",IFERROR(INDEX(Cadastro!$B$5:$B$304,MATCH(I39,Cadastro!$A$5:$A$304,0)),"ID não encontrado"))</f>
        <v/>
      </c>
      <c r="K39" s="17" t="str">
        <f aca="false">IF(I39="","",IFERROR(INDEX(Cadastro!$E$5:$E$304,MATCH(I39,Cadastro!$A$5:$A$304,0)),""))</f>
        <v/>
      </c>
      <c r="L39" s="17" t="str">
        <f aca="false">IF(I39="","",IFERROR(INDEX(Cadastro!$F$5:$F$304,MATCH(I39,Cadastro!$A$5:$A$304,0)),""))</f>
        <v/>
      </c>
      <c r="M39" s="17" t="str">
        <f aca="false">IF(I39="","",IFERROR(INDEX(Cadastro!$I$5:$I$304,MATCH(I39,Cadastro!$A$5:$A$304,0)),""))</f>
        <v/>
      </c>
      <c r="N39" s="19"/>
      <c r="O39" s="13"/>
      <c r="P39" s="12" t="str">
        <f aca="false">IF(OR(B39="",O39=""),"",NETWORKDAYS(B39,O39)-1)</f>
        <v/>
      </c>
      <c r="Q39" s="13"/>
      <c r="R39" s="11"/>
      <c r="S39" s="13"/>
      <c r="T39" s="11"/>
      <c r="U39" s="11"/>
      <c r="V39" s="11"/>
      <c r="W39" s="11"/>
      <c r="X39" s="11"/>
    </row>
    <row r="40" customFormat="false" ht="15" hidden="false" customHeight="false" outlineLevel="0" collapsed="false">
      <c r="A40" s="11"/>
      <c r="B40" s="13"/>
      <c r="C40" s="11"/>
      <c r="D40" s="11"/>
      <c r="E40" s="11"/>
      <c r="F40" s="19"/>
      <c r="G40" s="12" t="str">
        <f aca="false">IF(F40="","",IF(F40&lt;=Parâmetros!$B$7,"Faixa 1",IF(F40&lt;=Parâmetros!$B$8,"Faixa 2","Faixa 3")))</f>
        <v/>
      </c>
      <c r="H40" s="12" t="str">
        <f aca="false">IF(G40="","",IF(G40="Faixa 1","Rodízio/Sorteio",IF(G40="Faixa 2","Cotação (≥3 propostas)","Chamada pública")))</f>
        <v/>
      </c>
      <c r="I40" s="11"/>
      <c r="J40" s="17" t="str">
        <f aca="false">IF(I40="","",IFERROR(INDEX(Cadastro!$B$5:$B$304,MATCH(I40,Cadastro!$A$5:$A$304,0)),"ID não encontrado"))</f>
        <v/>
      </c>
      <c r="K40" s="17" t="str">
        <f aca="false">IF(I40="","",IFERROR(INDEX(Cadastro!$E$5:$E$304,MATCH(I40,Cadastro!$A$5:$A$304,0)),""))</f>
        <v/>
      </c>
      <c r="L40" s="17" t="str">
        <f aca="false">IF(I40="","",IFERROR(INDEX(Cadastro!$F$5:$F$304,MATCH(I40,Cadastro!$A$5:$A$304,0)),""))</f>
        <v/>
      </c>
      <c r="M40" s="17" t="str">
        <f aca="false">IF(I40="","",IFERROR(INDEX(Cadastro!$I$5:$I$304,MATCH(I40,Cadastro!$A$5:$A$304,0)),""))</f>
        <v/>
      </c>
      <c r="N40" s="19"/>
      <c r="O40" s="13"/>
      <c r="P40" s="12" t="str">
        <f aca="false">IF(OR(B40="",O40=""),"",NETWORKDAYS(B40,O40)-1)</f>
        <v/>
      </c>
      <c r="Q40" s="13"/>
      <c r="R40" s="11"/>
      <c r="S40" s="13"/>
      <c r="T40" s="11"/>
      <c r="U40" s="11"/>
      <c r="V40" s="11"/>
      <c r="W40" s="11"/>
      <c r="X40" s="11"/>
    </row>
    <row r="41" customFormat="false" ht="15" hidden="false" customHeight="false" outlineLevel="0" collapsed="false">
      <c r="A41" s="11"/>
      <c r="B41" s="13"/>
      <c r="C41" s="11"/>
      <c r="D41" s="11"/>
      <c r="E41" s="11"/>
      <c r="F41" s="19"/>
      <c r="G41" s="12" t="str">
        <f aca="false">IF(F41="","",IF(F41&lt;=Parâmetros!$B$7,"Faixa 1",IF(F41&lt;=Parâmetros!$B$8,"Faixa 2","Faixa 3")))</f>
        <v/>
      </c>
      <c r="H41" s="12" t="str">
        <f aca="false">IF(G41="","",IF(G41="Faixa 1","Rodízio/Sorteio",IF(G41="Faixa 2","Cotação (≥3 propostas)","Chamada pública")))</f>
        <v/>
      </c>
      <c r="I41" s="11"/>
      <c r="J41" s="17" t="str">
        <f aca="false">IF(I41="","",IFERROR(INDEX(Cadastro!$B$5:$B$304,MATCH(I41,Cadastro!$A$5:$A$304,0)),"ID não encontrado"))</f>
        <v/>
      </c>
      <c r="K41" s="17" t="str">
        <f aca="false">IF(I41="","",IFERROR(INDEX(Cadastro!$E$5:$E$304,MATCH(I41,Cadastro!$A$5:$A$304,0)),""))</f>
        <v/>
      </c>
      <c r="L41" s="17" t="str">
        <f aca="false">IF(I41="","",IFERROR(INDEX(Cadastro!$F$5:$F$304,MATCH(I41,Cadastro!$A$5:$A$304,0)),""))</f>
        <v/>
      </c>
      <c r="M41" s="17" t="str">
        <f aca="false">IF(I41="","",IFERROR(INDEX(Cadastro!$I$5:$I$304,MATCH(I41,Cadastro!$A$5:$A$304,0)),""))</f>
        <v/>
      </c>
      <c r="N41" s="19"/>
      <c r="O41" s="13"/>
      <c r="P41" s="12" t="str">
        <f aca="false">IF(OR(B41="",O41=""),"",NETWORKDAYS(B41,O41)-1)</f>
        <v/>
      </c>
      <c r="Q41" s="13"/>
      <c r="R41" s="11"/>
      <c r="S41" s="13"/>
      <c r="T41" s="11"/>
      <c r="U41" s="11"/>
      <c r="V41" s="11"/>
      <c r="W41" s="11"/>
      <c r="X41" s="11"/>
    </row>
    <row r="42" customFormat="false" ht="15" hidden="false" customHeight="false" outlineLevel="0" collapsed="false">
      <c r="A42" s="11"/>
      <c r="B42" s="13"/>
      <c r="C42" s="11"/>
      <c r="D42" s="11"/>
      <c r="E42" s="11"/>
      <c r="F42" s="19"/>
      <c r="G42" s="12" t="str">
        <f aca="false">IF(F42="","",IF(F42&lt;=Parâmetros!$B$7,"Faixa 1",IF(F42&lt;=Parâmetros!$B$8,"Faixa 2","Faixa 3")))</f>
        <v/>
      </c>
      <c r="H42" s="12" t="str">
        <f aca="false">IF(G42="","",IF(G42="Faixa 1","Rodízio/Sorteio",IF(G42="Faixa 2","Cotação (≥3 propostas)","Chamada pública")))</f>
        <v/>
      </c>
      <c r="I42" s="11"/>
      <c r="J42" s="17" t="str">
        <f aca="false">IF(I42="","",IFERROR(INDEX(Cadastro!$B$5:$B$304,MATCH(I42,Cadastro!$A$5:$A$304,0)),"ID não encontrado"))</f>
        <v/>
      </c>
      <c r="K42" s="17" t="str">
        <f aca="false">IF(I42="","",IFERROR(INDEX(Cadastro!$E$5:$E$304,MATCH(I42,Cadastro!$A$5:$A$304,0)),""))</f>
        <v/>
      </c>
      <c r="L42" s="17" t="str">
        <f aca="false">IF(I42="","",IFERROR(INDEX(Cadastro!$F$5:$F$304,MATCH(I42,Cadastro!$A$5:$A$304,0)),""))</f>
        <v/>
      </c>
      <c r="M42" s="17" t="str">
        <f aca="false">IF(I42="","",IFERROR(INDEX(Cadastro!$I$5:$I$304,MATCH(I42,Cadastro!$A$5:$A$304,0)),""))</f>
        <v/>
      </c>
      <c r="N42" s="19"/>
      <c r="O42" s="13"/>
      <c r="P42" s="12" t="str">
        <f aca="false">IF(OR(B42="",O42=""),"",NETWORKDAYS(B42,O42)-1)</f>
        <v/>
      </c>
      <c r="Q42" s="13"/>
      <c r="R42" s="11"/>
      <c r="S42" s="13"/>
      <c r="T42" s="11"/>
      <c r="U42" s="11"/>
      <c r="V42" s="11"/>
      <c r="W42" s="11"/>
      <c r="X42" s="11"/>
    </row>
    <row r="43" customFormat="false" ht="15" hidden="false" customHeight="false" outlineLevel="0" collapsed="false">
      <c r="A43" s="11"/>
      <c r="B43" s="13"/>
      <c r="C43" s="11"/>
      <c r="D43" s="11"/>
      <c r="E43" s="11"/>
      <c r="F43" s="19"/>
      <c r="G43" s="12" t="str">
        <f aca="false">IF(F43="","",IF(F43&lt;=Parâmetros!$B$7,"Faixa 1",IF(F43&lt;=Parâmetros!$B$8,"Faixa 2","Faixa 3")))</f>
        <v/>
      </c>
      <c r="H43" s="12" t="str">
        <f aca="false">IF(G43="","",IF(G43="Faixa 1","Rodízio/Sorteio",IF(G43="Faixa 2","Cotação (≥3 propostas)","Chamada pública")))</f>
        <v/>
      </c>
      <c r="I43" s="11"/>
      <c r="J43" s="17" t="str">
        <f aca="false">IF(I43="","",IFERROR(INDEX(Cadastro!$B$5:$B$304,MATCH(I43,Cadastro!$A$5:$A$304,0)),"ID não encontrado"))</f>
        <v/>
      </c>
      <c r="K43" s="17" t="str">
        <f aca="false">IF(I43="","",IFERROR(INDEX(Cadastro!$E$5:$E$304,MATCH(I43,Cadastro!$A$5:$A$304,0)),""))</f>
        <v/>
      </c>
      <c r="L43" s="17" t="str">
        <f aca="false">IF(I43="","",IFERROR(INDEX(Cadastro!$F$5:$F$304,MATCH(I43,Cadastro!$A$5:$A$304,0)),""))</f>
        <v/>
      </c>
      <c r="M43" s="17" t="str">
        <f aca="false">IF(I43="","",IFERROR(INDEX(Cadastro!$I$5:$I$304,MATCH(I43,Cadastro!$A$5:$A$304,0)),""))</f>
        <v/>
      </c>
      <c r="N43" s="19"/>
      <c r="O43" s="13"/>
      <c r="P43" s="12" t="str">
        <f aca="false">IF(OR(B43="",O43=""),"",NETWORKDAYS(B43,O43)-1)</f>
        <v/>
      </c>
      <c r="Q43" s="13"/>
      <c r="R43" s="11"/>
      <c r="S43" s="13"/>
      <c r="T43" s="11"/>
      <c r="U43" s="11"/>
      <c r="V43" s="11"/>
      <c r="W43" s="11"/>
      <c r="X43" s="11"/>
    </row>
    <row r="44" customFormat="false" ht="15" hidden="false" customHeight="false" outlineLevel="0" collapsed="false">
      <c r="A44" s="11"/>
      <c r="B44" s="13"/>
      <c r="C44" s="11"/>
      <c r="D44" s="11"/>
      <c r="E44" s="11"/>
      <c r="F44" s="19"/>
      <c r="G44" s="12" t="str">
        <f aca="false">IF(F44="","",IF(F44&lt;=Parâmetros!$B$7,"Faixa 1",IF(F44&lt;=Parâmetros!$B$8,"Faixa 2","Faixa 3")))</f>
        <v/>
      </c>
      <c r="H44" s="12" t="str">
        <f aca="false">IF(G44="","",IF(G44="Faixa 1","Rodízio/Sorteio",IF(G44="Faixa 2","Cotação (≥3 propostas)","Chamada pública")))</f>
        <v/>
      </c>
      <c r="I44" s="11"/>
      <c r="J44" s="17" t="str">
        <f aca="false">IF(I44="","",IFERROR(INDEX(Cadastro!$B$5:$B$304,MATCH(I44,Cadastro!$A$5:$A$304,0)),"ID não encontrado"))</f>
        <v/>
      </c>
      <c r="K44" s="17" t="str">
        <f aca="false">IF(I44="","",IFERROR(INDEX(Cadastro!$E$5:$E$304,MATCH(I44,Cadastro!$A$5:$A$304,0)),""))</f>
        <v/>
      </c>
      <c r="L44" s="17" t="str">
        <f aca="false">IF(I44="","",IFERROR(INDEX(Cadastro!$F$5:$F$304,MATCH(I44,Cadastro!$A$5:$A$304,0)),""))</f>
        <v/>
      </c>
      <c r="M44" s="17" t="str">
        <f aca="false">IF(I44="","",IFERROR(INDEX(Cadastro!$I$5:$I$304,MATCH(I44,Cadastro!$A$5:$A$304,0)),""))</f>
        <v/>
      </c>
      <c r="N44" s="19"/>
      <c r="O44" s="13"/>
      <c r="P44" s="12" t="str">
        <f aca="false">IF(OR(B44="",O44=""),"",NETWORKDAYS(B44,O44)-1)</f>
        <v/>
      </c>
      <c r="Q44" s="13"/>
      <c r="R44" s="11"/>
      <c r="S44" s="13"/>
      <c r="T44" s="11"/>
      <c r="U44" s="11"/>
      <c r="V44" s="11"/>
      <c r="W44" s="11"/>
      <c r="X44" s="11"/>
    </row>
    <row r="45" customFormat="false" ht="15" hidden="false" customHeight="false" outlineLevel="0" collapsed="false">
      <c r="A45" s="11"/>
      <c r="B45" s="13"/>
      <c r="C45" s="11"/>
      <c r="D45" s="11"/>
      <c r="E45" s="11"/>
      <c r="F45" s="19"/>
      <c r="G45" s="12" t="str">
        <f aca="false">IF(F45="","",IF(F45&lt;=Parâmetros!$B$7,"Faixa 1",IF(F45&lt;=Parâmetros!$B$8,"Faixa 2","Faixa 3")))</f>
        <v/>
      </c>
      <c r="H45" s="12" t="str">
        <f aca="false">IF(G45="","",IF(G45="Faixa 1","Rodízio/Sorteio",IF(G45="Faixa 2","Cotação (≥3 propostas)","Chamada pública")))</f>
        <v/>
      </c>
      <c r="I45" s="11"/>
      <c r="J45" s="17" t="str">
        <f aca="false">IF(I45="","",IFERROR(INDEX(Cadastro!$B$5:$B$304,MATCH(I45,Cadastro!$A$5:$A$304,0)),"ID não encontrado"))</f>
        <v/>
      </c>
      <c r="K45" s="17" t="str">
        <f aca="false">IF(I45="","",IFERROR(INDEX(Cadastro!$E$5:$E$304,MATCH(I45,Cadastro!$A$5:$A$304,0)),""))</f>
        <v/>
      </c>
      <c r="L45" s="17" t="str">
        <f aca="false">IF(I45="","",IFERROR(INDEX(Cadastro!$F$5:$F$304,MATCH(I45,Cadastro!$A$5:$A$304,0)),""))</f>
        <v/>
      </c>
      <c r="M45" s="17" t="str">
        <f aca="false">IF(I45="","",IFERROR(INDEX(Cadastro!$I$5:$I$304,MATCH(I45,Cadastro!$A$5:$A$304,0)),""))</f>
        <v/>
      </c>
      <c r="N45" s="19"/>
      <c r="O45" s="13"/>
      <c r="P45" s="12" t="str">
        <f aca="false">IF(OR(B45="",O45=""),"",NETWORKDAYS(B45,O45)-1)</f>
        <v/>
      </c>
      <c r="Q45" s="13"/>
      <c r="R45" s="11"/>
      <c r="S45" s="13"/>
      <c r="T45" s="11"/>
      <c r="U45" s="11"/>
      <c r="V45" s="11"/>
      <c r="W45" s="11"/>
      <c r="X45" s="11"/>
    </row>
    <row r="46" customFormat="false" ht="15" hidden="false" customHeight="false" outlineLevel="0" collapsed="false">
      <c r="A46" s="11"/>
      <c r="B46" s="13"/>
      <c r="C46" s="11"/>
      <c r="D46" s="11"/>
      <c r="E46" s="11"/>
      <c r="F46" s="19"/>
      <c r="G46" s="12" t="str">
        <f aca="false">IF(F46="","",IF(F46&lt;=Parâmetros!$B$7,"Faixa 1",IF(F46&lt;=Parâmetros!$B$8,"Faixa 2","Faixa 3")))</f>
        <v/>
      </c>
      <c r="H46" s="12" t="str">
        <f aca="false">IF(G46="","",IF(G46="Faixa 1","Rodízio/Sorteio",IF(G46="Faixa 2","Cotação (≥3 propostas)","Chamada pública")))</f>
        <v/>
      </c>
      <c r="I46" s="11"/>
      <c r="J46" s="17" t="str">
        <f aca="false">IF(I46="","",IFERROR(INDEX(Cadastro!$B$5:$B$304,MATCH(I46,Cadastro!$A$5:$A$304,0)),"ID não encontrado"))</f>
        <v/>
      </c>
      <c r="K46" s="17" t="str">
        <f aca="false">IF(I46="","",IFERROR(INDEX(Cadastro!$E$5:$E$304,MATCH(I46,Cadastro!$A$5:$A$304,0)),""))</f>
        <v/>
      </c>
      <c r="L46" s="17" t="str">
        <f aca="false">IF(I46="","",IFERROR(INDEX(Cadastro!$F$5:$F$304,MATCH(I46,Cadastro!$A$5:$A$304,0)),""))</f>
        <v/>
      </c>
      <c r="M46" s="17" t="str">
        <f aca="false">IF(I46="","",IFERROR(INDEX(Cadastro!$I$5:$I$304,MATCH(I46,Cadastro!$A$5:$A$304,0)),""))</f>
        <v/>
      </c>
      <c r="N46" s="19"/>
      <c r="O46" s="13"/>
      <c r="P46" s="12" t="str">
        <f aca="false">IF(OR(B46="",O46=""),"",NETWORKDAYS(B46,O46)-1)</f>
        <v/>
      </c>
      <c r="Q46" s="13"/>
      <c r="R46" s="11"/>
      <c r="S46" s="13"/>
      <c r="T46" s="11"/>
      <c r="U46" s="11"/>
      <c r="V46" s="11"/>
      <c r="W46" s="11"/>
      <c r="X46" s="11"/>
    </row>
    <row r="47" customFormat="false" ht="15" hidden="false" customHeight="false" outlineLevel="0" collapsed="false">
      <c r="A47" s="11"/>
      <c r="B47" s="13"/>
      <c r="C47" s="11"/>
      <c r="D47" s="11"/>
      <c r="E47" s="11"/>
      <c r="F47" s="19"/>
      <c r="G47" s="12" t="str">
        <f aca="false">IF(F47="","",IF(F47&lt;=Parâmetros!$B$7,"Faixa 1",IF(F47&lt;=Parâmetros!$B$8,"Faixa 2","Faixa 3")))</f>
        <v/>
      </c>
      <c r="H47" s="12" t="str">
        <f aca="false">IF(G47="","",IF(G47="Faixa 1","Rodízio/Sorteio",IF(G47="Faixa 2","Cotação (≥3 propostas)","Chamada pública")))</f>
        <v/>
      </c>
      <c r="I47" s="11"/>
      <c r="J47" s="17" t="str">
        <f aca="false">IF(I47="","",IFERROR(INDEX(Cadastro!$B$5:$B$304,MATCH(I47,Cadastro!$A$5:$A$304,0)),"ID não encontrado"))</f>
        <v/>
      </c>
      <c r="K47" s="17" t="str">
        <f aca="false">IF(I47="","",IFERROR(INDEX(Cadastro!$E$5:$E$304,MATCH(I47,Cadastro!$A$5:$A$304,0)),""))</f>
        <v/>
      </c>
      <c r="L47" s="17" t="str">
        <f aca="false">IF(I47="","",IFERROR(INDEX(Cadastro!$F$5:$F$304,MATCH(I47,Cadastro!$A$5:$A$304,0)),""))</f>
        <v/>
      </c>
      <c r="M47" s="17" t="str">
        <f aca="false">IF(I47="","",IFERROR(INDEX(Cadastro!$I$5:$I$304,MATCH(I47,Cadastro!$A$5:$A$304,0)),""))</f>
        <v/>
      </c>
      <c r="N47" s="19"/>
      <c r="O47" s="13"/>
      <c r="P47" s="12" t="str">
        <f aca="false">IF(OR(B47="",O47=""),"",NETWORKDAYS(B47,O47)-1)</f>
        <v/>
      </c>
      <c r="Q47" s="13"/>
      <c r="R47" s="11"/>
      <c r="S47" s="13"/>
      <c r="T47" s="11"/>
      <c r="U47" s="11"/>
      <c r="V47" s="11"/>
      <c r="W47" s="11"/>
      <c r="X47" s="11"/>
    </row>
    <row r="48" customFormat="false" ht="15" hidden="false" customHeight="false" outlineLevel="0" collapsed="false">
      <c r="A48" s="11"/>
      <c r="B48" s="13"/>
      <c r="C48" s="11"/>
      <c r="D48" s="11"/>
      <c r="E48" s="11"/>
      <c r="F48" s="19"/>
      <c r="G48" s="12" t="str">
        <f aca="false">IF(F48="","",IF(F48&lt;=Parâmetros!$B$7,"Faixa 1",IF(F48&lt;=Parâmetros!$B$8,"Faixa 2","Faixa 3")))</f>
        <v/>
      </c>
      <c r="H48" s="12" t="str">
        <f aca="false">IF(G48="","",IF(G48="Faixa 1","Rodízio/Sorteio",IF(G48="Faixa 2","Cotação (≥3 propostas)","Chamada pública")))</f>
        <v/>
      </c>
      <c r="I48" s="11"/>
      <c r="J48" s="17" t="str">
        <f aca="false">IF(I48="","",IFERROR(INDEX(Cadastro!$B$5:$B$304,MATCH(I48,Cadastro!$A$5:$A$304,0)),"ID não encontrado"))</f>
        <v/>
      </c>
      <c r="K48" s="17" t="str">
        <f aca="false">IF(I48="","",IFERROR(INDEX(Cadastro!$E$5:$E$304,MATCH(I48,Cadastro!$A$5:$A$304,0)),""))</f>
        <v/>
      </c>
      <c r="L48" s="17" t="str">
        <f aca="false">IF(I48="","",IFERROR(INDEX(Cadastro!$F$5:$F$304,MATCH(I48,Cadastro!$A$5:$A$304,0)),""))</f>
        <v/>
      </c>
      <c r="M48" s="17" t="str">
        <f aca="false">IF(I48="","",IFERROR(INDEX(Cadastro!$I$5:$I$304,MATCH(I48,Cadastro!$A$5:$A$304,0)),""))</f>
        <v/>
      </c>
      <c r="N48" s="19"/>
      <c r="O48" s="13"/>
      <c r="P48" s="12" t="str">
        <f aca="false">IF(OR(B48="",O48=""),"",NETWORKDAYS(B48,O48)-1)</f>
        <v/>
      </c>
      <c r="Q48" s="13"/>
      <c r="R48" s="11"/>
      <c r="S48" s="13"/>
      <c r="T48" s="11"/>
      <c r="U48" s="11"/>
      <c r="V48" s="11"/>
      <c r="W48" s="11"/>
      <c r="X48" s="11"/>
    </row>
    <row r="49" customFormat="false" ht="15" hidden="false" customHeight="false" outlineLevel="0" collapsed="false">
      <c r="A49" s="11"/>
      <c r="B49" s="13"/>
      <c r="C49" s="11"/>
      <c r="D49" s="11"/>
      <c r="E49" s="11"/>
      <c r="F49" s="19"/>
      <c r="G49" s="12" t="str">
        <f aca="false">IF(F49="","",IF(F49&lt;=Parâmetros!$B$7,"Faixa 1",IF(F49&lt;=Parâmetros!$B$8,"Faixa 2","Faixa 3")))</f>
        <v/>
      </c>
      <c r="H49" s="12" t="str">
        <f aca="false">IF(G49="","",IF(G49="Faixa 1","Rodízio/Sorteio",IF(G49="Faixa 2","Cotação (≥3 propostas)","Chamada pública")))</f>
        <v/>
      </c>
      <c r="I49" s="11"/>
      <c r="J49" s="17" t="str">
        <f aca="false">IF(I49="","",IFERROR(INDEX(Cadastro!$B$5:$B$304,MATCH(I49,Cadastro!$A$5:$A$304,0)),"ID não encontrado"))</f>
        <v/>
      </c>
      <c r="K49" s="17" t="str">
        <f aca="false">IF(I49="","",IFERROR(INDEX(Cadastro!$E$5:$E$304,MATCH(I49,Cadastro!$A$5:$A$304,0)),""))</f>
        <v/>
      </c>
      <c r="L49" s="17" t="str">
        <f aca="false">IF(I49="","",IFERROR(INDEX(Cadastro!$F$5:$F$304,MATCH(I49,Cadastro!$A$5:$A$304,0)),""))</f>
        <v/>
      </c>
      <c r="M49" s="17" t="str">
        <f aca="false">IF(I49="","",IFERROR(INDEX(Cadastro!$I$5:$I$304,MATCH(I49,Cadastro!$A$5:$A$304,0)),""))</f>
        <v/>
      </c>
      <c r="N49" s="19"/>
      <c r="O49" s="13"/>
      <c r="P49" s="12" t="str">
        <f aca="false">IF(OR(B49="",O49=""),"",NETWORKDAYS(B49,O49)-1)</f>
        <v/>
      </c>
      <c r="Q49" s="13"/>
      <c r="R49" s="11"/>
      <c r="S49" s="13"/>
      <c r="T49" s="11"/>
      <c r="U49" s="11"/>
      <c r="V49" s="11"/>
      <c r="W49" s="11"/>
      <c r="X49" s="11"/>
    </row>
    <row r="50" customFormat="false" ht="15" hidden="false" customHeight="false" outlineLevel="0" collapsed="false">
      <c r="A50" s="11"/>
      <c r="B50" s="13"/>
      <c r="C50" s="11"/>
      <c r="D50" s="11"/>
      <c r="E50" s="11"/>
      <c r="F50" s="19"/>
      <c r="G50" s="12" t="str">
        <f aca="false">IF(F50="","",IF(F50&lt;=Parâmetros!$B$7,"Faixa 1",IF(F50&lt;=Parâmetros!$B$8,"Faixa 2","Faixa 3")))</f>
        <v/>
      </c>
      <c r="H50" s="12" t="str">
        <f aca="false">IF(G50="","",IF(G50="Faixa 1","Rodízio/Sorteio",IF(G50="Faixa 2","Cotação (≥3 propostas)","Chamada pública")))</f>
        <v/>
      </c>
      <c r="I50" s="11"/>
      <c r="J50" s="17" t="str">
        <f aca="false">IF(I50="","",IFERROR(INDEX(Cadastro!$B$5:$B$304,MATCH(I50,Cadastro!$A$5:$A$304,0)),"ID não encontrado"))</f>
        <v/>
      </c>
      <c r="K50" s="17" t="str">
        <f aca="false">IF(I50="","",IFERROR(INDEX(Cadastro!$E$5:$E$304,MATCH(I50,Cadastro!$A$5:$A$304,0)),""))</f>
        <v/>
      </c>
      <c r="L50" s="17" t="str">
        <f aca="false">IF(I50="","",IFERROR(INDEX(Cadastro!$F$5:$F$304,MATCH(I50,Cadastro!$A$5:$A$304,0)),""))</f>
        <v/>
      </c>
      <c r="M50" s="17" t="str">
        <f aca="false">IF(I50="","",IFERROR(INDEX(Cadastro!$I$5:$I$304,MATCH(I50,Cadastro!$A$5:$A$304,0)),""))</f>
        <v/>
      </c>
      <c r="N50" s="19"/>
      <c r="O50" s="13"/>
      <c r="P50" s="12" t="str">
        <f aca="false">IF(OR(B50="",O50=""),"",NETWORKDAYS(B50,O50)-1)</f>
        <v/>
      </c>
      <c r="Q50" s="13"/>
      <c r="R50" s="11"/>
      <c r="S50" s="13"/>
      <c r="T50" s="11"/>
      <c r="U50" s="11"/>
      <c r="V50" s="11"/>
      <c r="W50" s="11"/>
      <c r="X50" s="11"/>
    </row>
    <row r="51" customFormat="false" ht="15" hidden="false" customHeight="false" outlineLevel="0" collapsed="false">
      <c r="A51" s="11"/>
      <c r="B51" s="13"/>
      <c r="C51" s="11"/>
      <c r="D51" s="11"/>
      <c r="E51" s="11"/>
      <c r="F51" s="19"/>
      <c r="G51" s="12" t="str">
        <f aca="false">IF(F51="","",IF(F51&lt;=Parâmetros!$B$7,"Faixa 1",IF(F51&lt;=Parâmetros!$B$8,"Faixa 2","Faixa 3")))</f>
        <v/>
      </c>
      <c r="H51" s="12" t="str">
        <f aca="false">IF(G51="","",IF(G51="Faixa 1","Rodízio/Sorteio",IF(G51="Faixa 2","Cotação (≥3 propostas)","Chamada pública")))</f>
        <v/>
      </c>
      <c r="I51" s="11"/>
      <c r="J51" s="17" t="str">
        <f aca="false">IF(I51="","",IFERROR(INDEX(Cadastro!$B$5:$B$304,MATCH(I51,Cadastro!$A$5:$A$304,0)),"ID não encontrado"))</f>
        <v/>
      </c>
      <c r="K51" s="17" t="str">
        <f aca="false">IF(I51="","",IFERROR(INDEX(Cadastro!$E$5:$E$304,MATCH(I51,Cadastro!$A$5:$A$304,0)),""))</f>
        <v/>
      </c>
      <c r="L51" s="17" t="str">
        <f aca="false">IF(I51="","",IFERROR(INDEX(Cadastro!$F$5:$F$304,MATCH(I51,Cadastro!$A$5:$A$304,0)),""))</f>
        <v/>
      </c>
      <c r="M51" s="17" t="str">
        <f aca="false">IF(I51="","",IFERROR(INDEX(Cadastro!$I$5:$I$304,MATCH(I51,Cadastro!$A$5:$A$304,0)),""))</f>
        <v/>
      </c>
      <c r="N51" s="19"/>
      <c r="O51" s="13"/>
      <c r="P51" s="12" t="str">
        <f aca="false">IF(OR(B51="",O51=""),"",NETWORKDAYS(B51,O51)-1)</f>
        <v/>
      </c>
      <c r="Q51" s="13"/>
      <c r="R51" s="11"/>
      <c r="S51" s="13"/>
      <c r="T51" s="11"/>
      <c r="U51" s="11"/>
      <c r="V51" s="11"/>
      <c r="W51" s="11"/>
      <c r="X51" s="11"/>
    </row>
    <row r="52" customFormat="false" ht="15" hidden="false" customHeight="false" outlineLevel="0" collapsed="false">
      <c r="A52" s="11"/>
      <c r="B52" s="13"/>
      <c r="C52" s="11"/>
      <c r="D52" s="11"/>
      <c r="E52" s="11"/>
      <c r="F52" s="19"/>
      <c r="G52" s="12" t="str">
        <f aca="false">IF(F52="","",IF(F52&lt;=Parâmetros!$B$7,"Faixa 1",IF(F52&lt;=Parâmetros!$B$8,"Faixa 2","Faixa 3")))</f>
        <v/>
      </c>
      <c r="H52" s="12" t="str">
        <f aca="false">IF(G52="","",IF(G52="Faixa 1","Rodízio/Sorteio",IF(G52="Faixa 2","Cotação (≥3 propostas)","Chamada pública")))</f>
        <v/>
      </c>
      <c r="I52" s="11"/>
      <c r="J52" s="17" t="str">
        <f aca="false">IF(I52="","",IFERROR(INDEX(Cadastro!$B$5:$B$304,MATCH(I52,Cadastro!$A$5:$A$304,0)),"ID não encontrado"))</f>
        <v/>
      </c>
      <c r="K52" s="17" t="str">
        <f aca="false">IF(I52="","",IFERROR(INDEX(Cadastro!$E$5:$E$304,MATCH(I52,Cadastro!$A$5:$A$304,0)),""))</f>
        <v/>
      </c>
      <c r="L52" s="17" t="str">
        <f aca="false">IF(I52="","",IFERROR(INDEX(Cadastro!$F$5:$F$304,MATCH(I52,Cadastro!$A$5:$A$304,0)),""))</f>
        <v/>
      </c>
      <c r="M52" s="17" t="str">
        <f aca="false">IF(I52="","",IFERROR(INDEX(Cadastro!$I$5:$I$304,MATCH(I52,Cadastro!$A$5:$A$304,0)),""))</f>
        <v/>
      </c>
      <c r="N52" s="19"/>
      <c r="O52" s="13"/>
      <c r="P52" s="12" t="str">
        <f aca="false">IF(OR(B52="",O52=""),"",NETWORKDAYS(B52,O52)-1)</f>
        <v/>
      </c>
      <c r="Q52" s="13"/>
      <c r="R52" s="11"/>
      <c r="S52" s="13"/>
      <c r="T52" s="11"/>
      <c r="U52" s="11"/>
      <c r="V52" s="11"/>
      <c r="W52" s="11"/>
      <c r="X52" s="11"/>
    </row>
    <row r="53" customFormat="false" ht="15" hidden="false" customHeight="false" outlineLevel="0" collapsed="false">
      <c r="A53" s="11"/>
      <c r="B53" s="13"/>
      <c r="C53" s="11"/>
      <c r="D53" s="11"/>
      <c r="E53" s="11"/>
      <c r="F53" s="19"/>
      <c r="G53" s="12" t="str">
        <f aca="false">IF(F53="","",IF(F53&lt;=Parâmetros!$B$7,"Faixa 1",IF(F53&lt;=Parâmetros!$B$8,"Faixa 2","Faixa 3")))</f>
        <v/>
      </c>
      <c r="H53" s="12" t="str">
        <f aca="false">IF(G53="","",IF(G53="Faixa 1","Rodízio/Sorteio",IF(G53="Faixa 2","Cotação (≥3 propostas)","Chamada pública")))</f>
        <v/>
      </c>
      <c r="I53" s="11"/>
      <c r="J53" s="17" t="str">
        <f aca="false">IF(I53="","",IFERROR(INDEX(Cadastro!$B$5:$B$304,MATCH(I53,Cadastro!$A$5:$A$304,0)),"ID não encontrado"))</f>
        <v/>
      </c>
      <c r="K53" s="17" t="str">
        <f aca="false">IF(I53="","",IFERROR(INDEX(Cadastro!$E$5:$E$304,MATCH(I53,Cadastro!$A$5:$A$304,0)),""))</f>
        <v/>
      </c>
      <c r="L53" s="17" t="str">
        <f aca="false">IF(I53="","",IFERROR(INDEX(Cadastro!$F$5:$F$304,MATCH(I53,Cadastro!$A$5:$A$304,0)),""))</f>
        <v/>
      </c>
      <c r="M53" s="17" t="str">
        <f aca="false">IF(I53="","",IFERROR(INDEX(Cadastro!$I$5:$I$304,MATCH(I53,Cadastro!$A$5:$A$304,0)),""))</f>
        <v/>
      </c>
      <c r="N53" s="19"/>
      <c r="O53" s="13"/>
      <c r="P53" s="12" t="str">
        <f aca="false">IF(OR(B53="",O53=""),"",NETWORKDAYS(B53,O53)-1)</f>
        <v/>
      </c>
      <c r="Q53" s="13"/>
      <c r="R53" s="11"/>
      <c r="S53" s="13"/>
      <c r="T53" s="11"/>
      <c r="U53" s="11"/>
      <c r="V53" s="11"/>
      <c r="W53" s="11"/>
      <c r="X53" s="11"/>
    </row>
    <row r="54" customFormat="false" ht="15" hidden="false" customHeight="false" outlineLevel="0" collapsed="false">
      <c r="A54" s="11"/>
      <c r="B54" s="13"/>
      <c r="C54" s="11"/>
      <c r="D54" s="11"/>
      <c r="E54" s="11"/>
      <c r="F54" s="19"/>
      <c r="G54" s="12" t="str">
        <f aca="false">IF(F54="","",IF(F54&lt;=Parâmetros!$B$7,"Faixa 1",IF(F54&lt;=Parâmetros!$B$8,"Faixa 2","Faixa 3")))</f>
        <v/>
      </c>
      <c r="H54" s="12" t="str">
        <f aca="false">IF(G54="","",IF(G54="Faixa 1","Rodízio/Sorteio",IF(G54="Faixa 2","Cotação (≥3 propostas)","Chamada pública")))</f>
        <v/>
      </c>
      <c r="I54" s="11"/>
      <c r="J54" s="17" t="str">
        <f aca="false">IF(I54="","",IFERROR(INDEX(Cadastro!$B$5:$B$304,MATCH(I54,Cadastro!$A$5:$A$304,0)),"ID não encontrado"))</f>
        <v/>
      </c>
      <c r="K54" s="17" t="str">
        <f aca="false">IF(I54="","",IFERROR(INDEX(Cadastro!$E$5:$E$304,MATCH(I54,Cadastro!$A$5:$A$304,0)),""))</f>
        <v/>
      </c>
      <c r="L54" s="17" t="str">
        <f aca="false">IF(I54="","",IFERROR(INDEX(Cadastro!$F$5:$F$304,MATCH(I54,Cadastro!$A$5:$A$304,0)),""))</f>
        <v/>
      </c>
      <c r="M54" s="17" t="str">
        <f aca="false">IF(I54="","",IFERROR(INDEX(Cadastro!$I$5:$I$304,MATCH(I54,Cadastro!$A$5:$A$304,0)),""))</f>
        <v/>
      </c>
      <c r="N54" s="19"/>
      <c r="O54" s="13"/>
      <c r="P54" s="12" t="str">
        <f aca="false">IF(OR(B54="",O54=""),"",NETWORKDAYS(B54,O54)-1)</f>
        <v/>
      </c>
      <c r="Q54" s="13"/>
      <c r="R54" s="11"/>
      <c r="S54" s="13"/>
      <c r="T54" s="11"/>
      <c r="U54" s="11"/>
      <c r="V54" s="11"/>
      <c r="W54" s="11"/>
      <c r="X54" s="11"/>
    </row>
    <row r="55" customFormat="false" ht="15" hidden="false" customHeight="false" outlineLevel="0" collapsed="false">
      <c r="A55" s="11"/>
      <c r="B55" s="13"/>
      <c r="C55" s="11"/>
      <c r="D55" s="11"/>
      <c r="E55" s="11"/>
      <c r="F55" s="19"/>
      <c r="G55" s="12" t="str">
        <f aca="false">IF(F55="","",IF(F55&lt;=Parâmetros!$B$7,"Faixa 1",IF(F55&lt;=Parâmetros!$B$8,"Faixa 2","Faixa 3")))</f>
        <v/>
      </c>
      <c r="H55" s="12" t="str">
        <f aca="false">IF(G55="","",IF(G55="Faixa 1","Rodízio/Sorteio",IF(G55="Faixa 2","Cotação (≥3 propostas)","Chamada pública")))</f>
        <v/>
      </c>
      <c r="I55" s="11"/>
      <c r="J55" s="17" t="str">
        <f aca="false">IF(I55="","",IFERROR(INDEX(Cadastro!$B$5:$B$304,MATCH(I55,Cadastro!$A$5:$A$304,0)),"ID não encontrado"))</f>
        <v/>
      </c>
      <c r="K55" s="17" t="str">
        <f aca="false">IF(I55="","",IFERROR(INDEX(Cadastro!$E$5:$E$304,MATCH(I55,Cadastro!$A$5:$A$304,0)),""))</f>
        <v/>
      </c>
      <c r="L55" s="17" t="str">
        <f aca="false">IF(I55="","",IFERROR(INDEX(Cadastro!$F$5:$F$304,MATCH(I55,Cadastro!$A$5:$A$304,0)),""))</f>
        <v/>
      </c>
      <c r="M55" s="17" t="str">
        <f aca="false">IF(I55="","",IFERROR(INDEX(Cadastro!$I$5:$I$304,MATCH(I55,Cadastro!$A$5:$A$304,0)),""))</f>
        <v/>
      </c>
      <c r="N55" s="19"/>
      <c r="O55" s="13"/>
      <c r="P55" s="12" t="str">
        <f aca="false">IF(OR(B55="",O55=""),"",NETWORKDAYS(B55,O55)-1)</f>
        <v/>
      </c>
      <c r="Q55" s="13"/>
      <c r="R55" s="11"/>
      <c r="S55" s="13"/>
      <c r="T55" s="11"/>
      <c r="U55" s="11"/>
      <c r="V55" s="11"/>
      <c r="W55" s="11"/>
      <c r="X55" s="11"/>
    </row>
    <row r="56" customFormat="false" ht="15" hidden="false" customHeight="false" outlineLevel="0" collapsed="false">
      <c r="A56" s="11"/>
      <c r="B56" s="13"/>
      <c r="C56" s="11"/>
      <c r="D56" s="11"/>
      <c r="E56" s="11"/>
      <c r="F56" s="19"/>
      <c r="G56" s="12" t="str">
        <f aca="false">IF(F56="","",IF(F56&lt;=Parâmetros!$B$7,"Faixa 1",IF(F56&lt;=Parâmetros!$B$8,"Faixa 2","Faixa 3")))</f>
        <v/>
      </c>
      <c r="H56" s="12" t="str">
        <f aca="false">IF(G56="","",IF(G56="Faixa 1","Rodízio/Sorteio",IF(G56="Faixa 2","Cotação (≥3 propostas)","Chamada pública")))</f>
        <v/>
      </c>
      <c r="I56" s="11"/>
      <c r="J56" s="17" t="str">
        <f aca="false">IF(I56="","",IFERROR(INDEX(Cadastro!$B$5:$B$304,MATCH(I56,Cadastro!$A$5:$A$304,0)),"ID não encontrado"))</f>
        <v/>
      </c>
      <c r="K56" s="17" t="str">
        <f aca="false">IF(I56="","",IFERROR(INDEX(Cadastro!$E$5:$E$304,MATCH(I56,Cadastro!$A$5:$A$304,0)),""))</f>
        <v/>
      </c>
      <c r="L56" s="17" t="str">
        <f aca="false">IF(I56="","",IFERROR(INDEX(Cadastro!$F$5:$F$304,MATCH(I56,Cadastro!$A$5:$A$304,0)),""))</f>
        <v/>
      </c>
      <c r="M56" s="17" t="str">
        <f aca="false">IF(I56="","",IFERROR(INDEX(Cadastro!$I$5:$I$304,MATCH(I56,Cadastro!$A$5:$A$304,0)),""))</f>
        <v/>
      </c>
      <c r="N56" s="19"/>
      <c r="O56" s="13"/>
      <c r="P56" s="12" t="str">
        <f aca="false">IF(OR(B56="",O56=""),"",NETWORKDAYS(B56,O56)-1)</f>
        <v/>
      </c>
      <c r="Q56" s="13"/>
      <c r="R56" s="11"/>
      <c r="S56" s="13"/>
      <c r="T56" s="11"/>
      <c r="U56" s="11"/>
      <c r="V56" s="11"/>
      <c r="W56" s="11"/>
      <c r="X56" s="11"/>
    </row>
    <row r="57" customFormat="false" ht="15" hidden="false" customHeight="false" outlineLevel="0" collapsed="false">
      <c r="A57" s="11"/>
      <c r="B57" s="13"/>
      <c r="C57" s="11"/>
      <c r="D57" s="11"/>
      <c r="E57" s="11"/>
      <c r="F57" s="19"/>
      <c r="G57" s="12" t="str">
        <f aca="false">IF(F57="","",IF(F57&lt;=Parâmetros!$B$7,"Faixa 1",IF(F57&lt;=Parâmetros!$B$8,"Faixa 2","Faixa 3")))</f>
        <v/>
      </c>
      <c r="H57" s="12" t="str">
        <f aca="false">IF(G57="","",IF(G57="Faixa 1","Rodízio/Sorteio",IF(G57="Faixa 2","Cotação (≥3 propostas)","Chamada pública")))</f>
        <v/>
      </c>
      <c r="I57" s="11"/>
      <c r="J57" s="17" t="str">
        <f aca="false">IF(I57="","",IFERROR(INDEX(Cadastro!$B$5:$B$304,MATCH(I57,Cadastro!$A$5:$A$304,0)),"ID não encontrado"))</f>
        <v/>
      </c>
      <c r="K57" s="17" t="str">
        <f aca="false">IF(I57="","",IFERROR(INDEX(Cadastro!$E$5:$E$304,MATCH(I57,Cadastro!$A$5:$A$304,0)),""))</f>
        <v/>
      </c>
      <c r="L57" s="17" t="str">
        <f aca="false">IF(I57="","",IFERROR(INDEX(Cadastro!$F$5:$F$304,MATCH(I57,Cadastro!$A$5:$A$304,0)),""))</f>
        <v/>
      </c>
      <c r="M57" s="17" t="str">
        <f aca="false">IF(I57="","",IFERROR(INDEX(Cadastro!$I$5:$I$304,MATCH(I57,Cadastro!$A$5:$A$304,0)),""))</f>
        <v/>
      </c>
      <c r="N57" s="19"/>
      <c r="O57" s="13"/>
      <c r="P57" s="12" t="str">
        <f aca="false">IF(OR(B57="",O57=""),"",NETWORKDAYS(B57,O57)-1)</f>
        <v/>
      </c>
      <c r="Q57" s="13"/>
      <c r="R57" s="11"/>
      <c r="S57" s="13"/>
      <c r="T57" s="11"/>
      <c r="U57" s="11"/>
      <c r="V57" s="11"/>
      <c r="W57" s="11"/>
      <c r="X57" s="11"/>
    </row>
    <row r="58" customFormat="false" ht="15" hidden="false" customHeight="false" outlineLevel="0" collapsed="false">
      <c r="A58" s="11"/>
      <c r="B58" s="13"/>
      <c r="C58" s="11"/>
      <c r="D58" s="11"/>
      <c r="E58" s="11"/>
      <c r="F58" s="19"/>
      <c r="G58" s="12" t="str">
        <f aca="false">IF(F58="","",IF(F58&lt;=Parâmetros!$B$7,"Faixa 1",IF(F58&lt;=Parâmetros!$B$8,"Faixa 2","Faixa 3")))</f>
        <v/>
      </c>
      <c r="H58" s="12" t="str">
        <f aca="false">IF(G58="","",IF(G58="Faixa 1","Rodízio/Sorteio",IF(G58="Faixa 2","Cotação (≥3 propostas)","Chamada pública")))</f>
        <v/>
      </c>
      <c r="I58" s="11"/>
      <c r="J58" s="17" t="str">
        <f aca="false">IF(I58="","",IFERROR(INDEX(Cadastro!$B$5:$B$304,MATCH(I58,Cadastro!$A$5:$A$304,0)),"ID não encontrado"))</f>
        <v/>
      </c>
      <c r="K58" s="17" t="str">
        <f aca="false">IF(I58="","",IFERROR(INDEX(Cadastro!$E$5:$E$304,MATCH(I58,Cadastro!$A$5:$A$304,0)),""))</f>
        <v/>
      </c>
      <c r="L58" s="17" t="str">
        <f aca="false">IF(I58="","",IFERROR(INDEX(Cadastro!$F$5:$F$304,MATCH(I58,Cadastro!$A$5:$A$304,0)),""))</f>
        <v/>
      </c>
      <c r="M58" s="17" t="str">
        <f aca="false">IF(I58="","",IFERROR(INDEX(Cadastro!$I$5:$I$304,MATCH(I58,Cadastro!$A$5:$A$304,0)),""))</f>
        <v/>
      </c>
      <c r="N58" s="19"/>
      <c r="O58" s="13"/>
      <c r="P58" s="12" t="str">
        <f aca="false">IF(OR(B58="",O58=""),"",NETWORKDAYS(B58,O58)-1)</f>
        <v/>
      </c>
      <c r="Q58" s="13"/>
      <c r="R58" s="11"/>
      <c r="S58" s="13"/>
      <c r="T58" s="11"/>
      <c r="U58" s="11"/>
      <c r="V58" s="11"/>
      <c r="W58" s="11"/>
      <c r="X58" s="11"/>
    </row>
    <row r="59" customFormat="false" ht="15" hidden="false" customHeight="false" outlineLevel="0" collapsed="false">
      <c r="A59" s="11"/>
      <c r="B59" s="13"/>
      <c r="C59" s="11"/>
      <c r="D59" s="11"/>
      <c r="E59" s="11"/>
      <c r="F59" s="19"/>
      <c r="G59" s="12" t="str">
        <f aca="false">IF(F59="","",IF(F59&lt;=Parâmetros!$B$7,"Faixa 1",IF(F59&lt;=Parâmetros!$B$8,"Faixa 2","Faixa 3")))</f>
        <v/>
      </c>
      <c r="H59" s="12" t="str">
        <f aca="false">IF(G59="","",IF(G59="Faixa 1","Rodízio/Sorteio",IF(G59="Faixa 2","Cotação (≥3 propostas)","Chamada pública")))</f>
        <v/>
      </c>
      <c r="I59" s="11"/>
      <c r="J59" s="17" t="str">
        <f aca="false">IF(I59="","",IFERROR(INDEX(Cadastro!$B$5:$B$304,MATCH(I59,Cadastro!$A$5:$A$304,0)),"ID não encontrado"))</f>
        <v/>
      </c>
      <c r="K59" s="17" t="str">
        <f aca="false">IF(I59="","",IFERROR(INDEX(Cadastro!$E$5:$E$304,MATCH(I59,Cadastro!$A$5:$A$304,0)),""))</f>
        <v/>
      </c>
      <c r="L59" s="17" t="str">
        <f aca="false">IF(I59="","",IFERROR(INDEX(Cadastro!$F$5:$F$304,MATCH(I59,Cadastro!$A$5:$A$304,0)),""))</f>
        <v/>
      </c>
      <c r="M59" s="17" t="str">
        <f aca="false">IF(I59="","",IFERROR(INDEX(Cadastro!$I$5:$I$304,MATCH(I59,Cadastro!$A$5:$A$304,0)),""))</f>
        <v/>
      </c>
      <c r="N59" s="19"/>
      <c r="O59" s="13"/>
      <c r="P59" s="12" t="str">
        <f aca="false">IF(OR(B59="",O59=""),"",NETWORKDAYS(B59,O59)-1)</f>
        <v/>
      </c>
      <c r="Q59" s="13"/>
      <c r="R59" s="11"/>
      <c r="S59" s="13"/>
      <c r="T59" s="11"/>
      <c r="U59" s="11"/>
      <c r="V59" s="11"/>
      <c r="W59" s="11"/>
      <c r="X59" s="11"/>
    </row>
    <row r="60" customFormat="false" ht="15" hidden="false" customHeight="false" outlineLevel="0" collapsed="false">
      <c r="A60" s="11"/>
      <c r="B60" s="13"/>
      <c r="C60" s="11"/>
      <c r="D60" s="11"/>
      <c r="E60" s="11"/>
      <c r="F60" s="19"/>
      <c r="G60" s="12" t="str">
        <f aca="false">IF(F60="","",IF(F60&lt;=Parâmetros!$B$7,"Faixa 1",IF(F60&lt;=Parâmetros!$B$8,"Faixa 2","Faixa 3")))</f>
        <v/>
      </c>
      <c r="H60" s="12" t="str">
        <f aca="false">IF(G60="","",IF(G60="Faixa 1","Rodízio/Sorteio",IF(G60="Faixa 2","Cotação (≥3 propostas)","Chamada pública")))</f>
        <v/>
      </c>
      <c r="I60" s="11"/>
      <c r="J60" s="17" t="str">
        <f aca="false">IF(I60="","",IFERROR(INDEX(Cadastro!$B$5:$B$304,MATCH(I60,Cadastro!$A$5:$A$304,0)),"ID não encontrado"))</f>
        <v/>
      </c>
      <c r="K60" s="17" t="str">
        <f aca="false">IF(I60="","",IFERROR(INDEX(Cadastro!$E$5:$E$304,MATCH(I60,Cadastro!$A$5:$A$304,0)),""))</f>
        <v/>
      </c>
      <c r="L60" s="17" t="str">
        <f aca="false">IF(I60="","",IFERROR(INDEX(Cadastro!$F$5:$F$304,MATCH(I60,Cadastro!$A$5:$A$304,0)),""))</f>
        <v/>
      </c>
      <c r="M60" s="17" t="str">
        <f aca="false">IF(I60="","",IFERROR(INDEX(Cadastro!$I$5:$I$304,MATCH(I60,Cadastro!$A$5:$A$304,0)),""))</f>
        <v/>
      </c>
      <c r="N60" s="19"/>
      <c r="O60" s="13"/>
      <c r="P60" s="12" t="str">
        <f aca="false">IF(OR(B60="",O60=""),"",NETWORKDAYS(B60,O60)-1)</f>
        <v/>
      </c>
      <c r="Q60" s="13"/>
      <c r="R60" s="11"/>
      <c r="S60" s="13"/>
      <c r="T60" s="11"/>
      <c r="U60" s="11"/>
      <c r="V60" s="11"/>
      <c r="W60" s="11"/>
      <c r="X60" s="11"/>
    </row>
    <row r="61" customFormat="false" ht="15" hidden="false" customHeight="false" outlineLevel="0" collapsed="false">
      <c r="A61" s="11"/>
      <c r="B61" s="13"/>
      <c r="C61" s="11"/>
      <c r="D61" s="11"/>
      <c r="E61" s="11"/>
      <c r="F61" s="19"/>
      <c r="G61" s="12" t="str">
        <f aca="false">IF(F61="","",IF(F61&lt;=Parâmetros!$B$7,"Faixa 1",IF(F61&lt;=Parâmetros!$B$8,"Faixa 2","Faixa 3")))</f>
        <v/>
      </c>
      <c r="H61" s="12" t="str">
        <f aca="false">IF(G61="","",IF(G61="Faixa 1","Rodízio/Sorteio",IF(G61="Faixa 2","Cotação (≥3 propostas)","Chamada pública")))</f>
        <v/>
      </c>
      <c r="I61" s="11"/>
      <c r="J61" s="17" t="str">
        <f aca="false">IF(I61="","",IFERROR(INDEX(Cadastro!$B$5:$B$304,MATCH(I61,Cadastro!$A$5:$A$304,0)),"ID não encontrado"))</f>
        <v/>
      </c>
      <c r="K61" s="17" t="str">
        <f aca="false">IF(I61="","",IFERROR(INDEX(Cadastro!$E$5:$E$304,MATCH(I61,Cadastro!$A$5:$A$304,0)),""))</f>
        <v/>
      </c>
      <c r="L61" s="17" t="str">
        <f aca="false">IF(I61="","",IFERROR(INDEX(Cadastro!$F$5:$F$304,MATCH(I61,Cadastro!$A$5:$A$304,0)),""))</f>
        <v/>
      </c>
      <c r="M61" s="17" t="str">
        <f aca="false">IF(I61="","",IFERROR(INDEX(Cadastro!$I$5:$I$304,MATCH(I61,Cadastro!$A$5:$A$304,0)),""))</f>
        <v/>
      </c>
      <c r="N61" s="19"/>
      <c r="O61" s="13"/>
      <c r="P61" s="12" t="str">
        <f aca="false">IF(OR(B61="",O61=""),"",NETWORKDAYS(B61,O61)-1)</f>
        <v/>
      </c>
      <c r="Q61" s="13"/>
      <c r="R61" s="11"/>
      <c r="S61" s="13"/>
      <c r="T61" s="11"/>
      <c r="U61" s="11"/>
      <c r="V61" s="11"/>
      <c r="W61" s="11"/>
      <c r="X61" s="11"/>
    </row>
    <row r="62" customFormat="false" ht="15" hidden="false" customHeight="false" outlineLevel="0" collapsed="false">
      <c r="A62" s="11"/>
      <c r="B62" s="13"/>
      <c r="C62" s="11"/>
      <c r="D62" s="11"/>
      <c r="E62" s="11"/>
      <c r="F62" s="19"/>
      <c r="G62" s="12" t="str">
        <f aca="false">IF(F62="","",IF(F62&lt;=Parâmetros!$B$7,"Faixa 1",IF(F62&lt;=Parâmetros!$B$8,"Faixa 2","Faixa 3")))</f>
        <v/>
      </c>
      <c r="H62" s="12" t="str">
        <f aca="false">IF(G62="","",IF(G62="Faixa 1","Rodízio/Sorteio",IF(G62="Faixa 2","Cotação (≥3 propostas)","Chamada pública")))</f>
        <v/>
      </c>
      <c r="I62" s="11"/>
      <c r="J62" s="17" t="str">
        <f aca="false">IF(I62="","",IFERROR(INDEX(Cadastro!$B$5:$B$304,MATCH(I62,Cadastro!$A$5:$A$304,0)),"ID não encontrado"))</f>
        <v/>
      </c>
      <c r="K62" s="17" t="str">
        <f aca="false">IF(I62="","",IFERROR(INDEX(Cadastro!$E$5:$E$304,MATCH(I62,Cadastro!$A$5:$A$304,0)),""))</f>
        <v/>
      </c>
      <c r="L62" s="17" t="str">
        <f aca="false">IF(I62="","",IFERROR(INDEX(Cadastro!$F$5:$F$304,MATCH(I62,Cadastro!$A$5:$A$304,0)),""))</f>
        <v/>
      </c>
      <c r="M62" s="17" t="str">
        <f aca="false">IF(I62="","",IFERROR(INDEX(Cadastro!$I$5:$I$304,MATCH(I62,Cadastro!$A$5:$A$304,0)),""))</f>
        <v/>
      </c>
      <c r="N62" s="19"/>
      <c r="O62" s="13"/>
      <c r="P62" s="12" t="str">
        <f aca="false">IF(OR(B62="",O62=""),"",NETWORKDAYS(B62,O62)-1)</f>
        <v/>
      </c>
      <c r="Q62" s="13"/>
      <c r="R62" s="11"/>
      <c r="S62" s="13"/>
      <c r="T62" s="11"/>
      <c r="U62" s="11"/>
      <c r="V62" s="11"/>
      <c r="W62" s="11"/>
      <c r="X62" s="11"/>
    </row>
    <row r="63" customFormat="false" ht="15" hidden="false" customHeight="false" outlineLevel="0" collapsed="false">
      <c r="A63" s="11"/>
      <c r="B63" s="13"/>
      <c r="C63" s="11"/>
      <c r="D63" s="11"/>
      <c r="E63" s="11"/>
      <c r="F63" s="19"/>
      <c r="G63" s="12" t="str">
        <f aca="false">IF(F63="","",IF(F63&lt;=Parâmetros!$B$7,"Faixa 1",IF(F63&lt;=Parâmetros!$B$8,"Faixa 2","Faixa 3")))</f>
        <v/>
      </c>
      <c r="H63" s="12" t="str">
        <f aca="false">IF(G63="","",IF(G63="Faixa 1","Rodízio/Sorteio",IF(G63="Faixa 2","Cotação (≥3 propostas)","Chamada pública")))</f>
        <v/>
      </c>
      <c r="I63" s="11"/>
      <c r="J63" s="17" t="str">
        <f aca="false">IF(I63="","",IFERROR(INDEX(Cadastro!$B$5:$B$304,MATCH(I63,Cadastro!$A$5:$A$304,0)),"ID não encontrado"))</f>
        <v/>
      </c>
      <c r="K63" s="17" t="str">
        <f aca="false">IF(I63="","",IFERROR(INDEX(Cadastro!$E$5:$E$304,MATCH(I63,Cadastro!$A$5:$A$304,0)),""))</f>
        <v/>
      </c>
      <c r="L63" s="17" t="str">
        <f aca="false">IF(I63="","",IFERROR(INDEX(Cadastro!$F$5:$F$304,MATCH(I63,Cadastro!$A$5:$A$304,0)),""))</f>
        <v/>
      </c>
      <c r="M63" s="17" t="str">
        <f aca="false">IF(I63="","",IFERROR(INDEX(Cadastro!$I$5:$I$304,MATCH(I63,Cadastro!$A$5:$A$304,0)),""))</f>
        <v/>
      </c>
      <c r="N63" s="19"/>
      <c r="O63" s="13"/>
      <c r="P63" s="12" t="str">
        <f aca="false">IF(OR(B63="",O63=""),"",NETWORKDAYS(B63,O63)-1)</f>
        <v/>
      </c>
      <c r="Q63" s="13"/>
      <c r="R63" s="11"/>
      <c r="S63" s="13"/>
      <c r="T63" s="11"/>
      <c r="U63" s="11"/>
      <c r="V63" s="11"/>
      <c r="W63" s="11"/>
      <c r="X63" s="11"/>
    </row>
    <row r="64" customFormat="false" ht="15" hidden="false" customHeight="false" outlineLevel="0" collapsed="false">
      <c r="A64" s="11"/>
      <c r="B64" s="13"/>
      <c r="C64" s="11"/>
      <c r="D64" s="11"/>
      <c r="E64" s="11"/>
      <c r="F64" s="19"/>
      <c r="G64" s="12" t="str">
        <f aca="false">IF(F64="","",IF(F64&lt;=Parâmetros!$B$7,"Faixa 1",IF(F64&lt;=Parâmetros!$B$8,"Faixa 2","Faixa 3")))</f>
        <v/>
      </c>
      <c r="H64" s="12" t="str">
        <f aca="false">IF(G64="","",IF(G64="Faixa 1","Rodízio/Sorteio",IF(G64="Faixa 2","Cotação (≥3 propostas)","Chamada pública")))</f>
        <v/>
      </c>
      <c r="I64" s="11"/>
      <c r="J64" s="17" t="str">
        <f aca="false">IF(I64="","",IFERROR(INDEX(Cadastro!$B$5:$B$304,MATCH(I64,Cadastro!$A$5:$A$304,0)),"ID não encontrado"))</f>
        <v/>
      </c>
      <c r="K64" s="17" t="str">
        <f aca="false">IF(I64="","",IFERROR(INDEX(Cadastro!$E$5:$E$304,MATCH(I64,Cadastro!$A$5:$A$304,0)),""))</f>
        <v/>
      </c>
      <c r="L64" s="17" t="str">
        <f aca="false">IF(I64="","",IFERROR(INDEX(Cadastro!$F$5:$F$304,MATCH(I64,Cadastro!$A$5:$A$304,0)),""))</f>
        <v/>
      </c>
      <c r="M64" s="17" t="str">
        <f aca="false">IF(I64="","",IFERROR(INDEX(Cadastro!$I$5:$I$304,MATCH(I64,Cadastro!$A$5:$A$304,0)),""))</f>
        <v/>
      </c>
      <c r="N64" s="19"/>
      <c r="O64" s="13"/>
      <c r="P64" s="12" t="str">
        <f aca="false">IF(OR(B64="",O64=""),"",NETWORKDAYS(B64,O64)-1)</f>
        <v/>
      </c>
      <c r="Q64" s="13"/>
      <c r="R64" s="11"/>
      <c r="S64" s="13"/>
      <c r="T64" s="11"/>
      <c r="U64" s="11"/>
      <c r="V64" s="11"/>
      <c r="W64" s="11"/>
      <c r="X64" s="11"/>
    </row>
    <row r="65" customFormat="false" ht="15" hidden="false" customHeight="false" outlineLevel="0" collapsed="false">
      <c r="A65" s="11"/>
      <c r="B65" s="13"/>
      <c r="C65" s="11"/>
      <c r="D65" s="11"/>
      <c r="E65" s="11"/>
      <c r="F65" s="19"/>
      <c r="G65" s="12" t="str">
        <f aca="false">IF(F65="","",IF(F65&lt;=Parâmetros!$B$7,"Faixa 1",IF(F65&lt;=Parâmetros!$B$8,"Faixa 2","Faixa 3")))</f>
        <v/>
      </c>
      <c r="H65" s="12" t="str">
        <f aca="false">IF(G65="","",IF(G65="Faixa 1","Rodízio/Sorteio",IF(G65="Faixa 2","Cotação (≥3 propostas)","Chamada pública")))</f>
        <v/>
      </c>
      <c r="I65" s="11"/>
      <c r="J65" s="17" t="str">
        <f aca="false">IF(I65="","",IFERROR(INDEX(Cadastro!$B$5:$B$304,MATCH(I65,Cadastro!$A$5:$A$304,0)),"ID não encontrado"))</f>
        <v/>
      </c>
      <c r="K65" s="17" t="str">
        <f aca="false">IF(I65="","",IFERROR(INDEX(Cadastro!$E$5:$E$304,MATCH(I65,Cadastro!$A$5:$A$304,0)),""))</f>
        <v/>
      </c>
      <c r="L65" s="17" t="str">
        <f aca="false">IF(I65="","",IFERROR(INDEX(Cadastro!$F$5:$F$304,MATCH(I65,Cadastro!$A$5:$A$304,0)),""))</f>
        <v/>
      </c>
      <c r="M65" s="17" t="str">
        <f aca="false">IF(I65="","",IFERROR(INDEX(Cadastro!$I$5:$I$304,MATCH(I65,Cadastro!$A$5:$A$304,0)),""))</f>
        <v/>
      </c>
      <c r="N65" s="19"/>
      <c r="O65" s="13"/>
      <c r="P65" s="12" t="str">
        <f aca="false">IF(OR(B65="",O65=""),"",NETWORKDAYS(B65,O65)-1)</f>
        <v/>
      </c>
      <c r="Q65" s="13"/>
      <c r="R65" s="11"/>
      <c r="S65" s="13"/>
      <c r="T65" s="11"/>
      <c r="U65" s="11"/>
      <c r="V65" s="11"/>
      <c r="W65" s="11"/>
      <c r="X65" s="11"/>
    </row>
    <row r="66" customFormat="false" ht="15" hidden="false" customHeight="false" outlineLevel="0" collapsed="false">
      <c r="A66" s="11"/>
      <c r="B66" s="13"/>
      <c r="C66" s="11"/>
      <c r="D66" s="11"/>
      <c r="E66" s="11"/>
      <c r="F66" s="19"/>
      <c r="G66" s="12" t="str">
        <f aca="false">IF(F66="","",IF(F66&lt;=Parâmetros!$B$7,"Faixa 1",IF(F66&lt;=Parâmetros!$B$8,"Faixa 2","Faixa 3")))</f>
        <v/>
      </c>
      <c r="H66" s="12" t="str">
        <f aca="false">IF(G66="","",IF(G66="Faixa 1","Rodízio/Sorteio",IF(G66="Faixa 2","Cotação (≥3 propostas)","Chamada pública")))</f>
        <v/>
      </c>
      <c r="I66" s="11"/>
      <c r="J66" s="17" t="str">
        <f aca="false">IF(I66="","",IFERROR(INDEX(Cadastro!$B$5:$B$304,MATCH(I66,Cadastro!$A$5:$A$304,0)),"ID não encontrado"))</f>
        <v/>
      </c>
      <c r="K66" s="17" t="str">
        <f aca="false">IF(I66="","",IFERROR(INDEX(Cadastro!$E$5:$E$304,MATCH(I66,Cadastro!$A$5:$A$304,0)),""))</f>
        <v/>
      </c>
      <c r="L66" s="17" t="str">
        <f aca="false">IF(I66="","",IFERROR(INDEX(Cadastro!$F$5:$F$304,MATCH(I66,Cadastro!$A$5:$A$304,0)),""))</f>
        <v/>
      </c>
      <c r="M66" s="17" t="str">
        <f aca="false">IF(I66="","",IFERROR(INDEX(Cadastro!$I$5:$I$304,MATCH(I66,Cadastro!$A$5:$A$304,0)),""))</f>
        <v/>
      </c>
      <c r="N66" s="19"/>
      <c r="O66" s="13"/>
      <c r="P66" s="12" t="str">
        <f aca="false">IF(OR(B66="",O66=""),"",NETWORKDAYS(B66,O66)-1)</f>
        <v/>
      </c>
      <c r="Q66" s="13"/>
      <c r="R66" s="11"/>
      <c r="S66" s="13"/>
      <c r="T66" s="11"/>
      <c r="U66" s="11"/>
      <c r="V66" s="11"/>
      <c r="W66" s="11"/>
      <c r="X66" s="11"/>
    </row>
    <row r="67" customFormat="false" ht="15" hidden="false" customHeight="false" outlineLevel="0" collapsed="false">
      <c r="A67" s="11"/>
      <c r="B67" s="13"/>
      <c r="C67" s="11"/>
      <c r="D67" s="11"/>
      <c r="E67" s="11"/>
      <c r="F67" s="19"/>
      <c r="G67" s="12" t="str">
        <f aca="false">IF(F67="","",IF(F67&lt;=Parâmetros!$B$7,"Faixa 1",IF(F67&lt;=Parâmetros!$B$8,"Faixa 2","Faixa 3")))</f>
        <v/>
      </c>
      <c r="H67" s="12" t="str">
        <f aca="false">IF(G67="","",IF(G67="Faixa 1","Rodízio/Sorteio",IF(G67="Faixa 2","Cotação (≥3 propostas)","Chamada pública")))</f>
        <v/>
      </c>
      <c r="I67" s="11"/>
      <c r="J67" s="17" t="str">
        <f aca="false">IF(I67="","",IFERROR(INDEX(Cadastro!$B$5:$B$304,MATCH(I67,Cadastro!$A$5:$A$304,0)),"ID não encontrado"))</f>
        <v/>
      </c>
      <c r="K67" s="17" t="str">
        <f aca="false">IF(I67="","",IFERROR(INDEX(Cadastro!$E$5:$E$304,MATCH(I67,Cadastro!$A$5:$A$304,0)),""))</f>
        <v/>
      </c>
      <c r="L67" s="17" t="str">
        <f aca="false">IF(I67="","",IFERROR(INDEX(Cadastro!$F$5:$F$304,MATCH(I67,Cadastro!$A$5:$A$304,0)),""))</f>
        <v/>
      </c>
      <c r="M67" s="17" t="str">
        <f aca="false">IF(I67="","",IFERROR(INDEX(Cadastro!$I$5:$I$304,MATCH(I67,Cadastro!$A$5:$A$304,0)),""))</f>
        <v/>
      </c>
      <c r="N67" s="19"/>
      <c r="O67" s="13"/>
      <c r="P67" s="12" t="str">
        <f aca="false">IF(OR(B67="",O67=""),"",NETWORKDAYS(B67,O67)-1)</f>
        <v/>
      </c>
      <c r="Q67" s="13"/>
      <c r="R67" s="11"/>
      <c r="S67" s="13"/>
      <c r="T67" s="11"/>
      <c r="U67" s="11"/>
      <c r="V67" s="11"/>
      <c r="W67" s="11"/>
      <c r="X67" s="11"/>
    </row>
    <row r="68" customFormat="false" ht="15" hidden="false" customHeight="false" outlineLevel="0" collapsed="false">
      <c r="A68" s="11"/>
      <c r="B68" s="13"/>
      <c r="C68" s="11"/>
      <c r="D68" s="11"/>
      <c r="E68" s="11"/>
      <c r="F68" s="19"/>
      <c r="G68" s="12" t="str">
        <f aca="false">IF(F68="","",IF(F68&lt;=Parâmetros!$B$7,"Faixa 1",IF(F68&lt;=Parâmetros!$B$8,"Faixa 2","Faixa 3")))</f>
        <v/>
      </c>
      <c r="H68" s="12" t="str">
        <f aca="false">IF(G68="","",IF(G68="Faixa 1","Rodízio/Sorteio",IF(G68="Faixa 2","Cotação (≥3 propostas)","Chamada pública")))</f>
        <v/>
      </c>
      <c r="I68" s="11"/>
      <c r="J68" s="17" t="str">
        <f aca="false">IF(I68="","",IFERROR(INDEX(Cadastro!$B$5:$B$304,MATCH(I68,Cadastro!$A$5:$A$304,0)),"ID não encontrado"))</f>
        <v/>
      </c>
      <c r="K68" s="17" t="str">
        <f aca="false">IF(I68="","",IFERROR(INDEX(Cadastro!$E$5:$E$304,MATCH(I68,Cadastro!$A$5:$A$304,0)),""))</f>
        <v/>
      </c>
      <c r="L68" s="17" t="str">
        <f aca="false">IF(I68="","",IFERROR(INDEX(Cadastro!$F$5:$F$304,MATCH(I68,Cadastro!$A$5:$A$304,0)),""))</f>
        <v/>
      </c>
      <c r="M68" s="17" t="str">
        <f aca="false">IF(I68="","",IFERROR(INDEX(Cadastro!$I$5:$I$304,MATCH(I68,Cadastro!$A$5:$A$304,0)),""))</f>
        <v/>
      </c>
      <c r="N68" s="19"/>
      <c r="O68" s="13"/>
      <c r="P68" s="12" t="str">
        <f aca="false">IF(OR(B68="",O68=""),"",NETWORKDAYS(B68,O68)-1)</f>
        <v/>
      </c>
      <c r="Q68" s="13"/>
      <c r="R68" s="11"/>
      <c r="S68" s="13"/>
      <c r="T68" s="11"/>
      <c r="U68" s="11"/>
      <c r="V68" s="11"/>
      <c r="W68" s="11"/>
      <c r="X68" s="11"/>
    </row>
    <row r="69" customFormat="false" ht="15" hidden="false" customHeight="false" outlineLevel="0" collapsed="false">
      <c r="A69" s="11"/>
      <c r="B69" s="13"/>
      <c r="C69" s="11"/>
      <c r="D69" s="11"/>
      <c r="E69" s="11"/>
      <c r="F69" s="19"/>
      <c r="G69" s="12" t="str">
        <f aca="false">IF(F69="","",IF(F69&lt;=Parâmetros!$B$7,"Faixa 1",IF(F69&lt;=Parâmetros!$B$8,"Faixa 2","Faixa 3")))</f>
        <v/>
      </c>
      <c r="H69" s="12" t="str">
        <f aca="false">IF(G69="","",IF(G69="Faixa 1","Rodízio/Sorteio",IF(G69="Faixa 2","Cotação (≥3 propostas)","Chamada pública")))</f>
        <v/>
      </c>
      <c r="I69" s="11"/>
      <c r="J69" s="17" t="str">
        <f aca="false">IF(I69="","",IFERROR(INDEX(Cadastro!$B$5:$B$304,MATCH(I69,Cadastro!$A$5:$A$304,0)),"ID não encontrado"))</f>
        <v/>
      </c>
      <c r="K69" s="17" t="str">
        <f aca="false">IF(I69="","",IFERROR(INDEX(Cadastro!$E$5:$E$304,MATCH(I69,Cadastro!$A$5:$A$304,0)),""))</f>
        <v/>
      </c>
      <c r="L69" s="17" t="str">
        <f aca="false">IF(I69="","",IFERROR(INDEX(Cadastro!$F$5:$F$304,MATCH(I69,Cadastro!$A$5:$A$304,0)),""))</f>
        <v/>
      </c>
      <c r="M69" s="17" t="str">
        <f aca="false">IF(I69="","",IFERROR(INDEX(Cadastro!$I$5:$I$304,MATCH(I69,Cadastro!$A$5:$A$304,0)),""))</f>
        <v/>
      </c>
      <c r="N69" s="19"/>
      <c r="O69" s="13"/>
      <c r="P69" s="12" t="str">
        <f aca="false">IF(OR(B69="",O69=""),"",NETWORKDAYS(B69,O69)-1)</f>
        <v/>
      </c>
      <c r="Q69" s="13"/>
      <c r="R69" s="11"/>
      <c r="S69" s="13"/>
      <c r="T69" s="11"/>
      <c r="U69" s="11"/>
      <c r="V69" s="11"/>
      <c r="W69" s="11"/>
      <c r="X69" s="11"/>
    </row>
    <row r="70" customFormat="false" ht="15" hidden="false" customHeight="false" outlineLevel="0" collapsed="false">
      <c r="A70" s="11"/>
      <c r="B70" s="13"/>
      <c r="C70" s="11"/>
      <c r="D70" s="11"/>
      <c r="E70" s="11"/>
      <c r="F70" s="19"/>
      <c r="G70" s="12" t="str">
        <f aca="false">IF(F70="","",IF(F70&lt;=Parâmetros!$B$7,"Faixa 1",IF(F70&lt;=Parâmetros!$B$8,"Faixa 2","Faixa 3")))</f>
        <v/>
      </c>
      <c r="H70" s="12" t="str">
        <f aca="false">IF(G70="","",IF(G70="Faixa 1","Rodízio/Sorteio",IF(G70="Faixa 2","Cotação (≥3 propostas)","Chamada pública")))</f>
        <v/>
      </c>
      <c r="I70" s="11"/>
      <c r="J70" s="17" t="str">
        <f aca="false">IF(I70="","",IFERROR(INDEX(Cadastro!$B$5:$B$304,MATCH(I70,Cadastro!$A$5:$A$304,0)),"ID não encontrado"))</f>
        <v/>
      </c>
      <c r="K70" s="17" t="str">
        <f aca="false">IF(I70="","",IFERROR(INDEX(Cadastro!$E$5:$E$304,MATCH(I70,Cadastro!$A$5:$A$304,0)),""))</f>
        <v/>
      </c>
      <c r="L70" s="17" t="str">
        <f aca="false">IF(I70="","",IFERROR(INDEX(Cadastro!$F$5:$F$304,MATCH(I70,Cadastro!$A$5:$A$304,0)),""))</f>
        <v/>
      </c>
      <c r="M70" s="17" t="str">
        <f aca="false">IF(I70="","",IFERROR(INDEX(Cadastro!$I$5:$I$304,MATCH(I70,Cadastro!$A$5:$A$304,0)),""))</f>
        <v/>
      </c>
      <c r="N70" s="19"/>
      <c r="O70" s="13"/>
      <c r="P70" s="12" t="str">
        <f aca="false">IF(OR(B70="",O70=""),"",NETWORKDAYS(B70,O70)-1)</f>
        <v/>
      </c>
      <c r="Q70" s="13"/>
      <c r="R70" s="11"/>
      <c r="S70" s="13"/>
      <c r="T70" s="11"/>
      <c r="U70" s="11"/>
      <c r="V70" s="11"/>
      <c r="W70" s="11"/>
      <c r="X70" s="11"/>
    </row>
    <row r="71" customFormat="false" ht="15" hidden="false" customHeight="false" outlineLevel="0" collapsed="false">
      <c r="A71" s="11"/>
      <c r="B71" s="13"/>
      <c r="C71" s="11"/>
      <c r="D71" s="11"/>
      <c r="E71" s="11"/>
      <c r="F71" s="19"/>
      <c r="G71" s="12" t="str">
        <f aca="false">IF(F71="","",IF(F71&lt;=Parâmetros!$B$7,"Faixa 1",IF(F71&lt;=Parâmetros!$B$8,"Faixa 2","Faixa 3")))</f>
        <v/>
      </c>
      <c r="H71" s="12" t="str">
        <f aca="false">IF(G71="","",IF(G71="Faixa 1","Rodízio/Sorteio",IF(G71="Faixa 2","Cotação (≥3 propostas)","Chamada pública")))</f>
        <v/>
      </c>
      <c r="I71" s="11"/>
      <c r="J71" s="17" t="str">
        <f aca="false">IF(I71="","",IFERROR(INDEX(Cadastro!$B$5:$B$304,MATCH(I71,Cadastro!$A$5:$A$304,0)),"ID não encontrado"))</f>
        <v/>
      </c>
      <c r="K71" s="17" t="str">
        <f aca="false">IF(I71="","",IFERROR(INDEX(Cadastro!$E$5:$E$304,MATCH(I71,Cadastro!$A$5:$A$304,0)),""))</f>
        <v/>
      </c>
      <c r="L71" s="17" t="str">
        <f aca="false">IF(I71="","",IFERROR(INDEX(Cadastro!$F$5:$F$304,MATCH(I71,Cadastro!$A$5:$A$304,0)),""))</f>
        <v/>
      </c>
      <c r="M71" s="17" t="str">
        <f aca="false">IF(I71="","",IFERROR(INDEX(Cadastro!$I$5:$I$304,MATCH(I71,Cadastro!$A$5:$A$304,0)),""))</f>
        <v/>
      </c>
      <c r="N71" s="19"/>
      <c r="O71" s="13"/>
      <c r="P71" s="12" t="str">
        <f aca="false">IF(OR(B71="",O71=""),"",NETWORKDAYS(B71,O71)-1)</f>
        <v/>
      </c>
      <c r="Q71" s="13"/>
      <c r="R71" s="11"/>
      <c r="S71" s="13"/>
      <c r="T71" s="11"/>
      <c r="U71" s="11"/>
      <c r="V71" s="11"/>
      <c r="W71" s="11"/>
      <c r="X71" s="11"/>
    </row>
    <row r="72" customFormat="false" ht="15" hidden="false" customHeight="false" outlineLevel="0" collapsed="false">
      <c r="A72" s="11"/>
      <c r="B72" s="13"/>
      <c r="C72" s="11"/>
      <c r="D72" s="11"/>
      <c r="E72" s="11"/>
      <c r="F72" s="19"/>
      <c r="G72" s="12" t="str">
        <f aca="false">IF(F72="","",IF(F72&lt;=Parâmetros!$B$7,"Faixa 1",IF(F72&lt;=Parâmetros!$B$8,"Faixa 2","Faixa 3")))</f>
        <v/>
      </c>
      <c r="H72" s="12" t="str">
        <f aca="false">IF(G72="","",IF(G72="Faixa 1","Rodízio/Sorteio",IF(G72="Faixa 2","Cotação (≥3 propostas)","Chamada pública")))</f>
        <v/>
      </c>
      <c r="I72" s="11"/>
      <c r="J72" s="17" t="str">
        <f aca="false">IF(I72="","",IFERROR(INDEX(Cadastro!$B$5:$B$304,MATCH(I72,Cadastro!$A$5:$A$304,0)),"ID não encontrado"))</f>
        <v/>
      </c>
      <c r="K72" s="17" t="str">
        <f aca="false">IF(I72="","",IFERROR(INDEX(Cadastro!$E$5:$E$304,MATCH(I72,Cadastro!$A$5:$A$304,0)),""))</f>
        <v/>
      </c>
      <c r="L72" s="17" t="str">
        <f aca="false">IF(I72="","",IFERROR(INDEX(Cadastro!$F$5:$F$304,MATCH(I72,Cadastro!$A$5:$A$304,0)),""))</f>
        <v/>
      </c>
      <c r="M72" s="17" t="str">
        <f aca="false">IF(I72="","",IFERROR(INDEX(Cadastro!$I$5:$I$304,MATCH(I72,Cadastro!$A$5:$A$304,0)),""))</f>
        <v/>
      </c>
      <c r="N72" s="19"/>
      <c r="O72" s="13"/>
      <c r="P72" s="12" t="str">
        <f aca="false">IF(OR(B72="",O72=""),"",NETWORKDAYS(B72,O72)-1)</f>
        <v/>
      </c>
      <c r="Q72" s="13"/>
      <c r="R72" s="11"/>
      <c r="S72" s="13"/>
      <c r="T72" s="11"/>
      <c r="U72" s="11"/>
      <c r="V72" s="11"/>
      <c r="W72" s="11"/>
      <c r="X72" s="11"/>
    </row>
    <row r="73" customFormat="false" ht="15" hidden="false" customHeight="false" outlineLevel="0" collapsed="false">
      <c r="A73" s="11"/>
      <c r="B73" s="13"/>
      <c r="C73" s="11"/>
      <c r="D73" s="11"/>
      <c r="E73" s="11"/>
      <c r="F73" s="19"/>
      <c r="G73" s="12" t="str">
        <f aca="false">IF(F73="","",IF(F73&lt;=Parâmetros!$B$7,"Faixa 1",IF(F73&lt;=Parâmetros!$B$8,"Faixa 2","Faixa 3")))</f>
        <v/>
      </c>
      <c r="H73" s="12" t="str">
        <f aca="false">IF(G73="","",IF(G73="Faixa 1","Rodízio/Sorteio",IF(G73="Faixa 2","Cotação (≥3 propostas)","Chamada pública")))</f>
        <v/>
      </c>
      <c r="I73" s="11"/>
      <c r="J73" s="17" t="str">
        <f aca="false">IF(I73="","",IFERROR(INDEX(Cadastro!$B$5:$B$304,MATCH(I73,Cadastro!$A$5:$A$304,0)),"ID não encontrado"))</f>
        <v/>
      </c>
      <c r="K73" s="17" t="str">
        <f aca="false">IF(I73="","",IFERROR(INDEX(Cadastro!$E$5:$E$304,MATCH(I73,Cadastro!$A$5:$A$304,0)),""))</f>
        <v/>
      </c>
      <c r="L73" s="17" t="str">
        <f aca="false">IF(I73="","",IFERROR(INDEX(Cadastro!$F$5:$F$304,MATCH(I73,Cadastro!$A$5:$A$304,0)),""))</f>
        <v/>
      </c>
      <c r="M73" s="17" t="str">
        <f aca="false">IF(I73="","",IFERROR(INDEX(Cadastro!$I$5:$I$304,MATCH(I73,Cadastro!$A$5:$A$304,0)),""))</f>
        <v/>
      </c>
      <c r="N73" s="19"/>
      <c r="O73" s="13"/>
      <c r="P73" s="12" t="str">
        <f aca="false">IF(OR(B73="",O73=""),"",NETWORKDAYS(B73,O73)-1)</f>
        <v/>
      </c>
      <c r="Q73" s="13"/>
      <c r="R73" s="11"/>
      <c r="S73" s="13"/>
      <c r="T73" s="11"/>
      <c r="U73" s="11"/>
      <c r="V73" s="11"/>
      <c r="W73" s="11"/>
      <c r="X73" s="11"/>
    </row>
    <row r="74" customFormat="false" ht="15" hidden="false" customHeight="false" outlineLevel="0" collapsed="false">
      <c r="A74" s="11"/>
      <c r="B74" s="13"/>
      <c r="C74" s="11"/>
      <c r="D74" s="11"/>
      <c r="E74" s="11"/>
      <c r="F74" s="19"/>
      <c r="G74" s="12" t="str">
        <f aca="false">IF(F74="","",IF(F74&lt;=Parâmetros!$B$7,"Faixa 1",IF(F74&lt;=Parâmetros!$B$8,"Faixa 2","Faixa 3")))</f>
        <v/>
      </c>
      <c r="H74" s="12" t="str">
        <f aca="false">IF(G74="","",IF(G74="Faixa 1","Rodízio/Sorteio",IF(G74="Faixa 2","Cotação (≥3 propostas)","Chamada pública")))</f>
        <v/>
      </c>
      <c r="I74" s="11"/>
      <c r="J74" s="17" t="str">
        <f aca="false">IF(I74="","",IFERROR(INDEX(Cadastro!$B$5:$B$304,MATCH(I74,Cadastro!$A$5:$A$304,0)),"ID não encontrado"))</f>
        <v/>
      </c>
      <c r="K74" s="17" t="str">
        <f aca="false">IF(I74="","",IFERROR(INDEX(Cadastro!$E$5:$E$304,MATCH(I74,Cadastro!$A$5:$A$304,0)),""))</f>
        <v/>
      </c>
      <c r="L74" s="17" t="str">
        <f aca="false">IF(I74="","",IFERROR(INDEX(Cadastro!$F$5:$F$304,MATCH(I74,Cadastro!$A$5:$A$304,0)),""))</f>
        <v/>
      </c>
      <c r="M74" s="17" t="str">
        <f aca="false">IF(I74="","",IFERROR(INDEX(Cadastro!$I$5:$I$304,MATCH(I74,Cadastro!$A$5:$A$304,0)),""))</f>
        <v/>
      </c>
      <c r="N74" s="19"/>
      <c r="O74" s="13"/>
      <c r="P74" s="12" t="str">
        <f aca="false">IF(OR(B74="",O74=""),"",NETWORKDAYS(B74,O74)-1)</f>
        <v/>
      </c>
      <c r="Q74" s="13"/>
      <c r="R74" s="11"/>
      <c r="S74" s="13"/>
      <c r="T74" s="11"/>
      <c r="U74" s="11"/>
      <c r="V74" s="11"/>
      <c r="W74" s="11"/>
      <c r="X74" s="11"/>
    </row>
    <row r="75" customFormat="false" ht="15" hidden="false" customHeight="false" outlineLevel="0" collapsed="false">
      <c r="A75" s="11"/>
      <c r="B75" s="13"/>
      <c r="C75" s="11"/>
      <c r="D75" s="11"/>
      <c r="E75" s="11"/>
      <c r="F75" s="19"/>
      <c r="G75" s="12" t="str">
        <f aca="false">IF(F75="","",IF(F75&lt;=Parâmetros!$B$7,"Faixa 1",IF(F75&lt;=Parâmetros!$B$8,"Faixa 2","Faixa 3")))</f>
        <v/>
      </c>
      <c r="H75" s="12" t="str">
        <f aca="false">IF(G75="","",IF(G75="Faixa 1","Rodízio/Sorteio",IF(G75="Faixa 2","Cotação (≥3 propostas)","Chamada pública")))</f>
        <v/>
      </c>
      <c r="I75" s="11"/>
      <c r="J75" s="17" t="str">
        <f aca="false">IF(I75="","",IFERROR(INDEX(Cadastro!$B$5:$B$304,MATCH(I75,Cadastro!$A$5:$A$304,0)),"ID não encontrado"))</f>
        <v/>
      </c>
      <c r="K75" s="17" t="str">
        <f aca="false">IF(I75="","",IFERROR(INDEX(Cadastro!$E$5:$E$304,MATCH(I75,Cadastro!$A$5:$A$304,0)),""))</f>
        <v/>
      </c>
      <c r="L75" s="17" t="str">
        <f aca="false">IF(I75="","",IFERROR(INDEX(Cadastro!$F$5:$F$304,MATCH(I75,Cadastro!$A$5:$A$304,0)),""))</f>
        <v/>
      </c>
      <c r="M75" s="17" t="str">
        <f aca="false">IF(I75="","",IFERROR(INDEX(Cadastro!$I$5:$I$304,MATCH(I75,Cadastro!$A$5:$A$304,0)),""))</f>
        <v/>
      </c>
      <c r="N75" s="19"/>
      <c r="O75" s="13"/>
      <c r="P75" s="12" t="str">
        <f aca="false">IF(OR(B75="",O75=""),"",NETWORKDAYS(B75,O75)-1)</f>
        <v/>
      </c>
      <c r="Q75" s="13"/>
      <c r="R75" s="11"/>
      <c r="S75" s="13"/>
      <c r="T75" s="11"/>
      <c r="U75" s="11"/>
      <c r="V75" s="11"/>
      <c r="W75" s="11"/>
      <c r="X75" s="11"/>
    </row>
    <row r="76" customFormat="false" ht="15" hidden="false" customHeight="false" outlineLevel="0" collapsed="false">
      <c r="A76" s="11"/>
      <c r="B76" s="13"/>
      <c r="C76" s="11"/>
      <c r="D76" s="11"/>
      <c r="E76" s="11"/>
      <c r="F76" s="19"/>
      <c r="G76" s="12" t="str">
        <f aca="false">IF(F76="","",IF(F76&lt;=Parâmetros!$B$7,"Faixa 1",IF(F76&lt;=Parâmetros!$B$8,"Faixa 2","Faixa 3")))</f>
        <v/>
      </c>
      <c r="H76" s="12" t="str">
        <f aca="false">IF(G76="","",IF(G76="Faixa 1","Rodízio/Sorteio",IF(G76="Faixa 2","Cotação (≥3 propostas)","Chamada pública")))</f>
        <v/>
      </c>
      <c r="I76" s="11"/>
      <c r="J76" s="17" t="str">
        <f aca="false">IF(I76="","",IFERROR(INDEX(Cadastro!$B$5:$B$304,MATCH(I76,Cadastro!$A$5:$A$304,0)),"ID não encontrado"))</f>
        <v/>
      </c>
      <c r="K76" s="17" t="str">
        <f aca="false">IF(I76="","",IFERROR(INDEX(Cadastro!$E$5:$E$304,MATCH(I76,Cadastro!$A$5:$A$304,0)),""))</f>
        <v/>
      </c>
      <c r="L76" s="17" t="str">
        <f aca="false">IF(I76="","",IFERROR(INDEX(Cadastro!$F$5:$F$304,MATCH(I76,Cadastro!$A$5:$A$304,0)),""))</f>
        <v/>
      </c>
      <c r="M76" s="17" t="str">
        <f aca="false">IF(I76="","",IFERROR(INDEX(Cadastro!$I$5:$I$304,MATCH(I76,Cadastro!$A$5:$A$304,0)),""))</f>
        <v/>
      </c>
      <c r="N76" s="19"/>
      <c r="O76" s="13"/>
      <c r="P76" s="12" t="str">
        <f aca="false">IF(OR(B76="",O76=""),"",NETWORKDAYS(B76,O76)-1)</f>
        <v/>
      </c>
      <c r="Q76" s="13"/>
      <c r="R76" s="11"/>
      <c r="S76" s="13"/>
      <c r="T76" s="11"/>
      <c r="U76" s="11"/>
      <c r="V76" s="11"/>
      <c r="W76" s="11"/>
      <c r="X76" s="11"/>
    </row>
    <row r="77" customFormat="false" ht="15" hidden="false" customHeight="false" outlineLevel="0" collapsed="false">
      <c r="A77" s="11"/>
      <c r="B77" s="13"/>
      <c r="C77" s="11"/>
      <c r="D77" s="11"/>
      <c r="E77" s="11"/>
      <c r="F77" s="19"/>
      <c r="G77" s="12" t="str">
        <f aca="false">IF(F77="","",IF(F77&lt;=Parâmetros!$B$7,"Faixa 1",IF(F77&lt;=Parâmetros!$B$8,"Faixa 2","Faixa 3")))</f>
        <v/>
      </c>
      <c r="H77" s="12" t="str">
        <f aca="false">IF(G77="","",IF(G77="Faixa 1","Rodízio/Sorteio",IF(G77="Faixa 2","Cotação (≥3 propostas)","Chamada pública")))</f>
        <v/>
      </c>
      <c r="I77" s="11"/>
      <c r="J77" s="17" t="str">
        <f aca="false">IF(I77="","",IFERROR(INDEX(Cadastro!$B$5:$B$304,MATCH(I77,Cadastro!$A$5:$A$304,0)),"ID não encontrado"))</f>
        <v/>
      </c>
      <c r="K77" s="17" t="str">
        <f aca="false">IF(I77="","",IFERROR(INDEX(Cadastro!$E$5:$E$304,MATCH(I77,Cadastro!$A$5:$A$304,0)),""))</f>
        <v/>
      </c>
      <c r="L77" s="17" t="str">
        <f aca="false">IF(I77="","",IFERROR(INDEX(Cadastro!$F$5:$F$304,MATCH(I77,Cadastro!$A$5:$A$304,0)),""))</f>
        <v/>
      </c>
      <c r="M77" s="17" t="str">
        <f aca="false">IF(I77="","",IFERROR(INDEX(Cadastro!$I$5:$I$304,MATCH(I77,Cadastro!$A$5:$A$304,0)),""))</f>
        <v/>
      </c>
      <c r="N77" s="19"/>
      <c r="O77" s="13"/>
      <c r="P77" s="12" t="str">
        <f aca="false">IF(OR(B77="",O77=""),"",NETWORKDAYS(B77,O77)-1)</f>
        <v/>
      </c>
      <c r="Q77" s="13"/>
      <c r="R77" s="11"/>
      <c r="S77" s="13"/>
      <c r="T77" s="11"/>
      <c r="U77" s="11"/>
      <c r="V77" s="11"/>
      <c r="W77" s="11"/>
      <c r="X77" s="11"/>
    </row>
    <row r="78" customFormat="false" ht="15" hidden="false" customHeight="false" outlineLevel="0" collapsed="false">
      <c r="A78" s="11"/>
      <c r="B78" s="13"/>
      <c r="C78" s="11"/>
      <c r="D78" s="11"/>
      <c r="E78" s="11"/>
      <c r="F78" s="19"/>
      <c r="G78" s="12" t="str">
        <f aca="false">IF(F78="","",IF(F78&lt;=Parâmetros!$B$7,"Faixa 1",IF(F78&lt;=Parâmetros!$B$8,"Faixa 2","Faixa 3")))</f>
        <v/>
      </c>
      <c r="H78" s="12" t="str">
        <f aca="false">IF(G78="","",IF(G78="Faixa 1","Rodízio/Sorteio",IF(G78="Faixa 2","Cotação (≥3 propostas)","Chamada pública")))</f>
        <v/>
      </c>
      <c r="I78" s="11"/>
      <c r="J78" s="17" t="str">
        <f aca="false">IF(I78="","",IFERROR(INDEX(Cadastro!$B$5:$B$304,MATCH(I78,Cadastro!$A$5:$A$304,0)),"ID não encontrado"))</f>
        <v/>
      </c>
      <c r="K78" s="17" t="str">
        <f aca="false">IF(I78="","",IFERROR(INDEX(Cadastro!$E$5:$E$304,MATCH(I78,Cadastro!$A$5:$A$304,0)),""))</f>
        <v/>
      </c>
      <c r="L78" s="17" t="str">
        <f aca="false">IF(I78="","",IFERROR(INDEX(Cadastro!$F$5:$F$304,MATCH(I78,Cadastro!$A$5:$A$304,0)),""))</f>
        <v/>
      </c>
      <c r="M78" s="17" t="str">
        <f aca="false">IF(I78="","",IFERROR(INDEX(Cadastro!$I$5:$I$304,MATCH(I78,Cadastro!$A$5:$A$304,0)),""))</f>
        <v/>
      </c>
      <c r="N78" s="19"/>
      <c r="O78" s="13"/>
      <c r="P78" s="12" t="str">
        <f aca="false">IF(OR(B78="",O78=""),"",NETWORKDAYS(B78,O78)-1)</f>
        <v/>
      </c>
      <c r="Q78" s="13"/>
      <c r="R78" s="11"/>
      <c r="S78" s="13"/>
      <c r="T78" s="11"/>
      <c r="U78" s="11"/>
      <c r="V78" s="11"/>
      <c r="W78" s="11"/>
      <c r="X78" s="11"/>
    </row>
    <row r="79" customFormat="false" ht="15" hidden="false" customHeight="false" outlineLevel="0" collapsed="false">
      <c r="A79" s="11"/>
      <c r="B79" s="13"/>
      <c r="C79" s="11"/>
      <c r="D79" s="11"/>
      <c r="E79" s="11"/>
      <c r="F79" s="19"/>
      <c r="G79" s="12" t="str">
        <f aca="false">IF(F79="","",IF(F79&lt;=Parâmetros!$B$7,"Faixa 1",IF(F79&lt;=Parâmetros!$B$8,"Faixa 2","Faixa 3")))</f>
        <v/>
      </c>
      <c r="H79" s="12" t="str">
        <f aca="false">IF(G79="","",IF(G79="Faixa 1","Rodízio/Sorteio",IF(G79="Faixa 2","Cotação (≥3 propostas)","Chamada pública")))</f>
        <v/>
      </c>
      <c r="I79" s="11"/>
      <c r="J79" s="17" t="str">
        <f aca="false">IF(I79="","",IFERROR(INDEX(Cadastro!$B$5:$B$304,MATCH(I79,Cadastro!$A$5:$A$304,0)),"ID não encontrado"))</f>
        <v/>
      </c>
      <c r="K79" s="17" t="str">
        <f aca="false">IF(I79="","",IFERROR(INDEX(Cadastro!$E$5:$E$304,MATCH(I79,Cadastro!$A$5:$A$304,0)),""))</f>
        <v/>
      </c>
      <c r="L79" s="17" t="str">
        <f aca="false">IF(I79="","",IFERROR(INDEX(Cadastro!$F$5:$F$304,MATCH(I79,Cadastro!$A$5:$A$304,0)),""))</f>
        <v/>
      </c>
      <c r="M79" s="17" t="str">
        <f aca="false">IF(I79="","",IFERROR(INDEX(Cadastro!$I$5:$I$304,MATCH(I79,Cadastro!$A$5:$A$304,0)),""))</f>
        <v/>
      </c>
      <c r="N79" s="19"/>
      <c r="O79" s="13"/>
      <c r="P79" s="12" t="str">
        <f aca="false">IF(OR(B79="",O79=""),"",NETWORKDAYS(B79,O79)-1)</f>
        <v/>
      </c>
      <c r="Q79" s="13"/>
      <c r="R79" s="11"/>
      <c r="S79" s="13"/>
      <c r="T79" s="11"/>
      <c r="U79" s="11"/>
      <c r="V79" s="11"/>
      <c r="W79" s="11"/>
      <c r="X79" s="11"/>
    </row>
    <row r="80" customFormat="false" ht="15" hidden="false" customHeight="false" outlineLevel="0" collapsed="false">
      <c r="A80" s="11"/>
      <c r="B80" s="13"/>
      <c r="C80" s="11"/>
      <c r="D80" s="11"/>
      <c r="E80" s="11"/>
      <c r="F80" s="19"/>
      <c r="G80" s="12" t="str">
        <f aca="false">IF(F80="","",IF(F80&lt;=Parâmetros!$B$7,"Faixa 1",IF(F80&lt;=Parâmetros!$B$8,"Faixa 2","Faixa 3")))</f>
        <v/>
      </c>
      <c r="H80" s="12" t="str">
        <f aca="false">IF(G80="","",IF(G80="Faixa 1","Rodízio/Sorteio",IF(G80="Faixa 2","Cotação (≥3 propostas)","Chamada pública")))</f>
        <v/>
      </c>
      <c r="I80" s="11"/>
      <c r="J80" s="17" t="str">
        <f aca="false">IF(I80="","",IFERROR(INDEX(Cadastro!$B$5:$B$304,MATCH(I80,Cadastro!$A$5:$A$304,0)),"ID não encontrado"))</f>
        <v/>
      </c>
      <c r="K80" s="17" t="str">
        <f aca="false">IF(I80="","",IFERROR(INDEX(Cadastro!$E$5:$E$304,MATCH(I80,Cadastro!$A$5:$A$304,0)),""))</f>
        <v/>
      </c>
      <c r="L80" s="17" t="str">
        <f aca="false">IF(I80="","",IFERROR(INDEX(Cadastro!$F$5:$F$304,MATCH(I80,Cadastro!$A$5:$A$304,0)),""))</f>
        <v/>
      </c>
      <c r="M80" s="17" t="str">
        <f aca="false">IF(I80="","",IFERROR(INDEX(Cadastro!$I$5:$I$304,MATCH(I80,Cadastro!$A$5:$A$304,0)),""))</f>
        <v/>
      </c>
      <c r="N80" s="19"/>
      <c r="O80" s="13"/>
      <c r="P80" s="12" t="str">
        <f aca="false">IF(OR(B80="",O80=""),"",NETWORKDAYS(B80,O80)-1)</f>
        <v/>
      </c>
      <c r="Q80" s="13"/>
      <c r="R80" s="11"/>
      <c r="S80" s="13"/>
      <c r="T80" s="11"/>
      <c r="U80" s="11"/>
      <c r="V80" s="11"/>
      <c r="W80" s="11"/>
      <c r="X80" s="11"/>
    </row>
    <row r="81" customFormat="false" ht="15" hidden="false" customHeight="false" outlineLevel="0" collapsed="false">
      <c r="A81" s="11"/>
      <c r="B81" s="13"/>
      <c r="C81" s="11"/>
      <c r="D81" s="11"/>
      <c r="E81" s="11"/>
      <c r="F81" s="19"/>
      <c r="G81" s="12" t="str">
        <f aca="false">IF(F81="","",IF(F81&lt;=Parâmetros!$B$7,"Faixa 1",IF(F81&lt;=Parâmetros!$B$8,"Faixa 2","Faixa 3")))</f>
        <v/>
      </c>
      <c r="H81" s="12" t="str">
        <f aca="false">IF(G81="","",IF(G81="Faixa 1","Rodízio/Sorteio",IF(G81="Faixa 2","Cotação (≥3 propostas)","Chamada pública")))</f>
        <v/>
      </c>
      <c r="I81" s="11"/>
      <c r="J81" s="17" t="str">
        <f aca="false">IF(I81="","",IFERROR(INDEX(Cadastro!$B$5:$B$304,MATCH(I81,Cadastro!$A$5:$A$304,0)),"ID não encontrado"))</f>
        <v/>
      </c>
      <c r="K81" s="17" t="str">
        <f aca="false">IF(I81="","",IFERROR(INDEX(Cadastro!$E$5:$E$304,MATCH(I81,Cadastro!$A$5:$A$304,0)),""))</f>
        <v/>
      </c>
      <c r="L81" s="17" t="str">
        <f aca="false">IF(I81="","",IFERROR(INDEX(Cadastro!$F$5:$F$304,MATCH(I81,Cadastro!$A$5:$A$304,0)),""))</f>
        <v/>
      </c>
      <c r="M81" s="17" t="str">
        <f aca="false">IF(I81="","",IFERROR(INDEX(Cadastro!$I$5:$I$304,MATCH(I81,Cadastro!$A$5:$A$304,0)),""))</f>
        <v/>
      </c>
      <c r="N81" s="19"/>
      <c r="O81" s="13"/>
      <c r="P81" s="12" t="str">
        <f aca="false">IF(OR(B81="",O81=""),"",NETWORKDAYS(B81,O81)-1)</f>
        <v/>
      </c>
      <c r="Q81" s="13"/>
      <c r="R81" s="11"/>
      <c r="S81" s="13"/>
      <c r="T81" s="11"/>
      <c r="U81" s="11"/>
      <c r="V81" s="11"/>
      <c r="W81" s="11"/>
      <c r="X81" s="11"/>
    </row>
    <row r="82" customFormat="false" ht="15" hidden="false" customHeight="false" outlineLevel="0" collapsed="false">
      <c r="A82" s="11"/>
      <c r="B82" s="13"/>
      <c r="C82" s="11"/>
      <c r="D82" s="11"/>
      <c r="E82" s="11"/>
      <c r="F82" s="19"/>
      <c r="G82" s="12" t="str">
        <f aca="false">IF(F82="","",IF(F82&lt;=Parâmetros!$B$7,"Faixa 1",IF(F82&lt;=Parâmetros!$B$8,"Faixa 2","Faixa 3")))</f>
        <v/>
      </c>
      <c r="H82" s="12" t="str">
        <f aca="false">IF(G82="","",IF(G82="Faixa 1","Rodízio/Sorteio",IF(G82="Faixa 2","Cotação (≥3 propostas)","Chamada pública")))</f>
        <v/>
      </c>
      <c r="I82" s="11"/>
      <c r="J82" s="17" t="str">
        <f aca="false">IF(I82="","",IFERROR(INDEX(Cadastro!$B$5:$B$304,MATCH(I82,Cadastro!$A$5:$A$304,0)),"ID não encontrado"))</f>
        <v/>
      </c>
      <c r="K82" s="17" t="str">
        <f aca="false">IF(I82="","",IFERROR(INDEX(Cadastro!$E$5:$E$304,MATCH(I82,Cadastro!$A$5:$A$304,0)),""))</f>
        <v/>
      </c>
      <c r="L82" s="17" t="str">
        <f aca="false">IF(I82="","",IFERROR(INDEX(Cadastro!$F$5:$F$304,MATCH(I82,Cadastro!$A$5:$A$304,0)),""))</f>
        <v/>
      </c>
      <c r="M82" s="17" t="str">
        <f aca="false">IF(I82="","",IFERROR(INDEX(Cadastro!$I$5:$I$304,MATCH(I82,Cadastro!$A$5:$A$304,0)),""))</f>
        <v/>
      </c>
      <c r="N82" s="19"/>
      <c r="O82" s="13"/>
      <c r="P82" s="12" t="str">
        <f aca="false">IF(OR(B82="",O82=""),"",NETWORKDAYS(B82,O82)-1)</f>
        <v/>
      </c>
      <c r="Q82" s="13"/>
      <c r="R82" s="11"/>
      <c r="S82" s="13"/>
      <c r="T82" s="11"/>
      <c r="U82" s="11"/>
      <c r="V82" s="11"/>
      <c r="W82" s="11"/>
      <c r="X82" s="11"/>
    </row>
    <row r="83" customFormat="false" ht="15" hidden="false" customHeight="false" outlineLevel="0" collapsed="false">
      <c r="A83" s="11"/>
      <c r="B83" s="13"/>
      <c r="C83" s="11"/>
      <c r="D83" s="11"/>
      <c r="E83" s="11"/>
      <c r="F83" s="19"/>
      <c r="G83" s="12" t="str">
        <f aca="false">IF(F83="","",IF(F83&lt;=Parâmetros!$B$7,"Faixa 1",IF(F83&lt;=Parâmetros!$B$8,"Faixa 2","Faixa 3")))</f>
        <v/>
      </c>
      <c r="H83" s="12" t="str">
        <f aca="false">IF(G83="","",IF(G83="Faixa 1","Rodízio/Sorteio",IF(G83="Faixa 2","Cotação (≥3 propostas)","Chamada pública")))</f>
        <v/>
      </c>
      <c r="I83" s="11"/>
      <c r="J83" s="17" t="str">
        <f aca="false">IF(I83="","",IFERROR(INDEX(Cadastro!$B$5:$B$304,MATCH(I83,Cadastro!$A$5:$A$304,0)),"ID não encontrado"))</f>
        <v/>
      </c>
      <c r="K83" s="17" t="str">
        <f aca="false">IF(I83="","",IFERROR(INDEX(Cadastro!$E$5:$E$304,MATCH(I83,Cadastro!$A$5:$A$304,0)),""))</f>
        <v/>
      </c>
      <c r="L83" s="17" t="str">
        <f aca="false">IF(I83="","",IFERROR(INDEX(Cadastro!$F$5:$F$304,MATCH(I83,Cadastro!$A$5:$A$304,0)),""))</f>
        <v/>
      </c>
      <c r="M83" s="17" t="str">
        <f aca="false">IF(I83="","",IFERROR(INDEX(Cadastro!$I$5:$I$304,MATCH(I83,Cadastro!$A$5:$A$304,0)),""))</f>
        <v/>
      </c>
      <c r="N83" s="19"/>
      <c r="O83" s="13"/>
      <c r="P83" s="12" t="str">
        <f aca="false">IF(OR(B83="",O83=""),"",NETWORKDAYS(B83,O83)-1)</f>
        <v/>
      </c>
      <c r="Q83" s="13"/>
      <c r="R83" s="11"/>
      <c r="S83" s="13"/>
      <c r="T83" s="11"/>
      <c r="U83" s="11"/>
      <c r="V83" s="11"/>
      <c r="W83" s="11"/>
      <c r="X83" s="11"/>
    </row>
    <row r="84" customFormat="false" ht="15" hidden="false" customHeight="false" outlineLevel="0" collapsed="false">
      <c r="A84" s="11"/>
      <c r="B84" s="13"/>
      <c r="C84" s="11"/>
      <c r="D84" s="11"/>
      <c r="E84" s="11"/>
      <c r="F84" s="19"/>
      <c r="G84" s="12" t="str">
        <f aca="false">IF(F84="","",IF(F84&lt;=Parâmetros!$B$7,"Faixa 1",IF(F84&lt;=Parâmetros!$B$8,"Faixa 2","Faixa 3")))</f>
        <v/>
      </c>
      <c r="H84" s="12" t="str">
        <f aca="false">IF(G84="","",IF(G84="Faixa 1","Rodízio/Sorteio",IF(G84="Faixa 2","Cotação (≥3 propostas)","Chamada pública")))</f>
        <v/>
      </c>
      <c r="I84" s="11"/>
      <c r="J84" s="17" t="str">
        <f aca="false">IF(I84="","",IFERROR(INDEX(Cadastro!$B$5:$B$304,MATCH(I84,Cadastro!$A$5:$A$304,0)),"ID não encontrado"))</f>
        <v/>
      </c>
      <c r="K84" s="17" t="str">
        <f aca="false">IF(I84="","",IFERROR(INDEX(Cadastro!$E$5:$E$304,MATCH(I84,Cadastro!$A$5:$A$304,0)),""))</f>
        <v/>
      </c>
      <c r="L84" s="17" t="str">
        <f aca="false">IF(I84="","",IFERROR(INDEX(Cadastro!$F$5:$F$304,MATCH(I84,Cadastro!$A$5:$A$304,0)),""))</f>
        <v/>
      </c>
      <c r="M84" s="17" t="str">
        <f aca="false">IF(I84="","",IFERROR(INDEX(Cadastro!$I$5:$I$304,MATCH(I84,Cadastro!$A$5:$A$304,0)),""))</f>
        <v/>
      </c>
      <c r="N84" s="19"/>
      <c r="O84" s="13"/>
      <c r="P84" s="12" t="str">
        <f aca="false">IF(OR(B84="",O84=""),"",NETWORKDAYS(B84,O84)-1)</f>
        <v/>
      </c>
      <c r="Q84" s="13"/>
      <c r="R84" s="11"/>
      <c r="S84" s="13"/>
      <c r="T84" s="11"/>
      <c r="U84" s="11"/>
      <c r="V84" s="11"/>
      <c r="W84" s="11"/>
      <c r="X84" s="11"/>
    </row>
    <row r="85" customFormat="false" ht="15" hidden="false" customHeight="false" outlineLevel="0" collapsed="false">
      <c r="A85" s="11"/>
      <c r="B85" s="13"/>
      <c r="C85" s="11"/>
      <c r="D85" s="11"/>
      <c r="E85" s="11"/>
      <c r="F85" s="19"/>
      <c r="G85" s="12" t="str">
        <f aca="false">IF(F85="","",IF(F85&lt;=Parâmetros!$B$7,"Faixa 1",IF(F85&lt;=Parâmetros!$B$8,"Faixa 2","Faixa 3")))</f>
        <v/>
      </c>
      <c r="H85" s="12" t="str">
        <f aca="false">IF(G85="","",IF(G85="Faixa 1","Rodízio/Sorteio",IF(G85="Faixa 2","Cotação (≥3 propostas)","Chamada pública")))</f>
        <v/>
      </c>
      <c r="I85" s="11"/>
      <c r="J85" s="17" t="str">
        <f aca="false">IF(I85="","",IFERROR(INDEX(Cadastro!$B$5:$B$304,MATCH(I85,Cadastro!$A$5:$A$304,0)),"ID não encontrado"))</f>
        <v/>
      </c>
      <c r="K85" s="17" t="str">
        <f aca="false">IF(I85="","",IFERROR(INDEX(Cadastro!$E$5:$E$304,MATCH(I85,Cadastro!$A$5:$A$304,0)),""))</f>
        <v/>
      </c>
      <c r="L85" s="17" t="str">
        <f aca="false">IF(I85="","",IFERROR(INDEX(Cadastro!$F$5:$F$304,MATCH(I85,Cadastro!$A$5:$A$304,0)),""))</f>
        <v/>
      </c>
      <c r="M85" s="17" t="str">
        <f aca="false">IF(I85="","",IFERROR(INDEX(Cadastro!$I$5:$I$304,MATCH(I85,Cadastro!$A$5:$A$304,0)),""))</f>
        <v/>
      </c>
      <c r="N85" s="19"/>
      <c r="O85" s="13"/>
      <c r="P85" s="12" t="str">
        <f aca="false">IF(OR(B85="",O85=""),"",NETWORKDAYS(B85,O85)-1)</f>
        <v/>
      </c>
      <c r="Q85" s="13"/>
      <c r="R85" s="11"/>
      <c r="S85" s="13"/>
      <c r="T85" s="11"/>
      <c r="U85" s="11"/>
      <c r="V85" s="11"/>
      <c r="W85" s="11"/>
      <c r="X85" s="11"/>
    </row>
    <row r="86" customFormat="false" ht="15" hidden="false" customHeight="false" outlineLevel="0" collapsed="false">
      <c r="A86" s="11"/>
      <c r="B86" s="13"/>
      <c r="C86" s="11"/>
      <c r="D86" s="11"/>
      <c r="E86" s="11"/>
      <c r="F86" s="19"/>
      <c r="G86" s="12" t="str">
        <f aca="false">IF(F86="","",IF(F86&lt;=Parâmetros!$B$7,"Faixa 1",IF(F86&lt;=Parâmetros!$B$8,"Faixa 2","Faixa 3")))</f>
        <v/>
      </c>
      <c r="H86" s="12" t="str">
        <f aca="false">IF(G86="","",IF(G86="Faixa 1","Rodízio/Sorteio",IF(G86="Faixa 2","Cotação (≥3 propostas)","Chamada pública")))</f>
        <v/>
      </c>
      <c r="I86" s="11"/>
      <c r="J86" s="17" t="str">
        <f aca="false">IF(I86="","",IFERROR(INDEX(Cadastro!$B$5:$B$304,MATCH(I86,Cadastro!$A$5:$A$304,0)),"ID não encontrado"))</f>
        <v/>
      </c>
      <c r="K86" s="17" t="str">
        <f aca="false">IF(I86="","",IFERROR(INDEX(Cadastro!$E$5:$E$304,MATCH(I86,Cadastro!$A$5:$A$304,0)),""))</f>
        <v/>
      </c>
      <c r="L86" s="17" t="str">
        <f aca="false">IF(I86="","",IFERROR(INDEX(Cadastro!$F$5:$F$304,MATCH(I86,Cadastro!$A$5:$A$304,0)),""))</f>
        <v/>
      </c>
      <c r="M86" s="17" t="str">
        <f aca="false">IF(I86="","",IFERROR(INDEX(Cadastro!$I$5:$I$304,MATCH(I86,Cadastro!$A$5:$A$304,0)),""))</f>
        <v/>
      </c>
      <c r="N86" s="19"/>
      <c r="O86" s="13"/>
      <c r="P86" s="12" t="str">
        <f aca="false">IF(OR(B86="",O86=""),"",NETWORKDAYS(B86,O86)-1)</f>
        <v/>
      </c>
      <c r="Q86" s="13"/>
      <c r="R86" s="11"/>
      <c r="S86" s="13"/>
      <c r="T86" s="11"/>
      <c r="U86" s="11"/>
      <c r="V86" s="11"/>
      <c r="W86" s="11"/>
      <c r="X86" s="11"/>
    </row>
    <row r="87" customFormat="false" ht="15" hidden="false" customHeight="false" outlineLevel="0" collapsed="false">
      <c r="A87" s="11"/>
      <c r="B87" s="13"/>
      <c r="C87" s="11"/>
      <c r="D87" s="11"/>
      <c r="E87" s="11"/>
      <c r="F87" s="19"/>
      <c r="G87" s="12" t="str">
        <f aca="false">IF(F87="","",IF(F87&lt;=Parâmetros!$B$7,"Faixa 1",IF(F87&lt;=Parâmetros!$B$8,"Faixa 2","Faixa 3")))</f>
        <v/>
      </c>
      <c r="H87" s="12" t="str">
        <f aca="false">IF(G87="","",IF(G87="Faixa 1","Rodízio/Sorteio",IF(G87="Faixa 2","Cotação (≥3 propostas)","Chamada pública")))</f>
        <v/>
      </c>
      <c r="I87" s="11"/>
      <c r="J87" s="17" t="str">
        <f aca="false">IF(I87="","",IFERROR(INDEX(Cadastro!$B$5:$B$304,MATCH(I87,Cadastro!$A$5:$A$304,0)),"ID não encontrado"))</f>
        <v/>
      </c>
      <c r="K87" s="17" t="str">
        <f aca="false">IF(I87="","",IFERROR(INDEX(Cadastro!$E$5:$E$304,MATCH(I87,Cadastro!$A$5:$A$304,0)),""))</f>
        <v/>
      </c>
      <c r="L87" s="17" t="str">
        <f aca="false">IF(I87="","",IFERROR(INDEX(Cadastro!$F$5:$F$304,MATCH(I87,Cadastro!$A$5:$A$304,0)),""))</f>
        <v/>
      </c>
      <c r="M87" s="17" t="str">
        <f aca="false">IF(I87="","",IFERROR(INDEX(Cadastro!$I$5:$I$304,MATCH(I87,Cadastro!$A$5:$A$304,0)),""))</f>
        <v/>
      </c>
      <c r="N87" s="19"/>
      <c r="O87" s="13"/>
      <c r="P87" s="12" t="str">
        <f aca="false">IF(OR(B87="",O87=""),"",NETWORKDAYS(B87,O87)-1)</f>
        <v/>
      </c>
      <c r="Q87" s="13"/>
      <c r="R87" s="11"/>
      <c r="S87" s="13"/>
      <c r="T87" s="11"/>
      <c r="U87" s="11"/>
      <c r="V87" s="11"/>
      <c r="W87" s="11"/>
      <c r="X87" s="11"/>
    </row>
    <row r="88" customFormat="false" ht="15" hidden="false" customHeight="false" outlineLevel="0" collapsed="false">
      <c r="A88" s="11"/>
      <c r="B88" s="13"/>
      <c r="C88" s="11"/>
      <c r="D88" s="11"/>
      <c r="E88" s="11"/>
      <c r="F88" s="19"/>
      <c r="G88" s="12" t="str">
        <f aca="false">IF(F88="","",IF(F88&lt;=Parâmetros!$B$7,"Faixa 1",IF(F88&lt;=Parâmetros!$B$8,"Faixa 2","Faixa 3")))</f>
        <v/>
      </c>
      <c r="H88" s="12" t="str">
        <f aca="false">IF(G88="","",IF(G88="Faixa 1","Rodízio/Sorteio",IF(G88="Faixa 2","Cotação (≥3 propostas)","Chamada pública")))</f>
        <v/>
      </c>
      <c r="I88" s="11"/>
      <c r="J88" s="17" t="str">
        <f aca="false">IF(I88="","",IFERROR(INDEX(Cadastro!$B$5:$B$304,MATCH(I88,Cadastro!$A$5:$A$304,0)),"ID não encontrado"))</f>
        <v/>
      </c>
      <c r="K88" s="17" t="str">
        <f aca="false">IF(I88="","",IFERROR(INDEX(Cadastro!$E$5:$E$304,MATCH(I88,Cadastro!$A$5:$A$304,0)),""))</f>
        <v/>
      </c>
      <c r="L88" s="17" t="str">
        <f aca="false">IF(I88="","",IFERROR(INDEX(Cadastro!$F$5:$F$304,MATCH(I88,Cadastro!$A$5:$A$304,0)),""))</f>
        <v/>
      </c>
      <c r="M88" s="17" t="str">
        <f aca="false">IF(I88="","",IFERROR(INDEX(Cadastro!$I$5:$I$304,MATCH(I88,Cadastro!$A$5:$A$304,0)),""))</f>
        <v/>
      </c>
      <c r="N88" s="19"/>
      <c r="O88" s="13"/>
      <c r="P88" s="12" t="str">
        <f aca="false">IF(OR(B88="",O88=""),"",NETWORKDAYS(B88,O88)-1)</f>
        <v/>
      </c>
      <c r="Q88" s="13"/>
      <c r="R88" s="11"/>
      <c r="S88" s="13"/>
      <c r="T88" s="11"/>
      <c r="U88" s="11"/>
      <c r="V88" s="11"/>
      <c r="W88" s="11"/>
      <c r="X88" s="11"/>
    </row>
    <row r="89" customFormat="false" ht="15" hidden="false" customHeight="false" outlineLevel="0" collapsed="false">
      <c r="A89" s="11"/>
      <c r="B89" s="13"/>
      <c r="C89" s="11"/>
      <c r="D89" s="11"/>
      <c r="E89" s="11"/>
      <c r="F89" s="19"/>
      <c r="G89" s="12" t="str">
        <f aca="false">IF(F89="","",IF(F89&lt;=Parâmetros!$B$7,"Faixa 1",IF(F89&lt;=Parâmetros!$B$8,"Faixa 2","Faixa 3")))</f>
        <v/>
      </c>
      <c r="H89" s="12" t="str">
        <f aca="false">IF(G89="","",IF(G89="Faixa 1","Rodízio/Sorteio",IF(G89="Faixa 2","Cotação (≥3 propostas)","Chamada pública")))</f>
        <v/>
      </c>
      <c r="I89" s="11"/>
      <c r="J89" s="17" t="str">
        <f aca="false">IF(I89="","",IFERROR(INDEX(Cadastro!$B$5:$B$304,MATCH(I89,Cadastro!$A$5:$A$304,0)),"ID não encontrado"))</f>
        <v/>
      </c>
      <c r="K89" s="17" t="str">
        <f aca="false">IF(I89="","",IFERROR(INDEX(Cadastro!$E$5:$E$304,MATCH(I89,Cadastro!$A$5:$A$304,0)),""))</f>
        <v/>
      </c>
      <c r="L89" s="17" t="str">
        <f aca="false">IF(I89="","",IFERROR(INDEX(Cadastro!$F$5:$F$304,MATCH(I89,Cadastro!$A$5:$A$304,0)),""))</f>
        <v/>
      </c>
      <c r="M89" s="17" t="str">
        <f aca="false">IF(I89="","",IFERROR(INDEX(Cadastro!$I$5:$I$304,MATCH(I89,Cadastro!$A$5:$A$304,0)),""))</f>
        <v/>
      </c>
      <c r="N89" s="19"/>
      <c r="O89" s="13"/>
      <c r="P89" s="12" t="str">
        <f aca="false">IF(OR(B89="",O89=""),"",NETWORKDAYS(B89,O89)-1)</f>
        <v/>
      </c>
      <c r="Q89" s="13"/>
      <c r="R89" s="11"/>
      <c r="S89" s="13"/>
      <c r="T89" s="11"/>
      <c r="U89" s="11"/>
      <c r="V89" s="11"/>
      <c r="W89" s="11"/>
      <c r="X89" s="11"/>
    </row>
    <row r="90" customFormat="false" ht="15" hidden="false" customHeight="false" outlineLevel="0" collapsed="false">
      <c r="A90" s="11"/>
      <c r="B90" s="13"/>
      <c r="C90" s="11"/>
      <c r="D90" s="11"/>
      <c r="E90" s="11"/>
      <c r="F90" s="19"/>
      <c r="G90" s="12" t="str">
        <f aca="false">IF(F90="","",IF(F90&lt;=Parâmetros!$B$7,"Faixa 1",IF(F90&lt;=Parâmetros!$B$8,"Faixa 2","Faixa 3")))</f>
        <v/>
      </c>
      <c r="H90" s="12" t="str">
        <f aca="false">IF(G90="","",IF(G90="Faixa 1","Rodízio/Sorteio",IF(G90="Faixa 2","Cotação (≥3 propostas)","Chamada pública")))</f>
        <v/>
      </c>
      <c r="I90" s="11"/>
      <c r="J90" s="17" t="str">
        <f aca="false">IF(I90="","",IFERROR(INDEX(Cadastro!$B$5:$B$304,MATCH(I90,Cadastro!$A$5:$A$304,0)),"ID não encontrado"))</f>
        <v/>
      </c>
      <c r="K90" s="17" t="str">
        <f aca="false">IF(I90="","",IFERROR(INDEX(Cadastro!$E$5:$E$304,MATCH(I90,Cadastro!$A$5:$A$304,0)),""))</f>
        <v/>
      </c>
      <c r="L90" s="17" t="str">
        <f aca="false">IF(I90="","",IFERROR(INDEX(Cadastro!$F$5:$F$304,MATCH(I90,Cadastro!$A$5:$A$304,0)),""))</f>
        <v/>
      </c>
      <c r="M90" s="17" t="str">
        <f aca="false">IF(I90="","",IFERROR(INDEX(Cadastro!$I$5:$I$304,MATCH(I90,Cadastro!$A$5:$A$304,0)),""))</f>
        <v/>
      </c>
      <c r="N90" s="19"/>
      <c r="O90" s="13"/>
      <c r="P90" s="12" t="str">
        <f aca="false">IF(OR(B90="",O90=""),"",NETWORKDAYS(B90,O90)-1)</f>
        <v/>
      </c>
      <c r="Q90" s="13"/>
      <c r="R90" s="11"/>
      <c r="S90" s="13"/>
      <c r="T90" s="11"/>
      <c r="U90" s="11"/>
      <c r="V90" s="11"/>
      <c r="W90" s="11"/>
      <c r="X90" s="11"/>
    </row>
    <row r="91" customFormat="false" ht="15" hidden="false" customHeight="false" outlineLevel="0" collapsed="false">
      <c r="A91" s="11"/>
      <c r="B91" s="13"/>
      <c r="C91" s="11"/>
      <c r="D91" s="11"/>
      <c r="E91" s="11"/>
      <c r="F91" s="19"/>
      <c r="G91" s="12" t="str">
        <f aca="false">IF(F91="","",IF(F91&lt;=Parâmetros!$B$7,"Faixa 1",IF(F91&lt;=Parâmetros!$B$8,"Faixa 2","Faixa 3")))</f>
        <v/>
      </c>
      <c r="H91" s="12" t="str">
        <f aca="false">IF(G91="","",IF(G91="Faixa 1","Rodízio/Sorteio",IF(G91="Faixa 2","Cotação (≥3 propostas)","Chamada pública")))</f>
        <v/>
      </c>
      <c r="I91" s="11"/>
      <c r="J91" s="17" t="str">
        <f aca="false">IF(I91="","",IFERROR(INDEX(Cadastro!$B$5:$B$304,MATCH(I91,Cadastro!$A$5:$A$304,0)),"ID não encontrado"))</f>
        <v/>
      </c>
      <c r="K91" s="17" t="str">
        <f aca="false">IF(I91="","",IFERROR(INDEX(Cadastro!$E$5:$E$304,MATCH(I91,Cadastro!$A$5:$A$304,0)),""))</f>
        <v/>
      </c>
      <c r="L91" s="17" t="str">
        <f aca="false">IF(I91="","",IFERROR(INDEX(Cadastro!$F$5:$F$304,MATCH(I91,Cadastro!$A$5:$A$304,0)),""))</f>
        <v/>
      </c>
      <c r="M91" s="17" t="str">
        <f aca="false">IF(I91="","",IFERROR(INDEX(Cadastro!$I$5:$I$304,MATCH(I91,Cadastro!$A$5:$A$304,0)),""))</f>
        <v/>
      </c>
      <c r="N91" s="19"/>
      <c r="O91" s="13"/>
      <c r="P91" s="12" t="str">
        <f aca="false">IF(OR(B91="",O91=""),"",NETWORKDAYS(B91,O91)-1)</f>
        <v/>
      </c>
      <c r="Q91" s="13"/>
      <c r="R91" s="11"/>
      <c r="S91" s="13"/>
      <c r="T91" s="11"/>
      <c r="U91" s="11"/>
      <c r="V91" s="11"/>
      <c r="W91" s="11"/>
      <c r="X91" s="11"/>
    </row>
    <row r="92" customFormat="false" ht="15" hidden="false" customHeight="false" outlineLevel="0" collapsed="false">
      <c r="A92" s="11"/>
      <c r="B92" s="13"/>
      <c r="C92" s="11"/>
      <c r="D92" s="11"/>
      <c r="E92" s="11"/>
      <c r="F92" s="19"/>
      <c r="G92" s="12" t="str">
        <f aca="false">IF(F92="","",IF(F92&lt;=Parâmetros!$B$7,"Faixa 1",IF(F92&lt;=Parâmetros!$B$8,"Faixa 2","Faixa 3")))</f>
        <v/>
      </c>
      <c r="H92" s="12" t="str">
        <f aca="false">IF(G92="","",IF(G92="Faixa 1","Rodízio/Sorteio",IF(G92="Faixa 2","Cotação (≥3 propostas)","Chamada pública")))</f>
        <v/>
      </c>
      <c r="I92" s="11"/>
      <c r="J92" s="17" t="str">
        <f aca="false">IF(I92="","",IFERROR(INDEX(Cadastro!$B$5:$B$304,MATCH(I92,Cadastro!$A$5:$A$304,0)),"ID não encontrado"))</f>
        <v/>
      </c>
      <c r="K92" s="17" t="str">
        <f aca="false">IF(I92="","",IFERROR(INDEX(Cadastro!$E$5:$E$304,MATCH(I92,Cadastro!$A$5:$A$304,0)),""))</f>
        <v/>
      </c>
      <c r="L92" s="17" t="str">
        <f aca="false">IF(I92="","",IFERROR(INDEX(Cadastro!$F$5:$F$304,MATCH(I92,Cadastro!$A$5:$A$304,0)),""))</f>
        <v/>
      </c>
      <c r="M92" s="17" t="str">
        <f aca="false">IF(I92="","",IFERROR(INDEX(Cadastro!$I$5:$I$304,MATCH(I92,Cadastro!$A$5:$A$304,0)),""))</f>
        <v/>
      </c>
      <c r="N92" s="19"/>
      <c r="O92" s="13"/>
      <c r="P92" s="12" t="str">
        <f aca="false">IF(OR(B92="",O92=""),"",NETWORKDAYS(B92,O92)-1)</f>
        <v/>
      </c>
      <c r="Q92" s="13"/>
      <c r="R92" s="11"/>
      <c r="S92" s="13"/>
      <c r="T92" s="11"/>
      <c r="U92" s="11"/>
      <c r="V92" s="11"/>
      <c r="W92" s="11"/>
      <c r="X92" s="11"/>
    </row>
    <row r="93" customFormat="false" ht="15" hidden="false" customHeight="false" outlineLevel="0" collapsed="false">
      <c r="A93" s="11"/>
      <c r="B93" s="13"/>
      <c r="C93" s="11"/>
      <c r="D93" s="11"/>
      <c r="E93" s="11"/>
      <c r="F93" s="19"/>
      <c r="G93" s="12" t="str">
        <f aca="false">IF(F93="","",IF(F93&lt;=Parâmetros!$B$7,"Faixa 1",IF(F93&lt;=Parâmetros!$B$8,"Faixa 2","Faixa 3")))</f>
        <v/>
      </c>
      <c r="H93" s="12" t="str">
        <f aca="false">IF(G93="","",IF(G93="Faixa 1","Rodízio/Sorteio",IF(G93="Faixa 2","Cotação (≥3 propostas)","Chamada pública")))</f>
        <v/>
      </c>
      <c r="I93" s="11"/>
      <c r="J93" s="17" t="str">
        <f aca="false">IF(I93="","",IFERROR(INDEX(Cadastro!$B$5:$B$304,MATCH(I93,Cadastro!$A$5:$A$304,0)),"ID não encontrado"))</f>
        <v/>
      </c>
      <c r="K93" s="17" t="str">
        <f aca="false">IF(I93="","",IFERROR(INDEX(Cadastro!$E$5:$E$304,MATCH(I93,Cadastro!$A$5:$A$304,0)),""))</f>
        <v/>
      </c>
      <c r="L93" s="17" t="str">
        <f aca="false">IF(I93="","",IFERROR(INDEX(Cadastro!$F$5:$F$304,MATCH(I93,Cadastro!$A$5:$A$304,0)),""))</f>
        <v/>
      </c>
      <c r="M93" s="17" t="str">
        <f aca="false">IF(I93="","",IFERROR(INDEX(Cadastro!$I$5:$I$304,MATCH(I93,Cadastro!$A$5:$A$304,0)),""))</f>
        <v/>
      </c>
      <c r="N93" s="19"/>
      <c r="O93" s="13"/>
      <c r="P93" s="12" t="str">
        <f aca="false">IF(OR(B93="",O93=""),"",NETWORKDAYS(B93,O93)-1)</f>
        <v/>
      </c>
      <c r="Q93" s="13"/>
      <c r="R93" s="11"/>
      <c r="S93" s="13"/>
      <c r="T93" s="11"/>
      <c r="U93" s="11"/>
      <c r="V93" s="11"/>
      <c r="W93" s="11"/>
      <c r="X93" s="11"/>
    </row>
    <row r="94" customFormat="false" ht="15" hidden="false" customHeight="false" outlineLevel="0" collapsed="false">
      <c r="A94" s="11"/>
      <c r="B94" s="13"/>
      <c r="C94" s="11"/>
      <c r="D94" s="11"/>
      <c r="E94" s="11"/>
      <c r="F94" s="19"/>
      <c r="G94" s="12" t="str">
        <f aca="false">IF(F94="","",IF(F94&lt;=Parâmetros!$B$7,"Faixa 1",IF(F94&lt;=Parâmetros!$B$8,"Faixa 2","Faixa 3")))</f>
        <v/>
      </c>
      <c r="H94" s="12" t="str">
        <f aca="false">IF(G94="","",IF(G94="Faixa 1","Rodízio/Sorteio",IF(G94="Faixa 2","Cotação (≥3 propostas)","Chamada pública")))</f>
        <v/>
      </c>
      <c r="I94" s="11"/>
      <c r="J94" s="17" t="str">
        <f aca="false">IF(I94="","",IFERROR(INDEX(Cadastro!$B$5:$B$304,MATCH(I94,Cadastro!$A$5:$A$304,0)),"ID não encontrado"))</f>
        <v/>
      </c>
      <c r="K94" s="17" t="str">
        <f aca="false">IF(I94="","",IFERROR(INDEX(Cadastro!$E$5:$E$304,MATCH(I94,Cadastro!$A$5:$A$304,0)),""))</f>
        <v/>
      </c>
      <c r="L94" s="17" t="str">
        <f aca="false">IF(I94="","",IFERROR(INDEX(Cadastro!$F$5:$F$304,MATCH(I94,Cadastro!$A$5:$A$304,0)),""))</f>
        <v/>
      </c>
      <c r="M94" s="17" t="str">
        <f aca="false">IF(I94="","",IFERROR(INDEX(Cadastro!$I$5:$I$304,MATCH(I94,Cadastro!$A$5:$A$304,0)),""))</f>
        <v/>
      </c>
      <c r="N94" s="19"/>
      <c r="O94" s="13"/>
      <c r="P94" s="12" t="str">
        <f aca="false">IF(OR(B94="",O94=""),"",NETWORKDAYS(B94,O94)-1)</f>
        <v/>
      </c>
      <c r="Q94" s="13"/>
      <c r="R94" s="11"/>
      <c r="S94" s="13"/>
      <c r="T94" s="11"/>
      <c r="U94" s="11"/>
      <c r="V94" s="11"/>
      <c r="W94" s="11"/>
      <c r="X94" s="11"/>
    </row>
    <row r="95" customFormat="false" ht="15" hidden="false" customHeight="false" outlineLevel="0" collapsed="false">
      <c r="A95" s="11"/>
      <c r="B95" s="13"/>
      <c r="C95" s="11"/>
      <c r="D95" s="11"/>
      <c r="E95" s="11"/>
      <c r="F95" s="19"/>
      <c r="G95" s="12" t="str">
        <f aca="false">IF(F95="","",IF(F95&lt;=Parâmetros!$B$7,"Faixa 1",IF(F95&lt;=Parâmetros!$B$8,"Faixa 2","Faixa 3")))</f>
        <v/>
      </c>
      <c r="H95" s="12" t="str">
        <f aca="false">IF(G95="","",IF(G95="Faixa 1","Rodízio/Sorteio",IF(G95="Faixa 2","Cotação (≥3 propostas)","Chamada pública")))</f>
        <v/>
      </c>
      <c r="I95" s="11"/>
      <c r="J95" s="17" t="str">
        <f aca="false">IF(I95="","",IFERROR(INDEX(Cadastro!$B$5:$B$304,MATCH(I95,Cadastro!$A$5:$A$304,0)),"ID não encontrado"))</f>
        <v/>
      </c>
      <c r="K95" s="17" t="str">
        <f aca="false">IF(I95="","",IFERROR(INDEX(Cadastro!$E$5:$E$304,MATCH(I95,Cadastro!$A$5:$A$304,0)),""))</f>
        <v/>
      </c>
      <c r="L95" s="17" t="str">
        <f aca="false">IF(I95="","",IFERROR(INDEX(Cadastro!$F$5:$F$304,MATCH(I95,Cadastro!$A$5:$A$304,0)),""))</f>
        <v/>
      </c>
      <c r="M95" s="17" t="str">
        <f aca="false">IF(I95="","",IFERROR(INDEX(Cadastro!$I$5:$I$304,MATCH(I95,Cadastro!$A$5:$A$304,0)),""))</f>
        <v/>
      </c>
      <c r="N95" s="19"/>
      <c r="O95" s="13"/>
      <c r="P95" s="12" t="str">
        <f aca="false">IF(OR(B95="",O95=""),"",NETWORKDAYS(B95,O95)-1)</f>
        <v/>
      </c>
      <c r="Q95" s="13"/>
      <c r="R95" s="11"/>
      <c r="S95" s="13"/>
      <c r="T95" s="11"/>
      <c r="U95" s="11"/>
      <c r="V95" s="11"/>
      <c r="W95" s="11"/>
      <c r="X95" s="11"/>
    </row>
    <row r="96" customFormat="false" ht="15" hidden="false" customHeight="false" outlineLevel="0" collapsed="false">
      <c r="A96" s="11"/>
      <c r="B96" s="13"/>
      <c r="C96" s="11"/>
      <c r="D96" s="11"/>
      <c r="E96" s="11"/>
      <c r="F96" s="19"/>
      <c r="G96" s="12" t="str">
        <f aca="false">IF(F96="","",IF(F96&lt;=Parâmetros!$B$7,"Faixa 1",IF(F96&lt;=Parâmetros!$B$8,"Faixa 2","Faixa 3")))</f>
        <v/>
      </c>
      <c r="H96" s="12" t="str">
        <f aca="false">IF(G96="","",IF(G96="Faixa 1","Rodízio/Sorteio",IF(G96="Faixa 2","Cotação (≥3 propostas)","Chamada pública")))</f>
        <v/>
      </c>
      <c r="I96" s="11"/>
      <c r="J96" s="17" t="str">
        <f aca="false">IF(I96="","",IFERROR(INDEX(Cadastro!$B$5:$B$304,MATCH(I96,Cadastro!$A$5:$A$304,0)),"ID não encontrado"))</f>
        <v/>
      </c>
      <c r="K96" s="17" t="str">
        <f aca="false">IF(I96="","",IFERROR(INDEX(Cadastro!$E$5:$E$304,MATCH(I96,Cadastro!$A$5:$A$304,0)),""))</f>
        <v/>
      </c>
      <c r="L96" s="17" t="str">
        <f aca="false">IF(I96="","",IFERROR(INDEX(Cadastro!$F$5:$F$304,MATCH(I96,Cadastro!$A$5:$A$304,0)),""))</f>
        <v/>
      </c>
      <c r="M96" s="17" t="str">
        <f aca="false">IF(I96="","",IFERROR(INDEX(Cadastro!$I$5:$I$304,MATCH(I96,Cadastro!$A$5:$A$304,0)),""))</f>
        <v/>
      </c>
      <c r="N96" s="19"/>
      <c r="O96" s="13"/>
      <c r="P96" s="12" t="str">
        <f aca="false">IF(OR(B96="",O96=""),"",NETWORKDAYS(B96,O96)-1)</f>
        <v/>
      </c>
      <c r="Q96" s="13"/>
      <c r="R96" s="11"/>
      <c r="S96" s="13"/>
      <c r="T96" s="11"/>
      <c r="U96" s="11"/>
      <c r="V96" s="11"/>
      <c r="W96" s="11"/>
      <c r="X96" s="11"/>
    </row>
    <row r="97" customFormat="false" ht="15" hidden="false" customHeight="false" outlineLevel="0" collapsed="false">
      <c r="A97" s="11"/>
      <c r="B97" s="13"/>
      <c r="C97" s="11"/>
      <c r="D97" s="11"/>
      <c r="E97" s="11"/>
      <c r="F97" s="19"/>
      <c r="G97" s="12" t="str">
        <f aca="false">IF(F97="","",IF(F97&lt;=Parâmetros!$B$7,"Faixa 1",IF(F97&lt;=Parâmetros!$B$8,"Faixa 2","Faixa 3")))</f>
        <v/>
      </c>
      <c r="H97" s="12" t="str">
        <f aca="false">IF(G97="","",IF(G97="Faixa 1","Rodízio/Sorteio",IF(G97="Faixa 2","Cotação (≥3 propostas)","Chamada pública")))</f>
        <v/>
      </c>
      <c r="I97" s="11"/>
      <c r="J97" s="17" t="str">
        <f aca="false">IF(I97="","",IFERROR(INDEX(Cadastro!$B$5:$B$304,MATCH(I97,Cadastro!$A$5:$A$304,0)),"ID não encontrado"))</f>
        <v/>
      </c>
      <c r="K97" s="17" t="str">
        <f aca="false">IF(I97="","",IFERROR(INDEX(Cadastro!$E$5:$E$304,MATCH(I97,Cadastro!$A$5:$A$304,0)),""))</f>
        <v/>
      </c>
      <c r="L97" s="17" t="str">
        <f aca="false">IF(I97="","",IFERROR(INDEX(Cadastro!$F$5:$F$304,MATCH(I97,Cadastro!$A$5:$A$304,0)),""))</f>
        <v/>
      </c>
      <c r="M97" s="17" t="str">
        <f aca="false">IF(I97="","",IFERROR(INDEX(Cadastro!$I$5:$I$304,MATCH(I97,Cadastro!$A$5:$A$304,0)),""))</f>
        <v/>
      </c>
      <c r="N97" s="19"/>
      <c r="O97" s="13"/>
      <c r="P97" s="12" t="str">
        <f aca="false">IF(OR(B97="",O97=""),"",NETWORKDAYS(B97,O97)-1)</f>
        <v/>
      </c>
      <c r="Q97" s="13"/>
      <c r="R97" s="11"/>
      <c r="S97" s="13"/>
      <c r="T97" s="11"/>
      <c r="U97" s="11"/>
      <c r="V97" s="11"/>
      <c r="W97" s="11"/>
      <c r="X97" s="11"/>
    </row>
    <row r="98" customFormat="false" ht="15" hidden="false" customHeight="false" outlineLevel="0" collapsed="false">
      <c r="A98" s="11"/>
      <c r="B98" s="13"/>
      <c r="C98" s="11"/>
      <c r="D98" s="11"/>
      <c r="E98" s="11"/>
      <c r="F98" s="19"/>
      <c r="G98" s="12" t="str">
        <f aca="false">IF(F98="","",IF(F98&lt;=Parâmetros!$B$7,"Faixa 1",IF(F98&lt;=Parâmetros!$B$8,"Faixa 2","Faixa 3")))</f>
        <v/>
      </c>
      <c r="H98" s="12" t="str">
        <f aca="false">IF(G98="","",IF(G98="Faixa 1","Rodízio/Sorteio",IF(G98="Faixa 2","Cotação (≥3 propostas)","Chamada pública")))</f>
        <v/>
      </c>
      <c r="I98" s="11"/>
      <c r="J98" s="17" t="str">
        <f aca="false">IF(I98="","",IFERROR(INDEX(Cadastro!$B$5:$B$304,MATCH(I98,Cadastro!$A$5:$A$304,0)),"ID não encontrado"))</f>
        <v/>
      </c>
      <c r="K98" s="17" t="str">
        <f aca="false">IF(I98="","",IFERROR(INDEX(Cadastro!$E$5:$E$304,MATCH(I98,Cadastro!$A$5:$A$304,0)),""))</f>
        <v/>
      </c>
      <c r="L98" s="17" t="str">
        <f aca="false">IF(I98="","",IFERROR(INDEX(Cadastro!$F$5:$F$304,MATCH(I98,Cadastro!$A$5:$A$304,0)),""))</f>
        <v/>
      </c>
      <c r="M98" s="17" t="str">
        <f aca="false">IF(I98="","",IFERROR(INDEX(Cadastro!$I$5:$I$304,MATCH(I98,Cadastro!$A$5:$A$304,0)),""))</f>
        <v/>
      </c>
      <c r="N98" s="19"/>
      <c r="O98" s="13"/>
      <c r="P98" s="12" t="str">
        <f aca="false">IF(OR(B98="",O98=""),"",NETWORKDAYS(B98,O98)-1)</f>
        <v/>
      </c>
      <c r="Q98" s="13"/>
      <c r="R98" s="11"/>
      <c r="S98" s="13"/>
      <c r="T98" s="11"/>
      <c r="U98" s="11"/>
      <c r="V98" s="11"/>
      <c r="W98" s="11"/>
      <c r="X98" s="11"/>
    </row>
    <row r="99" customFormat="false" ht="15" hidden="false" customHeight="false" outlineLevel="0" collapsed="false">
      <c r="A99" s="11"/>
      <c r="B99" s="13"/>
      <c r="C99" s="11"/>
      <c r="D99" s="11"/>
      <c r="E99" s="11"/>
      <c r="F99" s="19"/>
      <c r="G99" s="12" t="str">
        <f aca="false">IF(F99="","",IF(F99&lt;=Parâmetros!$B$7,"Faixa 1",IF(F99&lt;=Parâmetros!$B$8,"Faixa 2","Faixa 3")))</f>
        <v/>
      </c>
      <c r="H99" s="12" t="str">
        <f aca="false">IF(G99="","",IF(G99="Faixa 1","Rodízio/Sorteio",IF(G99="Faixa 2","Cotação (≥3 propostas)","Chamada pública")))</f>
        <v/>
      </c>
      <c r="I99" s="11"/>
      <c r="J99" s="17" t="str">
        <f aca="false">IF(I99="","",IFERROR(INDEX(Cadastro!$B$5:$B$304,MATCH(I99,Cadastro!$A$5:$A$304,0)),"ID não encontrado"))</f>
        <v/>
      </c>
      <c r="K99" s="17" t="str">
        <f aca="false">IF(I99="","",IFERROR(INDEX(Cadastro!$E$5:$E$304,MATCH(I99,Cadastro!$A$5:$A$304,0)),""))</f>
        <v/>
      </c>
      <c r="L99" s="17" t="str">
        <f aca="false">IF(I99="","",IFERROR(INDEX(Cadastro!$F$5:$F$304,MATCH(I99,Cadastro!$A$5:$A$304,0)),""))</f>
        <v/>
      </c>
      <c r="M99" s="17" t="str">
        <f aca="false">IF(I99="","",IFERROR(INDEX(Cadastro!$I$5:$I$304,MATCH(I99,Cadastro!$A$5:$A$304,0)),""))</f>
        <v/>
      </c>
      <c r="N99" s="19"/>
      <c r="O99" s="13"/>
      <c r="P99" s="12" t="str">
        <f aca="false">IF(OR(B99="",O99=""),"",NETWORKDAYS(B99,O99)-1)</f>
        <v/>
      </c>
      <c r="Q99" s="13"/>
      <c r="R99" s="11"/>
      <c r="S99" s="13"/>
      <c r="T99" s="11"/>
      <c r="U99" s="11"/>
      <c r="V99" s="11"/>
      <c r="W99" s="11"/>
      <c r="X99" s="11"/>
    </row>
    <row r="100" customFormat="false" ht="15" hidden="false" customHeight="false" outlineLevel="0" collapsed="false">
      <c r="A100" s="11"/>
      <c r="B100" s="13"/>
      <c r="C100" s="11"/>
      <c r="D100" s="11"/>
      <c r="E100" s="11"/>
      <c r="F100" s="19"/>
      <c r="G100" s="12" t="str">
        <f aca="false">IF(F100="","",IF(F100&lt;=Parâmetros!$B$7,"Faixa 1",IF(F100&lt;=Parâmetros!$B$8,"Faixa 2","Faixa 3")))</f>
        <v/>
      </c>
      <c r="H100" s="12" t="str">
        <f aca="false">IF(G100="","",IF(G100="Faixa 1","Rodízio/Sorteio",IF(G100="Faixa 2","Cotação (≥3 propostas)","Chamada pública")))</f>
        <v/>
      </c>
      <c r="I100" s="11"/>
      <c r="J100" s="17" t="str">
        <f aca="false">IF(I100="","",IFERROR(INDEX(Cadastro!$B$5:$B$304,MATCH(I100,Cadastro!$A$5:$A$304,0)),"ID não encontrado"))</f>
        <v/>
      </c>
      <c r="K100" s="17" t="str">
        <f aca="false">IF(I100="","",IFERROR(INDEX(Cadastro!$E$5:$E$304,MATCH(I100,Cadastro!$A$5:$A$304,0)),""))</f>
        <v/>
      </c>
      <c r="L100" s="17" t="str">
        <f aca="false">IF(I100="","",IFERROR(INDEX(Cadastro!$F$5:$F$304,MATCH(I100,Cadastro!$A$5:$A$304,0)),""))</f>
        <v/>
      </c>
      <c r="M100" s="17" t="str">
        <f aca="false">IF(I100="","",IFERROR(INDEX(Cadastro!$I$5:$I$304,MATCH(I100,Cadastro!$A$5:$A$304,0)),""))</f>
        <v/>
      </c>
      <c r="N100" s="19"/>
      <c r="O100" s="13"/>
      <c r="P100" s="12" t="str">
        <f aca="false">IF(OR(B100="",O100=""),"",NETWORKDAYS(B100,O100)-1)</f>
        <v/>
      </c>
      <c r="Q100" s="13"/>
      <c r="R100" s="11"/>
      <c r="S100" s="13"/>
      <c r="T100" s="11"/>
      <c r="U100" s="11"/>
      <c r="V100" s="11"/>
      <c r="W100" s="11"/>
      <c r="X100" s="11"/>
    </row>
    <row r="101" customFormat="false" ht="15" hidden="false" customHeight="false" outlineLevel="0" collapsed="false">
      <c r="A101" s="11"/>
      <c r="B101" s="13"/>
      <c r="C101" s="11"/>
      <c r="D101" s="11"/>
      <c r="E101" s="11"/>
      <c r="F101" s="19"/>
      <c r="G101" s="12" t="str">
        <f aca="false">IF(F101="","",IF(F101&lt;=Parâmetros!$B$7,"Faixa 1",IF(F101&lt;=Parâmetros!$B$8,"Faixa 2","Faixa 3")))</f>
        <v/>
      </c>
      <c r="H101" s="12" t="str">
        <f aca="false">IF(G101="","",IF(G101="Faixa 1","Rodízio/Sorteio",IF(G101="Faixa 2","Cotação (≥3 propostas)","Chamada pública")))</f>
        <v/>
      </c>
      <c r="I101" s="11"/>
      <c r="J101" s="17" t="str">
        <f aca="false">IF(I101="","",IFERROR(INDEX(Cadastro!$B$5:$B$304,MATCH(I101,Cadastro!$A$5:$A$304,0)),"ID não encontrado"))</f>
        <v/>
      </c>
      <c r="K101" s="17" t="str">
        <f aca="false">IF(I101="","",IFERROR(INDEX(Cadastro!$E$5:$E$304,MATCH(I101,Cadastro!$A$5:$A$304,0)),""))</f>
        <v/>
      </c>
      <c r="L101" s="17" t="str">
        <f aca="false">IF(I101="","",IFERROR(INDEX(Cadastro!$F$5:$F$304,MATCH(I101,Cadastro!$A$5:$A$304,0)),""))</f>
        <v/>
      </c>
      <c r="M101" s="17" t="str">
        <f aca="false">IF(I101="","",IFERROR(INDEX(Cadastro!$I$5:$I$304,MATCH(I101,Cadastro!$A$5:$A$304,0)),""))</f>
        <v/>
      </c>
      <c r="N101" s="19"/>
      <c r="O101" s="13"/>
      <c r="P101" s="12" t="str">
        <f aca="false">IF(OR(B101="",O101=""),"",NETWORKDAYS(B101,O101)-1)</f>
        <v/>
      </c>
      <c r="Q101" s="13"/>
      <c r="R101" s="11"/>
      <c r="S101" s="13"/>
      <c r="T101" s="11"/>
      <c r="U101" s="11"/>
      <c r="V101" s="11"/>
      <c r="W101" s="11"/>
      <c r="X101" s="11"/>
    </row>
    <row r="102" customFormat="false" ht="15" hidden="false" customHeight="false" outlineLevel="0" collapsed="false">
      <c r="A102" s="11"/>
      <c r="B102" s="13"/>
      <c r="C102" s="11"/>
      <c r="D102" s="11"/>
      <c r="E102" s="11"/>
      <c r="F102" s="19"/>
      <c r="G102" s="12" t="str">
        <f aca="false">IF(F102="","",IF(F102&lt;=Parâmetros!$B$7,"Faixa 1",IF(F102&lt;=Parâmetros!$B$8,"Faixa 2","Faixa 3")))</f>
        <v/>
      </c>
      <c r="H102" s="12" t="str">
        <f aca="false">IF(G102="","",IF(G102="Faixa 1","Rodízio/Sorteio",IF(G102="Faixa 2","Cotação (≥3 propostas)","Chamada pública")))</f>
        <v/>
      </c>
      <c r="I102" s="11"/>
      <c r="J102" s="17" t="str">
        <f aca="false">IF(I102="","",IFERROR(INDEX(Cadastro!$B$5:$B$304,MATCH(I102,Cadastro!$A$5:$A$304,0)),"ID não encontrado"))</f>
        <v/>
      </c>
      <c r="K102" s="17" t="str">
        <f aca="false">IF(I102="","",IFERROR(INDEX(Cadastro!$E$5:$E$304,MATCH(I102,Cadastro!$A$5:$A$304,0)),""))</f>
        <v/>
      </c>
      <c r="L102" s="17" t="str">
        <f aca="false">IF(I102="","",IFERROR(INDEX(Cadastro!$F$5:$F$304,MATCH(I102,Cadastro!$A$5:$A$304,0)),""))</f>
        <v/>
      </c>
      <c r="M102" s="17" t="str">
        <f aca="false">IF(I102="","",IFERROR(INDEX(Cadastro!$I$5:$I$304,MATCH(I102,Cadastro!$A$5:$A$304,0)),""))</f>
        <v/>
      </c>
      <c r="N102" s="19"/>
      <c r="O102" s="13"/>
      <c r="P102" s="12" t="str">
        <f aca="false">IF(OR(B102="",O102=""),"",NETWORKDAYS(B102,O102)-1)</f>
        <v/>
      </c>
      <c r="Q102" s="13"/>
      <c r="R102" s="11"/>
      <c r="S102" s="13"/>
      <c r="T102" s="11"/>
      <c r="U102" s="11"/>
      <c r="V102" s="11"/>
      <c r="W102" s="11"/>
      <c r="X102" s="11"/>
    </row>
    <row r="103" customFormat="false" ht="15" hidden="false" customHeight="false" outlineLevel="0" collapsed="false">
      <c r="A103" s="11"/>
      <c r="B103" s="13"/>
      <c r="C103" s="11"/>
      <c r="D103" s="11"/>
      <c r="E103" s="11"/>
      <c r="F103" s="19"/>
      <c r="G103" s="12" t="str">
        <f aca="false">IF(F103="","",IF(F103&lt;=Parâmetros!$B$7,"Faixa 1",IF(F103&lt;=Parâmetros!$B$8,"Faixa 2","Faixa 3")))</f>
        <v/>
      </c>
      <c r="H103" s="12" t="str">
        <f aca="false">IF(G103="","",IF(G103="Faixa 1","Rodízio/Sorteio",IF(G103="Faixa 2","Cotação (≥3 propostas)","Chamada pública")))</f>
        <v/>
      </c>
      <c r="I103" s="11"/>
      <c r="J103" s="17" t="str">
        <f aca="false">IF(I103="","",IFERROR(INDEX(Cadastro!$B$5:$B$304,MATCH(I103,Cadastro!$A$5:$A$304,0)),"ID não encontrado"))</f>
        <v/>
      </c>
      <c r="K103" s="17" t="str">
        <f aca="false">IF(I103="","",IFERROR(INDEX(Cadastro!$E$5:$E$304,MATCH(I103,Cadastro!$A$5:$A$304,0)),""))</f>
        <v/>
      </c>
      <c r="L103" s="17" t="str">
        <f aca="false">IF(I103="","",IFERROR(INDEX(Cadastro!$F$5:$F$304,MATCH(I103,Cadastro!$A$5:$A$304,0)),""))</f>
        <v/>
      </c>
      <c r="M103" s="17" t="str">
        <f aca="false">IF(I103="","",IFERROR(INDEX(Cadastro!$I$5:$I$304,MATCH(I103,Cadastro!$A$5:$A$304,0)),""))</f>
        <v/>
      </c>
      <c r="N103" s="19"/>
      <c r="O103" s="13"/>
      <c r="P103" s="12" t="str">
        <f aca="false">IF(OR(B103="",O103=""),"",NETWORKDAYS(B103,O103)-1)</f>
        <v/>
      </c>
      <c r="Q103" s="13"/>
      <c r="R103" s="11"/>
      <c r="S103" s="13"/>
      <c r="T103" s="11"/>
      <c r="U103" s="11"/>
      <c r="V103" s="11"/>
      <c r="W103" s="11"/>
      <c r="X103" s="11"/>
    </row>
    <row r="104" customFormat="false" ht="15" hidden="false" customHeight="false" outlineLevel="0" collapsed="false">
      <c r="A104" s="11"/>
      <c r="B104" s="13"/>
      <c r="C104" s="11"/>
      <c r="D104" s="11"/>
      <c r="E104" s="11"/>
      <c r="F104" s="19"/>
      <c r="G104" s="12" t="str">
        <f aca="false">IF(F104="","",IF(F104&lt;=Parâmetros!$B$7,"Faixa 1",IF(F104&lt;=Parâmetros!$B$8,"Faixa 2","Faixa 3")))</f>
        <v/>
      </c>
      <c r="H104" s="12" t="str">
        <f aca="false">IF(G104="","",IF(G104="Faixa 1","Rodízio/Sorteio",IF(G104="Faixa 2","Cotação (≥3 propostas)","Chamada pública")))</f>
        <v/>
      </c>
      <c r="I104" s="11"/>
      <c r="J104" s="17" t="str">
        <f aca="false">IF(I104="","",IFERROR(INDEX(Cadastro!$B$5:$B$304,MATCH(I104,Cadastro!$A$5:$A$304,0)),"ID não encontrado"))</f>
        <v/>
      </c>
      <c r="K104" s="17" t="str">
        <f aca="false">IF(I104="","",IFERROR(INDEX(Cadastro!$E$5:$E$304,MATCH(I104,Cadastro!$A$5:$A$304,0)),""))</f>
        <v/>
      </c>
      <c r="L104" s="17" t="str">
        <f aca="false">IF(I104="","",IFERROR(INDEX(Cadastro!$F$5:$F$304,MATCH(I104,Cadastro!$A$5:$A$304,0)),""))</f>
        <v/>
      </c>
      <c r="M104" s="17" t="str">
        <f aca="false">IF(I104="","",IFERROR(INDEX(Cadastro!$I$5:$I$304,MATCH(I104,Cadastro!$A$5:$A$304,0)),""))</f>
        <v/>
      </c>
      <c r="N104" s="19"/>
      <c r="O104" s="13"/>
      <c r="P104" s="12" t="str">
        <f aca="false">IF(OR(B104="",O104=""),"",NETWORKDAYS(B104,O104)-1)</f>
        <v/>
      </c>
      <c r="Q104" s="13"/>
      <c r="R104" s="11"/>
      <c r="S104" s="13"/>
      <c r="T104" s="11"/>
      <c r="U104" s="11"/>
      <c r="V104" s="11"/>
      <c r="W104" s="11"/>
      <c r="X104" s="11"/>
    </row>
    <row r="105" customFormat="false" ht="15" hidden="false" customHeight="false" outlineLevel="0" collapsed="false">
      <c r="A105" s="11"/>
      <c r="B105" s="13"/>
      <c r="C105" s="11"/>
      <c r="D105" s="11"/>
      <c r="E105" s="11"/>
      <c r="F105" s="19"/>
      <c r="G105" s="12" t="str">
        <f aca="false">IF(F105="","",IF(F105&lt;=Parâmetros!$B$7,"Faixa 1",IF(F105&lt;=Parâmetros!$B$8,"Faixa 2","Faixa 3")))</f>
        <v/>
      </c>
      <c r="H105" s="12" t="str">
        <f aca="false">IF(G105="","",IF(G105="Faixa 1","Rodízio/Sorteio",IF(G105="Faixa 2","Cotação (≥3 propostas)","Chamada pública")))</f>
        <v/>
      </c>
      <c r="I105" s="11"/>
      <c r="J105" s="17" t="str">
        <f aca="false">IF(I105="","",IFERROR(INDEX(Cadastro!$B$5:$B$304,MATCH(I105,Cadastro!$A$5:$A$304,0)),"ID não encontrado"))</f>
        <v/>
      </c>
      <c r="K105" s="17" t="str">
        <f aca="false">IF(I105="","",IFERROR(INDEX(Cadastro!$E$5:$E$304,MATCH(I105,Cadastro!$A$5:$A$304,0)),""))</f>
        <v/>
      </c>
      <c r="L105" s="17" t="str">
        <f aca="false">IF(I105="","",IFERROR(INDEX(Cadastro!$F$5:$F$304,MATCH(I105,Cadastro!$A$5:$A$304,0)),""))</f>
        <v/>
      </c>
      <c r="M105" s="17" t="str">
        <f aca="false">IF(I105="","",IFERROR(INDEX(Cadastro!$I$5:$I$304,MATCH(I105,Cadastro!$A$5:$A$304,0)),""))</f>
        <v/>
      </c>
      <c r="N105" s="19"/>
      <c r="O105" s="13"/>
      <c r="P105" s="12" t="str">
        <f aca="false">IF(OR(B105="",O105=""),"",NETWORKDAYS(B105,O105)-1)</f>
        <v/>
      </c>
      <c r="Q105" s="13"/>
      <c r="R105" s="11"/>
      <c r="S105" s="13"/>
      <c r="T105" s="11"/>
      <c r="U105" s="11"/>
      <c r="V105" s="11"/>
      <c r="W105" s="11"/>
      <c r="X105" s="11"/>
    </row>
    <row r="106" customFormat="false" ht="15" hidden="false" customHeight="false" outlineLevel="0" collapsed="false">
      <c r="A106" s="11"/>
      <c r="B106" s="13"/>
      <c r="C106" s="11"/>
      <c r="D106" s="11"/>
      <c r="E106" s="11"/>
      <c r="F106" s="19"/>
      <c r="G106" s="12" t="str">
        <f aca="false">IF(F106="","",IF(F106&lt;=Parâmetros!$B$7,"Faixa 1",IF(F106&lt;=Parâmetros!$B$8,"Faixa 2","Faixa 3")))</f>
        <v/>
      </c>
      <c r="H106" s="12" t="str">
        <f aca="false">IF(G106="","",IF(G106="Faixa 1","Rodízio/Sorteio",IF(G106="Faixa 2","Cotação (≥3 propostas)","Chamada pública")))</f>
        <v/>
      </c>
      <c r="I106" s="11"/>
      <c r="J106" s="17" t="str">
        <f aca="false">IF(I106="","",IFERROR(INDEX(Cadastro!$B$5:$B$304,MATCH(I106,Cadastro!$A$5:$A$304,0)),"ID não encontrado"))</f>
        <v/>
      </c>
      <c r="K106" s="17" t="str">
        <f aca="false">IF(I106="","",IFERROR(INDEX(Cadastro!$E$5:$E$304,MATCH(I106,Cadastro!$A$5:$A$304,0)),""))</f>
        <v/>
      </c>
      <c r="L106" s="17" t="str">
        <f aca="false">IF(I106="","",IFERROR(INDEX(Cadastro!$F$5:$F$304,MATCH(I106,Cadastro!$A$5:$A$304,0)),""))</f>
        <v/>
      </c>
      <c r="M106" s="17" t="str">
        <f aca="false">IF(I106="","",IFERROR(INDEX(Cadastro!$I$5:$I$304,MATCH(I106,Cadastro!$A$5:$A$304,0)),""))</f>
        <v/>
      </c>
      <c r="N106" s="19"/>
      <c r="O106" s="13"/>
      <c r="P106" s="12" t="str">
        <f aca="false">IF(OR(B106="",O106=""),"",NETWORKDAYS(B106,O106)-1)</f>
        <v/>
      </c>
      <c r="Q106" s="13"/>
      <c r="R106" s="11"/>
      <c r="S106" s="13"/>
      <c r="T106" s="11"/>
      <c r="U106" s="11"/>
      <c r="V106" s="11"/>
      <c r="W106" s="11"/>
      <c r="X106" s="11"/>
    </row>
    <row r="107" customFormat="false" ht="15" hidden="false" customHeight="false" outlineLevel="0" collapsed="false">
      <c r="A107" s="11"/>
      <c r="B107" s="13"/>
      <c r="C107" s="11"/>
      <c r="D107" s="11"/>
      <c r="E107" s="11"/>
      <c r="F107" s="19"/>
      <c r="G107" s="12" t="str">
        <f aca="false">IF(F107="","",IF(F107&lt;=Parâmetros!$B$7,"Faixa 1",IF(F107&lt;=Parâmetros!$B$8,"Faixa 2","Faixa 3")))</f>
        <v/>
      </c>
      <c r="H107" s="12" t="str">
        <f aca="false">IF(G107="","",IF(G107="Faixa 1","Rodízio/Sorteio",IF(G107="Faixa 2","Cotação (≥3 propostas)","Chamada pública")))</f>
        <v/>
      </c>
      <c r="I107" s="11"/>
      <c r="J107" s="17" t="str">
        <f aca="false">IF(I107="","",IFERROR(INDEX(Cadastro!$B$5:$B$304,MATCH(I107,Cadastro!$A$5:$A$304,0)),"ID não encontrado"))</f>
        <v/>
      </c>
      <c r="K107" s="17" t="str">
        <f aca="false">IF(I107="","",IFERROR(INDEX(Cadastro!$E$5:$E$304,MATCH(I107,Cadastro!$A$5:$A$304,0)),""))</f>
        <v/>
      </c>
      <c r="L107" s="17" t="str">
        <f aca="false">IF(I107="","",IFERROR(INDEX(Cadastro!$F$5:$F$304,MATCH(I107,Cadastro!$A$5:$A$304,0)),""))</f>
        <v/>
      </c>
      <c r="M107" s="17" t="str">
        <f aca="false">IF(I107="","",IFERROR(INDEX(Cadastro!$I$5:$I$304,MATCH(I107,Cadastro!$A$5:$A$304,0)),""))</f>
        <v/>
      </c>
      <c r="N107" s="19"/>
      <c r="O107" s="13"/>
      <c r="P107" s="12" t="str">
        <f aca="false">IF(OR(B107="",O107=""),"",NETWORKDAYS(B107,O107)-1)</f>
        <v/>
      </c>
      <c r="Q107" s="13"/>
      <c r="R107" s="11"/>
      <c r="S107" s="13"/>
      <c r="T107" s="11"/>
      <c r="U107" s="11"/>
      <c r="V107" s="11"/>
      <c r="W107" s="11"/>
      <c r="X107" s="11"/>
    </row>
    <row r="108" customFormat="false" ht="15" hidden="false" customHeight="false" outlineLevel="0" collapsed="false">
      <c r="A108" s="11"/>
      <c r="B108" s="13"/>
      <c r="C108" s="11"/>
      <c r="D108" s="11"/>
      <c r="E108" s="11"/>
      <c r="F108" s="19"/>
      <c r="G108" s="12" t="str">
        <f aca="false">IF(F108="","",IF(F108&lt;=Parâmetros!$B$7,"Faixa 1",IF(F108&lt;=Parâmetros!$B$8,"Faixa 2","Faixa 3")))</f>
        <v/>
      </c>
      <c r="H108" s="12" t="str">
        <f aca="false">IF(G108="","",IF(G108="Faixa 1","Rodízio/Sorteio",IF(G108="Faixa 2","Cotação (≥3 propostas)","Chamada pública")))</f>
        <v/>
      </c>
      <c r="I108" s="11"/>
      <c r="J108" s="17" t="str">
        <f aca="false">IF(I108="","",IFERROR(INDEX(Cadastro!$B$5:$B$304,MATCH(I108,Cadastro!$A$5:$A$304,0)),"ID não encontrado"))</f>
        <v/>
      </c>
      <c r="K108" s="17" t="str">
        <f aca="false">IF(I108="","",IFERROR(INDEX(Cadastro!$E$5:$E$304,MATCH(I108,Cadastro!$A$5:$A$304,0)),""))</f>
        <v/>
      </c>
      <c r="L108" s="17" t="str">
        <f aca="false">IF(I108="","",IFERROR(INDEX(Cadastro!$F$5:$F$304,MATCH(I108,Cadastro!$A$5:$A$304,0)),""))</f>
        <v/>
      </c>
      <c r="M108" s="17" t="str">
        <f aca="false">IF(I108="","",IFERROR(INDEX(Cadastro!$I$5:$I$304,MATCH(I108,Cadastro!$A$5:$A$304,0)),""))</f>
        <v/>
      </c>
      <c r="N108" s="19"/>
      <c r="O108" s="13"/>
      <c r="P108" s="12" t="str">
        <f aca="false">IF(OR(B108="",O108=""),"",NETWORKDAYS(B108,O108)-1)</f>
        <v/>
      </c>
      <c r="Q108" s="13"/>
      <c r="R108" s="11"/>
      <c r="S108" s="13"/>
      <c r="T108" s="11"/>
      <c r="U108" s="11"/>
      <c r="V108" s="11"/>
      <c r="W108" s="11"/>
      <c r="X108" s="11"/>
    </row>
    <row r="109" customFormat="false" ht="15" hidden="false" customHeight="false" outlineLevel="0" collapsed="false">
      <c r="A109" s="11"/>
      <c r="B109" s="13"/>
      <c r="C109" s="11"/>
      <c r="D109" s="11"/>
      <c r="E109" s="11"/>
      <c r="F109" s="19"/>
      <c r="G109" s="12" t="str">
        <f aca="false">IF(F109="","",IF(F109&lt;=Parâmetros!$B$7,"Faixa 1",IF(F109&lt;=Parâmetros!$B$8,"Faixa 2","Faixa 3")))</f>
        <v/>
      </c>
      <c r="H109" s="12" t="str">
        <f aca="false">IF(G109="","",IF(G109="Faixa 1","Rodízio/Sorteio",IF(G109="Faixa 2","Cotação (≥3 propostas)","Chamada pública")))</f>
        <v/>
      </c>
      <c r="I109" s="11"/>
      <c r="J109" s="17" t="str">
        <f aca="false">IF(I109="","",IFERROR(INDEX(Cadastro!$B$5:$B$304,MATCH(I109,Cadastro!$A$5:$A$304,0)),"ID não encontrado"))</f>
        <v/>
      </c>
      <c r="K109" s="17" t="str">
        <f aca="false">IF(I109="","",IFERROR(INDEX(Cadastro!$E$5:$E$304,MATCH(I109,Cadastro!$A$5:$A$304,0)),""))</f>
        <v/>
      </c>
      <c r="L109" s="17" t="str">
        <f aca="false">IF(I109="","",IFERROR(INDEX(Cadastro!$F$5:$F$304,MATCH(I109,Cadastro!$A$5:$A$304,0)),""))</f>
        <v/>
      </c>
      <c r="M109" s="17" t="str">
        <f aca="false">IF(I109="","",IFERROR(INDEX(Cadastro!$I$5:$I$304,MATCH(I109,Cadastro!$A$5:$A$304,0)),""))</f>
        <v/>
      </c>
      <c r="N109" s="19"/>
      <c r="O109" s="13"/>
      <c r="P109" s="12" t="str">
        <f aca="false">IF(OR(B109="",O109=""),"",NETWORKDAYS(B109,O109)-1)</f>
        <v/>
      </c>
      <c r="Q109" s="13"/>
      <c r="R109" s="11"/>
      <c r="S109" s="13"/>
      <c r="T109" s="11"/>
      <c r="U109" s="11"/>
      <c r="V109" s="11"/>
      <c r="W109" s="11"/>
      <c r="X109" s="11"/>
    </row>
    <row r="110" customFormat="false" ht="15" hidden="false" customHeight="false" outlineLevel="0" collapsed="false">
      <c r="A110" s="11"/>
      <c r="B110" s="13"/>
      <c r="C110" s="11"/>
      <c r="D110" s="11"/>
      <c r="E110" s="11"/>
      <c r="F110" s="19"/>
      <c r="G110" s="12" t="str">
        <f aca="false">IF(F110="","",IF(F110&lt;=Parâmetros!$B$7,"Faixa 1",IF(F110&lt;=Parâmetros!$B$8,"Faixa 2","Faixa 3")))</f>
        <v/>
      </c>
      <c r="H110" s="12" t="str">
        <f aca="false">IF(G110="","",IF(G110="Faixa 1","Rodízio/Sorteio",IF(G110="Faixa 2","Cotação (≥3 propostas)","Chamada pública")))</f>
        <v/>
      </c>
      <c r="I110" s="11"/>
      <c r="J110" s="17" t="str">
        <f aca="false">IF(I110="","",IFERROR(INDEX(Cadastro!$B$5:$B$304,MATCH(I110,Cadastro!$A$5:$A$304,0)),"ID não encontrado"))</f>
        <v/>
      </c>
      <c r="K110" s="17" t="str">
        <f aca="false">IF(I110="","",IFERROR(INDEX(Cadastro!$E$5:$E$304,MATCH(I110,Cadastro!$A$5:$A$304,0)),""))</f>
        <v/>
      </c>
      <c r="L110" s="17" t="str">
        <f aca="false">IF(I110="","",IFERROR(INDEX(Cadastro!$F$5:$F$304,MATCH(I110,Cadastro!$A$5:$A$304,0)),""))</f>
        <v/>
      </c>
      <c r="M110" s="17" t="str">
        <f aca="false">IF(I110="","",IFERROR(INDEX(Cadastro!$I$5:$I$304,MATCH(I110,Cadastro!$A$5:$A$304,0)),""))</f>
        <v/>
      </c>
      <c r="N110" s="19"/>
      <c r="O110" s="13"/>
      <c r="P110" s="12" t="str">
        <f aca="false">IF(OR(B110="",O110=""),"",NETWORKDAYS(B110,O110)-1)</f>
        <v/>
      </c>
      <c r="Q110" s="13"/>
      <c r="R110" s="11"/>
      <c r="S110" s="13"/>
      <c r="T110" s="11"/>
      <c r="U110" s="11"/>
      <c r="V110" s="11"/>
      <c r="W110" s="11"/>
      <c r="X110" s="11"/>
    </row>
    <row r="111" customFormat="false" ht="15" hidden="false" customHeight="false" outlineLevel="0" collapsed="false">
      <c r="A111" s="11"/>
      <c r="B111" s="13"/>
      <c r="C111" s="11"/>
      <c r="D111" s="11"/>
      <c r="E111" s="11"/>
      <c r="F111" s="19"/>
      <c r="G111" s="12" t="str">
        <f aca="false">IF(F111="","",IF(F111&lt;=Parâmetros!$B$7,"Faixa 1",IF(F111&lt;=Parâmetros!$B$8,"Faixa 2","Faixa 3")))</f>
        <v/>
      </c>
      <c r="H111" s="12" t="str">
        <f aca="false">IF(G111="","",IF(G111="Faixa 1","Rodízio/Sorteio",IF(G111="Faixa 2","Cotação (≥3 propostas)","Chamada pública")))</f>
        <v/>
      </c>
      <c r="I111" s="11"/>
      <c r="J111" s="17" t="str">
        <f aca="false">IF(I111="","",IFERROR(INDEX(Cadastro!$B$5:$B$304,MATCH(I111,Cadastro!$A$5:$A$304,0)),"ID não encontrado"))</f>
        <v/>
      </c>
      <c r="K111" s="17" t="str">
        <f aca="false">IF(I111="","",IFERROR(INDEX(Cadastro!$E$5:$E$304,MATCH(I111,Cadastro!$A$5:$A$304,0)),""))</f>
        <v/>
      </c>
      <c r="L111" s="17" t="str">
        <f aca="false">IF(I111="","",IFERROR(INDEX(Cadastro!$F$5:$F$304,MATCH(I111,Cadastro!$A$5:$A$304,0)),""))</f>
        <v/>
      </c>
      <c r="M111" s="17" t="str">
        <f aca="false">IF(I111="","",IFERROR(INDEX(Cadastro!$I$5:$I$304,MATCH(I111,Cadastro!$A$5:$A$304,0)),""))</f>
        <v/>
      </c>
      <c r="N111" s="19"/>
      <c r="O111" s="13"/>
      <c r="P111" s="12" t="str">
        <f aca="false">IF(OR(B111="",O111=""),"",NETWORKDAYS(B111,O111)-1)</f>
        <v/>
      </c>
      <c r="Q111" s="13"/>
      <c r="R111" s="11"/>
      <c r="S111" s="13"/>
      <c r="T111" s="11"/>
      <c r="U111" s="11"/>
      <c r="V111" s="11"/>
      <c r="W111" s="11"/>
      <c r="X111" s="11"/>
    </row>
    <row r="112" customFormat="false" ht="15" hidden="false" customHeight="false" outlineLevel="0" collapsed="false">
      <c r="A112" s="11"/>
      <c r="B112" s="13"/>
      <c r="C112" s="11"/>
      <c r="D112" s="11"/>
      <c r="E112" s="11"/>
      <c r="F112" s="19"/>
      <c r="G112" s="12" t="str">
        <f aca="false">IF(F112="","",IF(F112&lt;=Parâmetros!$B$7,"Faixa 1",IF(F112&lt;=Parâmetros!$B$8,"Faixa 2","Faixa 3")))</f>
        <v/>
      </c>
      <c r="H112" s="12" t="str">
        <f aca="false">IF(G112="","",IF(G112="Faixa 1","Rodízio/Sorteio",IF(G112="Faixa 2","Cotação (≥3 propostas)","Chamada pública")))</f>
        <v/>
      </c>
      <c r="I112" s="11"/>
      <c r="J112" s="17" t="str">
        <f aca="false">IF(I112="","",IFERROR(INDEX(Cadastro!$B$5:$B$304,MATCH(I112,Cadastro!$A$5:$A$304,0)),"ID não encontrado"))</f>
        <v/>
      </c>
      <c r="K112" s="17" t="str">
        <f aca="false">IF(I112="","",IFERROR(INDEX(Cadastro!$E$5:$E$304,MATCH(I112,Cadastro!$A$5:$A$304,0)),""))</f>
        <v/>
      </c>
      <c r="L112" s="17" t="str">
        <f aca="false">IF(I112="","",IFERROR(INDEX(Cadastro!$F$5:$F$304,MATCH(I112,Cadastro!$A$5:$A$304,0)),""))</f>
        <v/>
      </c>
      <c r="M112" s="17" t="str">
        <f aca="false">IF(I112="","",IFERROR(INDEX(Cadastro!$I$5:$I$304,MATCH(I112,Cadastro!$A$5:$A$304,0)),""))</f>
        <v/>
      </c>
      <c r="N112" s="19"/>
      <c r="O112" s="13"/>
      <c r="P112" s="12" t="str">
        <f aca="false">IF(OR(B112="",O112=""),"",NETWORKDAYS(B112,O112)-1)</f>
        <v/>
      </c>
      <c r="Q112" s="13"/>
      <c r="R112" s="11"/>
      <c r="S112" s="13"/>
      <c r="T112" s="11"/>
      <c r="U112" s="11"/>
      <c r="V112" s="11"/>
      <c r="W112" s="11"/>
      <c r="X112" s="11"/>
    </row>
    <row r="113" customFormat="false" ht="15" hidden="false" customHeight="false" outlineLevel="0" collapsed="false">
      <c r="A113" s="11"/>
      <c r="B113" s="13"/>
      <c r="C113" s="11"/>
      <c r="D113" s="11"/>
      <c r="E113" s="11"/>
      <c r="F113" s="19"/>
      <c r="G113" s="12" t="str">
        <f aca="false">IF(F113="","",IF(F113&lt;=Parâmetros!$B$7,"Faixa 1",IF(F113&lt;=Parâmetros!$B$8,"Faixa 2","Faixa 3")))</f>
        <v/>
      </c>
      <c r="H113" s="12" t="str">
        <f aca="false">IF(G113="","",IF(G113="Faixa 1","Rodízio/Sorteio",IF(G113="Faixa 2","Cotação (≥3 propostas)","Chamada pública")))</f>
        <v/>
      </c>
      <c r="I113" s="11"/>
      <c r="J113" s="17" t="str">
        <f aca="false">IF(I113="","",IFERROR(INDEX(Cadastro!$B$5:$B$304,MATCH(I113,Cadastro!$A$5:$A$304,0)),"ID não encontrado"))</f>
        <v/>
      </c>
      <c r="K113" s="17" t="str">
        <f aca="false">IF(I113="","",IFERROR(INDEX(Cadastro!$E$5:$E$304,MATCH(I113,Cadastro!$A$5:$A$304,0)),""))</f>
        <v/>
      </c>
      <c r="L113" s="17" t="str">
        <f aca="false">IF(I113="","",IFERROR(INDEX(Cadastro!$F$5:$F$304,MATCH(I113,Cadastro!$A$5:$A$304,0)),""))</f>
        <v/>
      </c>
      <c r="M113" s="17" t="str">
        <f aca="false">IF(I113="","",IFERROR(INDEX(Cadastro!$I$5:$I$304,MATCH(I113,Cadastro!$A$5:$A$304,0)),""))</f>
        <v/>
      </c>
      <c r="N113" s="19"/>
      <c r="O113" s="13"/>
      <c r="P113" s="12" t="str">
        <f aca="false">IF(OR(B113="",O113=""),"",NETWORKDAYS(B113,O113)-1)</f>
        <v/>
      </c>
      <c r="Q113" s="13"/>
      <c r="R113" s="11"/>
      <c r="S113" s="13"/>
      <c r="T113" s="11"/>
      <c r="U113" s="11"/>
      <c r="V113" s="11"/>
      <c r="W113" s="11"/>
      <c r="X113" s="11"/>
    </row>
    <row r="114" customFormat="false" ht="15" hidden="false" customHeight="false" outlineLevel="0" collapsed="false">
      <c r="A114" s="11"/>
      <c r="B114" s="13"/>
      <c r="C114" s="11"/>
      <c r="D114" s="11"/>
      <c r="E114" s="11"/>
      <c r="F114" s="19"/>
      <c r="G114" s="12" t="str">
        <f aca="false">IF(F114="","",IF(F114&lt;=Parâmetros!$B$7,"Faixa 1",IF(F114&lt;=Parâmetros!$B$8,"Faixa 2","Faixa 3")))</f>
        <v/>
      </c>
      <c r="H114" s="12" t="str">
        <f aca="false">IF(G114="","",IF(G114="Faixa 1","Rodízio/Sorteio",IF(G114="Faixa 2","Cotação (≥3 propostas)","Chamada pública")))</f>
        <v/>
      </c>
      <c r="I114" s="11"/>
      <c r="J114" s="17" t="str">
        <f aca="false">IF(I114="","",IFERROR(INDEX(Cadastro!$B$5:$B$304,MATCH(I114,Cadastro!$A$5:$A$304,0)),"ID não encontrado"))</f>
        <v/>
      </c>
      <c r="K114" s="17" t="str">
        <f aca="false">IF(I114="","",IFERROR(INDEX(Cadastro!$E$5:$E$304,MATCH(I114,Cadastro!$A$5:$A$304,0)),""))</f>
        <v/>
      </c>
      <c r="L114" s="17" t="str">
        <f aca="false">IF(I114="","",IFERROR(INDEX(Cadastro!$F$5:$F$304,MATCH(I114,Cadastro!$A$5:$A$304,0)),""))</f>
        <v/>
      </c>
      <c r="M114" s="17" t="str">
        <f aca="false">IF(I114="","",IFERROR(INDEX(Cadastro!$I$5:$I$304,MATCH(I114,Cadastro!$A$5:$A$304,0)),""))</f>
        <v/>
      </c>
      <c r="N114" s="19"/>
      <c r="O114" s="13"/>
      <c r="P114" s="12" t="str">
        <f aca="false">IF(OR(B114="",O114=""),"",NETWORKDAYS(B114,O114)-1)</f>
        <v/>
      </c>
      <c r="Q114" s="13"/>
      <c r="R114" s="11"/>
      <c r="S114" s="13"/>
      <c r="T114" s="11"/>
      <c r="U114" s="11"/>
      <c r="V114" s="11"/>
      <c r="W114" s="11"/>
      <c r="X114" s="11"/>
    </row>
    <row r="115" customFormat="false" ht="15" hidden="false" customHeight="false" outlineLevel="0" collapsed="false">
      <c r="A115" s="11"/>
      <c r="B115" s="13"/>
      <c r="C115" s="11"/>
      <c r="D115" s="11"/>
      <c r="E115" s="11"/>
      <c r="F115" s="19"/>
      <c r="G115" s="12" t="str">
        <f aca="false">IF(F115="","",IF(F115&lt;=Parâmetros!$B$7,"Faixa 1",IF(F115&lt;=Parâmetros!$B$8,"Faixa 2","Faixa 3")))</f>
        <v/>
      </c>
      <c r="H115" s="12" t="str">
        <f aca="false">IF(G115="","",IF(G115="Faixa 1","Rodízio/Sorteio",IF(G115="Faixa 2","Cotação (≥3 propostas)","Chamada pública")))</f>
        <v/>
      </c>
      <c r="I115" s="11"/>
      <c r="J115" s="17" t="str">
        <f aca="false">IF(I115="","",IFERROR(INDEX(Cadastro!$B$5:$B$304,MATCH(I115,Cadastro!$A$5:$A$304,0)),"ID não encontrado"))</f>
        <v/>
      </c>
      <c r="K115" s="17" t="str">
        <f aca="false">IF(I115="","",IFERROR(INDEX(Cadastro!$E$5:$E$304,MATCH(I115,Cadastro!$A$5:$A$304,0)),""))</f>
        <v/>
      </c>
      <c r="L115" s="17" t="str">
        <f aca="false">IF(I115="","",IFERROR(INDEX(Cadastro!$F$5:$F$304,MATCH(I115,Cadastro!$A$5:$A$304,0)),""))</f>
        <v/>
      </c>
      <c r="M115" s="17" t="str">
        <f aca="false">IF(I115="","",IFERROR(INDEX(Cadastro!$I$5:$I$304,MATCH(I115,Cadastro!$A$5:$A$304,0)),""))</f>
        <v/>
      </c>
      <c r="N115" s="19"/>
      <c r="O115" s="13"/>
      <c r="P115" s="12" t="str">
        <f aca="false">IF(OR(B115="",O115=""),"",NETWORKDAYS(B115,O115)-1)</f>
        <v/>
      </c>
      <c r="Q115" s="13"/>
      <c r="R115" s="11"/>
      <c r="S115" s="13"/>
      <c r="T115" s="11"/>
      <c r="U115" s="11"/>
      <c r="V115" s="11"/>
      <c r="W115" s="11"/>
      <c r="X115" s="11"/>
    </row>
    <row r="116" customFormat="false" ht="15" hidden="false" customHeight="false" outlineLevel="0" collapsed="false">
      <c r="A116" s="11"/>
      <c r="B116" s="13"/>
      <c r="C116" s="11"/>
      <c r="D116" s="11"/>
      <c r="E116" s="11"/>
      <c r="F116" s="19"/>
      <c r="G116" s="12" t="str">
        <f aca="false">IF(F116="","",IF(F116&lt;=Parâmetros!$B$7,"Faixa 1",IF(F116&lt;=Parâmetros!$B$8,"Faixa 2","Faixa 3")))</f>
        <v/>
      </c>
      <c r="H116" s="12" t="str">
        <f aca="false">IF(G116="","",IF(G116="Faixa 1","Rodízio/Sorteio",IF(G116="Faixa 2","Cotação (≥3 propostas)","Chamada pública")))</f>
        <v/>
      </c>
      <c r="I116" s="11"/>
      <c r="J116" s="17" t="str">
        <f aca="false">IF(I116="","",IFERROR(INDEX(Cadastro!$B$5:$B$304,MATCH(I116,Cadastro!$A$5:$A$304,0)),"ID não encontrado"))</f>
        <v/>
      </c>
      <c r="K116" s="17" t="str">
        <f aca="false">IF(I116="","",IFERROR(INDEX(Cadastro!$E$5:$E$304,MATCH(I116,Cadastro!$A$5:$A$304,0)),""))</f>
        <v/>
      </c>
      <c r="L116" s="17" t="str">
        <f aca="false">IF(I116="","",IFERROR(INDEX(Cadastro!$F$5:$F$304,MATCH(I116,Cadastro!$A$5:$A$304,0)),""))</f>
        <v/>
      </c>
      <c r="M116" s="17" t="str">
        <f aca="false">IF(I116="","",IFERROR(INDEX(Cadastro!$I$5:$I$304,MATCH(I116,Cadastro!$A$5:$A$304,0)),""))</f>
        <v/>
      </c>
      <c r="N116" s="19"/>
      <c r="O116" s="13"/>
      <c r="P116" s="12" t="str">
        <f aca="false">IF(OR(B116="",O116=""),"",NETWORKDAYS(B116,O116)-1)</f>
        <v/>
      </c>
      <c r="Q116" s="13"/>
      <c r="R116" s="11"/>
      <c r="S116" s="13"/>
      <c r="T116" s="11"/>
      <c r="U116" s="11"/>
      <c r="V116" s="11"/>
      <c r="W116" s="11"/>
      <c r="X116" s="11"/>
    </row>
    <row r="117" customFormat="false" ht="15" hidden="false" customHeight="false" outlineLevel="0" collapsed="false">
      <c r="A117" s="11"/>
      <c r="B117" s="13"/>
      <c r="C117" s="11"/>
      <c r="D117" s="11"/>
      <c r="E117" s="11"/>
      <c r="F117" s="19"/>
      <c r="G117" s="12" t="str">
        <f aca="false">IF(F117="","",IF(F117&lt;=Parâmetros!$B$7,"Faixa 1",IF(F117&lt;=Parâmetros!$B$8,"Faixa 2","Faixa 3")))</f>
        <v/>
      </c>
      <c r="H117" s="12" t="str">
        <f aca="false">IF(G117="","",IF(G117="Faixa 1","Rodízio/Sorteio",IF(G117="Faixa 2","Cotação (≥3 propostas)","Chamada pública")))</f>
        <v/>
      </c>
      <c r="I117" s="11"/>
      <c r="J117" s="17" t="str">
        <f aca="false">IF(I117="","",IFERROR(INDEX(Cadastro!$B$5:$B$304,MATCH(I117,Cadastro!$A$5:$A$304,0)),"ID não encontrado"))</f>
        <v/>
      </c>
      <c r="K117" s="17" t="str">
        <f aca="false">IF(I117="","",IFERROR(INDEX(Cadastro!$E$5:$E$304,MATCH(I117,Cadastro!$A$5:$A$304,0)),""))</f>
        <v/>
      </c>
      <c r="L117" s="17" t="str">
        <f aca="false">IF(I117="","",IFERROR(INDEX(Cadastro!$F$5:$F$304,MATCH(I117,Cadastro!$A$5:$A$304,0)),""))</f>
        <v/>
      </c>
      <c r="M117" s="17" t="str">
        <f aca="false">IF(I117="","",IFERROR(INDEX(Cadastro!$I$5:$I$304,MATCH(I117,Cadastro!$A$5:$A$304,0)),""))</f>
        <v/>
      </c>
      <c r="N117" s="19"/>
      <c r="O117" s="13"/>
      <c r="P117" s="12" t="str">
        <f aca="false">IF(OR(B117="",O117=""),"",NETWORKDAYS(B117,O117)-1)</f>
        <v/>
      </c>
      <c r="Q117" s="13"/>
      <c r="R117" s="11"/>
      <c r="S117" s="13"/>
      <c r="T117" s="11"/>
      <c r="U117" s="11"/>
      <c r="V117" s="11"/>
      <c r="W117" s="11"/>
      <c r="X117" s="11"/>
    </row>
    <row r="118" customFormat="false" ht="15" hidden="false" customHeight="false" outlineLevel="0" collapsed="false">
      <c r="A118" s="11"/>
      <c r="B118" s="13"/>
      <c r="C118" s="11"/>
      <c r="D118" s="11"/>
      <c r="E118" s="11"/>
      <c r="F118" s="19"/>
      <c r="G118" s="12" t="str">
        <f aca="false">IF(F118="","",IF(F118&lt;=Parâmetros!$B$7,"Faixa 1",IF(F118&lt;=Parâmetros!$B$8,"Faixa 2","Faixa 3")))</f>
        <v/>
      </c>
      <c r="H118" s="12" t="str">
        <f aca="false">IF(G118="","",IF(G118="Faixa 1","Rodízio/Sorteio",IF(G118="Faixa 2","Cotação (≥3 propostas)","Chamada pública")))</f>
        <v/>
      </c>
      <c r="I118" s="11"/>
      <c r="J118" s="17" t="str">
        <f aca="false">IF(I118="","",IFERROR(INDEX(Cadastro!$B$5:$B$304,MATCH(I118,Cadastro!$A$5:$A$304,0)),"ID não encontrado"))</f>
        <v/>
      </c>
      <c r="K118" s="17" t="str">
        <f aca="false">IF(I118="","",IFERROR(INDEX(Cadastro!$E$5:$E$304,MATCH(I118,Cadastro!$A$5:$A$304,0)),""))</f>
        <v/>
      </c>
      <c r="L118" s="17" t="str">
        <f aca="false">IF(I118="","",IFERROR(INDEX(Cadastro!$F$5:$F$304,MATCH(I118,Cadastro!$A$5:$A$304,0)),""))</f>
        <v/>
      </c>
      <c r="M118" s="17" t="str">
        <f aca="false">IF(I118="","",IFERROR(INDEX(Cadastro!$I$5:$I$304,MATCH(I118,Cadastro!$A$5:$A$304,0)),""))</f>
        <v/>
      </c>
      <c r="N118" s="19"/>
      <c r="O118" s="13"/>
      <c r="P118" s="12" t="str">
        <f aca="false">IF(OR(B118="",O118=""),"",NETWORKDAYS(B118,O118)-1)</f>
        <v/>
      </c>
      <c r="Q118" s="13"/>
      <c r="R118" s="11"/>
      <c r="S118" s="13"/>
      <c r="T118" s="11"/>
      <c r="U118" s="11"/>
      <c r="V118" s="11"/>
      <c r="W118" s="11"/>
      <c r="X118" s="11"/>
    </row>
    <row r="119" customFormat="false" ht="15" hidden="false" customHeight="false" outlineLevel="0" collapsed="false">
      <c r="A119" s="11"/>
      <c r="B119" s="13"/>
      <c r="C119" s="11"/>
      <c r="D119" s="11"/>
      <c r="E119" s="11"/>
      <c r="F119" s="19"/>
      <c r="G119" s="12" t="str">
        <f aca="false">IF(F119="","",IF(F119&lt;=Parâmetros!$B$7,"Faixa 1",IF(F119&lt;=Parâmetros!$B$8,"Faixa 2","Faixa 3")))</f>
        <v/>
      </c>
      <c r="H119" s="12" t="str">
        <f aca="false">IF(G119="","",IF(G119="Faixa 1","Rodízio/Sorteio",IF(G119="Faixa 2","Cotação (≥3 propostas)","Chamada pública")))</f>
        <v/>
      </c>
      <c r="I119" s="11"/>
      <c r="J119" s="17" t="str">
        <f aca="false">IF(I119="","",IFERROR(INDEX(Cadastro!$B$5:$B$304,MATCH(I119,Cadastro!$A$5:$A$304,0)),"ID não encontrado"))</f>
        <v/>
      </c>
      <c r="K119" s="17" t="str">
        <f aca="false">IF(I119="","",IFERROR(INDEX(Cadastro!$E$5:$E$304,MATCH(I119,Cadastro!$A$5:$A$304,0)),""))</f>
        <v/>
      </c>
      <c r="L119" s="17" t="str">
        <f aca="false">IF(I119="","",IFERROR(INDEX(Cadastro!$F$5:$F$304,MATCH(I119,Cadastro!$A$5:$A$304,0)),""))</f>
        <v/>
      </c>
      <c r="M119" s="17" t="str">
        <f aca="false">IF(I119="","",IFERROR(INDEX(Cadastro!$I$5:$I$304,MATCH(I119,Cadastro!$A$5:$A$304,0)),""))</f>
        <v/>
      </c>
      <c r="N119" s="19"/>
      <c r="O119" s="13"/>
      <c r="P119" s="12" t="str">
        <f aca="false">IF(OR(B119="",O119=""),"",NETWORKDAYS(B119,O119)-1)</f>
        <v/>
      </c>
      <c r="Q119" s="13"/>
      <c r="R119" s="11"/>
      <c r="S119" s="13"/>
      <c r="T119" s="11"/>
      <c r="U119" s="11"/>
      <c r="V119" s="11"/>
      <c r="W119" s="11"/>
      <c r="X119" s="11"/>
    </row>
    <row r="120" customFormat="false" ht="15" hidden="false" customHeight="false" outlineLevel="0" collapsed="false">
      <c r="A120" s="11"/>
      <c r="B120" s="13"/>
      <c r="C120" s="11"/>
      <c r="D120" s="11"/>
      <c r="E120" s="11"/>
      <c r="F120" s="19"/>
      <c r="G120" s="12" t="str">
        <f aca="false">IF(F120="","",IF(F120&lt;=Parâmetros!$B$7,"Faixa 1",IF(F120&lt;=Parâmetros!$B$8,"Faixa 2","Faixa 3")))</f>
        <v/>
      </c>
      <c r="H120" s="12" t="str">
        <f aca="false">IF(G120="","",IF(G120="Faixa 1","Rodízio/Sorteio",IF(G120="Faixa 2","Cotação (≥3 propostas)","Chamada pública")))</f>
        <v/>
      </c>
      <c r="I120" s="11"/>
      <c r="J120" s="17" t="str">
        <f aca="false">IF(I120="","",IFERROR(INDEX(Cadastro!$B$5:$B$304,MATCH(I120,Cadastro!$A$5:$A$304,0)),"ID não encontrado"))</f>
        <v/>
      </c>
      <c r="K120" s="17" t="str">
        <f aca="false">IF(I120="","",IFERROR(INDEX(Cadastro!$E$5:$E$304,MATCH(I120,Cadastro!$A$5:$A$304,0)),""))</f>
        <v/>
      </c>
      <c r="L120" s="17" t="str">
        <f aca="false">IF(I120="","",IFERROR(INDEX(Cadastro!$F$5:$F$304,MATCH(I120,Cadastro!$A$5:$A$304,0)),""))</f>
        <v/>
      </c>
      <c r="M120" s="17" t="str">
        <f aca="false">IF(I120="","",IFERROR(INDEX(Cadastro!$I$5:$I$304,MATCH(I120,Cadastro!$A$5:$A$304,0)),""))</f>
        <v/>
      </c>
      <c r="N120" s="19"/>
      <c r="O120" s="13"/>
      <c r="P120" s="12" t="str">
        <f aca="false">IF(OR(B120="",O120=""),"",NETWORKDAYS(B120,O120)-1)</f>
        <v/>
      </c>
      <c r="Q120" s="13"/>
      <c r="R120" s="11"/>
      <c r="S120" s="13"/>
      <c r="T120" s="11"/>
      <c r="U120" s="11"/>
      <c r="V120" s="11"/>
      <c r="W120" s="11"/>
      <c r="X120" s="11"/>
    </row>
    <row r="121" customFormat="false" ht="15" hidden="false" customHeight="false" outlineLevel="0" collapsed="false">
      <c r="A121" s="11"/>
      <c r="B121" s="13"/>
      <c r="C121" s="11"/>
      <c r="D121" s="11"/>
      <c r="E121" s="11"/>
      <c r="F121" s="19"/>
      <c r="G121" s="12" t="str">
        <f aca="false">IF(F121="","",IF(F121&lt;=Parâmetros!$B$7,"Faixa 1",IF(F121&lt;=Parâmetros!$B$8,"Faixa 2","Faixa 3")))</f>
        <v/>
      </c>
      <c r="H121" s="12" t="str">
        <f aca="false">IF(G121="","",IF(G121="Faixa 1","Rodízio/Sorteio",IF(G121="Faixa 2","Cotação (≥3 propostas)","Chamada pública")))</f>
        <v/>
      </c>
      <c r="I121" s="11"/>
      <c r="J121" s="17" t="str">
        <f aca="false">IF(I121="","",IFERROR(INDEX(Cadastro!$B$5:$B$304,MATCH(I121,Cadastro!$A$5:$A$304,0)),"ID não encontrado"))</f>
        <v/>
      </c>
      <c r="K121" s="17" t="str">
        <f aca="false">IF(I121="","",IFERROR(INDEX(Cadastro!$E$5:$E$304,MATCH(I121,Cadastro!$A$5:$A$304,0)),""))</f>
        <v/>
      </c>
      <c r="L121" s="17" t="str">
        <f aca="false">IF(I121="","",IFERROR(INDEX(Cadastro!$F$5:$F$304,MATCH(I121,Cadastro!$A$5:$A$304,0)),""))</f>
        <v/>
      </c>
      <c r="M121" s="17" t="str">
        <f aca="false">IF(I121="","",IFERROR(INDEX(Cadastro!$I$5:$I$304,MATCH(I121,Cadastro!$A$5:$A$304,0)),""))</f>
        <v/>
      </c>
      <c r="N121" s="19"/>
      <c r="O121" s="13"/>
      <c r="P121" s="12" t="str">
        <f aca="false">IF(OR(B121="",O121=""),"",NETWORKDAYS(B121,O121)-1)</f>
        <v/>
      </c>
      <c r="Q121" s="13"/>
      <c r="R121" s="11"/>
      <c r="S121" s="13"/>
      <c r="T121" s="11"/>
      <c r="U121" s="11"/>
      <c r="V121" s="11"/>
      <c r="W121" s="11"/>
      <c r="X121" s="11"/>
    </row>
    <row r="122" customFormat="false" ht="15" hidden="false" customHeight="false" outlineLevel="0" collapsed="false">
      <c r="A122" s="11"/>
      <c r="B122" s="13"/>
      <c r="C122" s="11"/>
      <c r="D122" s="11"/>
      <c r="E122" s="11"/>
      <c r="F122" s="19"/>
      <c r="G122" s="12" t="str">
        <f aca="false">IF(F122="","",IF(F122&lt;=Parâmetros!$B$7,"Faixa 1",IF(F122&lt;=Parâmetros!$B$8,"Faixa 2","Faixa 3")))</f>
        <v/>
      </c>
      <c r="H122" s="12" t="str">
        <f aca="false">IF(G122="","",IF(G122="Faixa 1","Rodízio/Sorteio",IF(G122="Faixa 2","Cotação (≥3 propostas)","Chamada pública")))</f>
        <v/>
      </c>
      <c r="I122" s="11"/>
      <c r="J122" s="17" t="str">
        <f aca="false">IF(I122="","",IFERROR(INDEX(Cadastro!$B$5:$B$304,MATCH(I122,Cadastro!$A$5:$A$304,0)),"ID não encontrado"))</f>
        <v/>
      </c>
      <c r="K122" s="17" t="str">
        <f aca="false">IF(I122="","",IFERROR(INDEX(Cadastro!$E$5:$E$304,MATCH(I122,Cadastro!$A$5:$A$304,0)),""))</f>
        <v/>
      </c>
      <c r="L122" s="17" t="str">
        <f aca="false">IF(I122="","",IFERROR(INDEX(Cadastro!$F$5:$F$304,MATCH(I122,Cadastro!$A$5:$A$304,0)),""))</f>
        <v/>
      </c>
      <c r="M122" s="17" t="str">
        <f aca="false">IF(I122="","",IFERROR(INDEX(Cadastro!$I$5:$I$304,MATCH(I122,Cadastro!$A$5:$A$304,0)),""))</f>
        <v/>
      </c>
      <c r="N122" s="19"/>
      <c r="O122" s="13"/>
      <c r="P122" s="12" t="str">
        <f aca="false">IF(OR(B122="",O122=""),"",NETWORKDAYS(B122,O122)-1)</f>
        <v/>
      </c>
      <c r="Q122" s="13"/>
      <c r="R122" s="11"/>
      <c r="S122" s="13"/>
      <c r="T122" s="11"/>
      <c r="U122" s="11"/>
      <c r="V122" s="11"/>
      <c r="W122" s="11"/>
      <c r="X122" s="11"/>
    </row>
    <row r="123" customFormat="false" ht="15" hidden="false" customHeight="false" outlineLevel="0" collapsed="false">
      <c r="A123" s="11"/>
      <c r="B123" s="13"/>
      <c r="C123" s="11"/>
      <c r="D123" s="11"/>
      <c r="E123" s="11"/>
      <c r="F123" s="19"/>
      <c r="G123" s="12" t="str">
        <f aca="false">IF(F123="","",IF(F123&lt;=Parâmetros!$B$7,"Faixa 1",IF(F123&lt;=Parâmetros!$B$8,"Faixa 2","Faixa 3")))</f>
        <v/>
      </c>
      <c r="H123" s="12" t="str">
        <f aca="false">IF(G123="","",IF(G123="Faixa 1","Rodízio/Sorteio",IF(G123="Faixa 2","Cotação (≥3 propostas)","Chamada pública")))</f>
        <v/>
      </c>
      <c r="I123" s="11"/>
      <c r="J123" s="17" t="str">
        <f aca="false">IF(I123="","",IFERROR(INDEX(Cadastro!$B$5:$B$304,MATCH(I123,Cadastro!$A$5:$A$304,0)),"ID não encontrado"))</f>
        <v/>
      </c>
      <c r="K123" s="17" t="str">
        <f aca="false">IF(I123="","",IFERROR(INDEX(Cadastro!$E$5:$E$304,MATCH(I123,Cadastro!$A$5:$A$304,0)),""))</f>
        <v/>
      </c>
      <c r="L123" s="17" t="str">
        <f aca="false">IF(I123="","",IFERROR(INDEX(Cadastro!$F$5:$F$304,MATCH(I123,Cadastro!$A$5:$A$304,0)),""))</f>
        <v/>
      </c>
      <c r="M123" s="17" t="str">
        <f aca="false">IF(I123="","",IFERROR(INDEX(Cadastro!$I$5:$I$304,MATCH(I123,Cadastro!$A$5:$A$304,0)),""))</f>
        <v/>
      </c>
      <c r="N123" s="19"/>
      <c r="O123" s="13"/>
      <c r="P123" s="12" t="str">
        <f aca="false">IF(OR(B123="",O123=""),"",NETWORKDAYS(B123,O123)-1)</f>
        <v/>
      </c>
      <c r="Q123" s="13"/>
      <c r="R123" s="11"/>
      <c r="S123" s="13"/>
      <c r="T123" s="11"/>
      <c r="U123" s="11"/>
      <c r="V123" s="11"/>
      <c r="W123" s="11"/>
      <c r="X123" s="11"/>
    </row>
    <row r="124" customFormat="false" ht="15" hidden="false" customHeight="false" outlineLevel="0" collapsed="false">
      <c r="A124" s="11"/>
      <c r="B124" s="13"/>
      <c r="C124" s="11"/>
      <c r="D124" s="11"/>
      <c r="E124" s="11"/>
      <c r="F124" s="19"/>
      <c r="G124" s="12" t="str">
        <f aca="false">IF(F124="","",IF(F124&lt;=Parâmetros!$B$7,"Faixa 1",IF(F124&lt;=Parâmetros!$B$8,"Faixa 2","Faixa 3")))</f>
        <v/>
      </c>
      <c r="H124" s="12" t="str">
        <f aca="false">IF(G124="","",IF(G124="Faixa 1","Rodízio/Sorteio",IF(G124="Faixa 2","Cotação (≥3 propostas)","Chamada pública")))</f>
        <v/>
      </c>
      <c r="I124" s="11"/>
      <c r="J124" s="17" t="str">
        <f aca="false">IF(I124="","",IFERROR(INDEX(Cadastro!$B$5:$B$304,MATCH(I124,Cadastro!$A$5:$A$304,0)),"ID não encontrado"))</f>
        <v/>
      </c>
      <c r="K124" s="17" t="str">
        <f aca="false">IF(I124="","",IFERROR(INDEX(Cadastro!$E$5:$E$304,MATCH(I124,Cadastro!$A$5:$A$304,0)),""))</f>
        <v/>
      </c>
      <c r="L124" s="17" t="str">
        <f aca="false">IF(I124="","",IFERROR(INDEX(Cadastro!$F$5:$F$304,MATCH(I124,Cadastro!$A$5:$A$304,0)),""))</f>
        <v/>
      </c>
      <c r="M124" s="17" t="str">
        <f aca="false">IF(I124="","",IFERROR(INDEX(Cadastro!$I$5:$I$304,MATCH(I124,Cadastro!$A$5:$A$304,0)),""))</f>
        <v/>
      </c>
      <c r="N124" s="19"/>
      <c r="O124" s="13"/>
      <c r="P124" s="12" t="str">
        <f aca="false">IF(OR(B124="",O124=""),"",NETWORKDAYS(B124,O124)-1)</f>
        <v/>
      </c>
      <c r="Q124" s="13"/>
      <c r="R124" s="11"/>
      <c r="S124" s="13"/>
      <c r="T124" s="11"/>
      <c r="U124" s="11"/>
      <c r="V124" s="11"/>
      <c r="W124" s="11"/>
      <c r="X124" s="11"/>
    </row>
    <row r="125" customFormat="false" ht="15" hidden="false" customHeight="false" outlineLevel="0" collapsed="false">
      <c r="A125" s="11"/>
      <c r="B125" s="13"/>
      <c r="C125" s="11"/>
      <c r="D125" s="11"/>
      <c r="E125" s="11"/>
      <c r="F125" s="19"/>
      <c r="G125" s="12" t="str">
        <f aca="false">IF(F125="","",IF(F125&lt;=Parâmetros!$B$7,"Faixa 1",IF(F125&lt;=Parâmetros!$B$8,"Faixa 2","Faixa 3")))</f>
        <v/>
      </c>
      <c r="H125" s="12" t="str">
        <f aca="false">IF(G125="","",IF(G125="Faixa 1","Rodízio/Sorteio",IF(G125="Faixa 2","Cotação (≥3 propostas)","Chamada pública")))</f>
        <v/>
      </c>
      <c r="I125" s="11"/>
      <c r="J125" s="17" t="str">
        <f aca="false">IF(I125="","",IFERROR(INDEX(Cadastro!$B$5:$B$304,MATCH(I125,Cadastro!$A$5:$A$304,0)),"ID não encontrado"))</f>
        <v/>
      </c>
      <c r="K125" s="17" t="str">
        <f aca="false">IF(I125="","",IFERROR(INDEX(Cadastro!$E$5:$E$304,MATCH(I125,Cadastro!$A$5:$A$304,0)),""))</f>
        <v/>
      </c>
      <c r="L125" s="17" t="str">
        <f aca="false">IF(I125="","",IFERROR(INDEX(Cadastro!$F$5:$F$304,MATCH(I125,Cadastro!$A$5:$A$304,0)),""))</f>
        <v/>
      </c>
      <c r="M125" s="17" t="str">
        <f aca="false">IF(I125="","",IFERROR(INDEX(Cadastro!$I$5:$I$304,MATCH(I125,Cadastro!$A$5:$A$304,0)),""))</f>
        <v/>
      </c>
      <c r="N125" s="19"/>
      <c r="O125" s="13"/>
      <c r="P125" s="12" t="str">
        <f aca="false">IF(OR(B125="",O125=""),"",NETWORKDAYS(B125,O125)-1)</f>
        <v/>
      </c>
      <c r="Q125" s="13"/>
      <c r="R125" s="11"/>
      <c r="S125" s="13"/>
      <c r="T125" s="11"/>
      <c r="U125" s="11"/>
      <c r="V125" s="11"/>
      <c r="W125" s="11"/>
      <c r="X125" s="11"/>
    </row>
    <row r="126" customFormat="false" ht="15" hidden="false" customHeight="false" outlineLevel="0" collapsed="false">
      <c r="A126" s="11"/>
      <c r="B126" s="13"/>
      <c r="C126" s="11"/>
      <c r="D126" s="11"/>
      <c r="E126" s="11"/>
      <c r="F126" s="19"/>
      <c r="G126" s="12" t="str">
        <f aca="false">IF(F126="","",IF(F126&lt;=Parâmetros!$B$7,"Faixa 1",IF(F126&lt;=Parâmetros!$B$8,"Faixa 2","Faixa 3")))</f>
        <v/>
      </c>
      <c r="H126" s="12" t="str">
        <f aca="false">IF(G126="","",IF(G126="Faixa 1","Rodízio/Sorteio",IF(G126="Faixa 2","Cotação (≥3 propostas)","Chamada pública")))</f>
        <v/>
      </c>
      <c r="I126" s="11"/>
      <c r="J126" s="17" t="str">
        <f aca="false">IF(I126="","",IFERROR(INDEX(Cadastro!$B$5:$B$304,MATCH(I126,Cadastro!$A$5:$A$304,0)),"ID não encontrado"))</f>
        <v/>
      </c>
      <c r="K126" s="17" t="str">
        <f aca="false">IF(I126="","",IFERROR(INDEX(Cadastro!$E$5:$E$304,MATCH(I126,Cadastro!$A$5:$A$304,0)),""))</f>
        <v/>
      </c>
      <c r="L126" s="17" t="str">
        <f aca="false">IF(I126="","",IFERROR(INDEX(Cadastro!$F$5:$F$304,MATCH(I126,Cadastro!$A$5:$A$304,0)),""))</f>
        <v/>
      </c>
      <c r="M126" s="17" t="str">
        <f aca="false">IF(I126="","",IFERROR(INDEX(Cadastro!$I$5:$I$304,MATCH(I126,Cadastro!$A$5:$A$304,0)),""))</f>
        <v/>
      </c>
      <c r="N126" s="19"/>
      <c r="O126" s="13"/>
      <c r="P126" s="12" t="str">
        <f aca="false">IF(OR(B126="",O126=""),"",NETWORKDAYS(B126,O126)-1)</f>
        <v/>
      </c>
      <c r="Q126" s="13"/>
      <c r="R126" s="11"/>
      <c r="S126" s="13"/>
      <c r="T126" s="11"/>
      <c r="U126" s="11"/>
      <c r="V126" s="11"/>
      <c r="W126" s="11"/>
      <c r="X126" s="11"/>
    </row>
    <row r="127" customFormat="false" ht="15" hidden="false" customHeight="false" outlineLevel="0" collapsed="false">
      <c r="A127" s="11"/>
      <c r="B127" s="13"/>
      <c r="C127" s="11"/>
      <c r="D127" s="11"/>
      <c r="E127" s="11"/>
      <c r="F127" s="19"/>
      <c r="G127" s="12" t="str">
        <f aca="false">IF(F127="","",IF(F127&lt;=Parâmetros!$B$7,"Faixa 1",IF(F127&lt;=Parâmetros!$B$8,"Faixa 2","Faixa 3")))</f>
        <v/>
      </c>
      <c r="H127" s="12" t="str">
        <f aca="false">IF(G127="","",IF(G127="Faixa 1","Rodízio/Sorteio",IF(G127="Faixa 2","Cotação (≥3 propostas)","Chamada pública")))</f>
        <v/>
      </c>
      <c r="I127" s="11"/>
      <c r="J127" s="17" t="str">
        <f aca="false">IF(I127="","",IFERROR(INDEX(Cadastro!$B$5:$B$304,MATCH(I127,Cadastro!$A$5:$A$304,0)),"ID não encontrado"))</f>
        <v/>
      </c>
      <c r="K127" s="17" t="str">
        <f aca="false">IF(I127="","",IFERROR(INDEX(Cadastro!$E$5:$E$304,MATCH(I127,Cadastro!$A$5:$A$304,0)),""))</f>
        <v/>
      </c>
      <c r="L127" s="17" t="str">
        <f aca="false">IF(I127="","",IFERROR(INDEX(Cadastro!$F$5:$F$304,MATCH(I127,Cadastro!$A$5:$A$304,0)),""))</f>
        <v/>
      </c>
      <c r="M127" s="17" t="str">
        <f aca="false">IF(I127="","",IFERROR(INDEX(Cadastro!$I$5:$I$304,MATCH(I127,Cadastro!$A$5:$A$304,0)),""))</f>
        <v/>
      </c>
      <c r="N127" s="19"/>
      <c r="O127" s="13"/>
      <c r="P127" s="12" t="str">
        <f aca="false">IF(OR(B127="",O127=""),"",NETWORKDAYS(B127,O127)-1)</f>
        <v/>
      </c>
      <c r="Q127" s="13"/>
      <c r="R127" s="11"/>
      <c r="S127" s="13"/>
      <c r="T127" s="11"/>
      <c r="U127" s="11"/>
      <c r="V127" s="11"/>
      <c r="W127" s="11"/>
      <c r="X127" s="11"/>
    </row>
    <row r="128" customFormat="false" ht="15" hidden="false" customHeight="false" outlineLevel="0" collapsed="false">
      <c r="A128" s="11"/>
      <c r="B128" s="13"/>
      <c r="C128" s="11"/>
      <c r="D128" s="11"/>
      <c r="E128" s="11"/>
      <c r="F128" s="19"/>
      <c r="G128" s="12" t="str">
        <f aca="false">IF(F128="","",IF(F128&lt;=Parâmetros!$B$7,"Faixa 1",IF(F128&lt;=Parâmetros!$B$8,"Faixa 2","Faixa 3")))</f>
        <v/>
      </c>
      <c r="H128" s="12" t="str">
        <f aca="false">IF(G128="","",IF(G128="Faixa 1","Rodízio/Sorteio",IF(G128="Faixa 2","Cotação (≥3 propostas)","Chamada pública")))</f>
        <v/>
      </c>
      <c r="I128" s="11"/>
      <c r="J128" s="17" t="str">
        <f aca="false">IF(I128="","",IFERROR(INDEX(Cadastro!$B$5:$B$304,MATCH(I128,Cadastro!$A$5:$A$304,0)),"ID não encontrado"))</f>
        <v/>
      </c>
      <c r="K128" s="17" t="str">
        <f aca="false">IF(I128="","",IFERROR(INDEX(Cadastro!$E$5:$E$304,MATCH(I128,Cadastro!$A$5:$A$304,0)),""))</f>
        <v/>
      </c>
      <c r="L128" s="17" t="str">
        <f aca="false">IF(I128="","",IFERROR(INDEX(Cadastro!$F$5:$F$304,MATCH(I128,Cadastro!$A$5:$A$304,0)),""))</f>
        <v/>
      </c>
      <c r="M128" s="17" t="str">
        <f aca="false">IF(I128="","",IFERROR(INDEX(Cadastro!$I$5:$I$304,MATCH(I128,Cadastro!$A$5:$A$304,0)),""))</f>
        <v/>
      </c>
      <c r="N128" s="19"/>
      <c r="O128" s="13"/>
      <c r="P128" s="12" t="str">
        <f aca="false">IF(OR(B128="",O128=""),"",NETWORKDAYS(B128,O128)-1)</f>
        <v/>
      </c>
      <c r="Q128" s="13"/>
      <c r="R128" s="11"/>
      <c r="S128" s="13"/>
      <c r="T128" s="11"/>
      <c r="U128" s="11"/>
      <c r="V128" s="11"/>
      <c r="W128" s="11"/>
      <c r="X128" s="11"/>
    </row>
    <row r="129" customFormat="false" ht="15" hidden="false" customHeight="false" outlineLevel="0" collapsed="false">
      <c r="A129" s="11"/>
      <c r="B129" s="13"/>
      <c r="C129" s="11"/>
      <c r="D129" s="11"/>
      <c r="E129" s="11"/>
      <c r="F129" s="19"/>
      <c r="G129" s="12" t="str">
        <f aca="false">IF(F129="","",IF(F129&lt;=Parâmetros!$B$7,"Faixa 1",IF(F129&lt;=Parâmetros!$B$8,"Faixa 2","Faixa 3")))</f>
        <v/>
      </c>
      <c r="H129" s="12" t="str">
        <f aca="false">IF(G129="","",IF(G129="Faixa 1","Rodízio/Sorteio",IF(G129="Faixa 2","Cotação (≥3 propostas)","Chamada pública")))</f>
        <v/>
      </c>
      <c r="I129" s="11"/>
      <c r="J129" s="17" t="str">
        <f aca="false">IF(I129="","",IFERROR(INDEX(Cadastro!$B$5:$B$304,MATCH(I129,Cadastro!$A$5:$A$304,0)),"ID não encontrado"))</f>
        <v/>
      </c>
      <c r="K129" s="17" t="str">
        <f aca="false">IF(I129="","",IFERROR(INDEX(Cadastro!$E$5:$E$304,MATCH(I129,Cadastro!$A$5:$A$304,0)),""))</f>
        <v/>
      </c>
      <c r="L129" s="17" t="str">
        <f aca="false">IF(I129="","",IFERROR(INDEX(Cadastro!$F$5:$F$304,MATCH(I129,Cadastro!$A$5:$A$304,0)),""))</f>
        <v/>
      </c>
      <c r="M129" s="17" t="str">
        <f aca="false">IF(I129="","",IFERROR(INDEX(Cadastro!$I$5:$I$304,MATCH(I129,Cadastro!$A$5:$A$304,0)),""))</f>
        <v/>
      </c>
      <c r="N129" s="19"/>
      <c r="O129" s="13"/>
      <c r="P129" s="12" t="str">
        <f aca="false">IF(OR(B129="",O129=""),"",NETWORKDAYS(B129,O129)-1)</f>
        <v/>
      </c>
      <c r="Q129" s="13"/>
      <c r="R129" s="11"/>
      <c r="S129" s="13"/>
      <c r="T129" s="11"/>
      <c r="U129" s="11"/>
      <c r="V129" s="11"/>
      <c r="W129" s="11"/>
      <c r="X129" s="11"/>
    </row>
    <row r="130" customFormat="false" ht="15" hidden="false" customHeight="false" outlineLevel="0" collapsed="false">
      <c r="A130" s="11"/>
      <c r="B130" s="13"/>
      <c r="C130" s="11"/>
      <c r="D130" s="11"/>
      <c r="E130" s="11"/>
      <c r="F130" s="19"/>
      <c r="G130" s="12" t="str">
        <f aca="false">IF(F130="","",IF(F130&lt;=Parâmetros!$B$7,"Faixa 1",IF(F130&lt;=Parâmetros!$B$8,"Faixa 2","Faixa 3")))</f>
        <v/>
      </c>
      <c r="H130" s="12" t="str">
        <f aca="false">IF(G130="","",IF(G130="Faixa 1","Rodízio/Sorteio",IF(G130="Faixa 2","Cotação (≥3 propostas)","Chamada pública")))</f>
        <v/>
      </c>
      <c r="I130" s="11"/>
      <c r="J130" s="17" t="str">
        <f aca="false">IF(I130="","",IFERROR(INDEX(Cadastro!$B$5:$B$304,MATCH(I130,Cadastro!$A$5:$A$304,0)),"ID não encontrado"))</f>
        <v/>
      </c>
      <c r="K130" s="17" t="str">
        <f aca="false">IF(I130="","",IFERROR(INDEX(Cadastro!$E$5:$E$304,MATCH(I130,Cadastro!$A$5:$A$304,0)),""))</f>
        <v/>
      </c>
      <c r="L130" s="17" t="str">
        <f aca="false">IF(I130="","",IFERROR(INDEX(Cadastro!$F$5:$F$304,MATCH(I130,Cadastro!$A$5:$A$304,0)),""))</f>
        <v/>
      </c>
      <c r="M130" s="17" t="str">
        <f aca="false">IF(I130="","",IFERROR(INDEX(Cadastro!$I$5:$I$304,MATCH(I130,Cadastro!$A$5:$A$304,0)),""))</f>
        <v/>
      </c>
      <c r="N130" s="19"/>
      <c r="O130" s="13"/>
      <c r="P130" s="12" t="str">
        <f aca="false">IF(OR(B130="",O130=""),"",NETWORKDAYS(B130,O130)-1)</f>
        <v/>
      </c>
      <c r="Q130" s="13"/>
      <c r="R130" s="11"/>
      <c r="S130" s="13"/>
      <c r="T130" s="11"/>
      <c r="U130" s="11"/>
      <c r="V130" s="11"/>
      <c r="W130" s="11"/>
      <c r="X130" s="11"/>
    </row>
    <row r="131" customFormat="false" ht="15" hidden="false" customHeight="false" outlineLevel="0" collapsed="false">
      <c r="A131" s="11"/>
      <c r="B131" s="13"/>
      <c r="C131" s="11"/>
      <c r="D131" s="11"/>
      <c r="E131" s="11"/>
      <c r="F131" s="19"/>
      <c r="G131" s="12" t="str">
        <f aca="false">IF(F131="","",IF(F131&lt;=Parâmetros!$B$7,"Faixa 1",IF(F131&lt;=Parâmetros!$B$8,"Faixa 2","Faixa 3")))</f>
        <v/>
      </c>
      <c r="H131" s="12" t="str">
        <f aca="false">IF(G131="","",IF(G131="Faixa 1","Rodízio/Sorteio",IF(G131="Faixa 2","Cotação (≥3 propostas)","Chamada pública")))</f>
        <v/>
      </c>
      <c r="I131" s="11"/>
      <c r="J131" s="17" t="str">
        <f aca="false">IF(I131="","",IFERROR(INDEX(Cadastro!$B$5:$B$304,MATCH(I131,Cadastro!$A$5:$A$304,0)),"ID não encontrado"))</f>
        <v/>
      </c>
      <c r="K131" s="17" t="str">
        <f aca="false">IF(I131="","",IFERROR(INDEX(Cadastro!$E$5:$E$304,MATCH(I131,Cadastro!$A$5:$A$304,0)),""))</f>
        <v/>
      </c>
      <c r="L131" s="17" t="str">
        <f aca="false">IF(I131="","",IFERROR(INDEX(Cadastro!$F$5:$F$304,MATCH(I131,Cadastro!$A$5:$A$304,0)),""))</f>
        <v/>
      </c>
      <c r="M131" s="17" t="str">
        <f aca="false">IF(I131="","",IFERROR(INDEX(Cadastro!$I$5:$I$304,MATCH(I131,Cadastro!$A$5:$A$304,0)),""))</f>
        <v/>
      </c>
      <c r="N131" s="19"/>
      <c r="O131" s="13"/>
      <c r="P131" s="12" t="str">
        <f aca="false">IF(OR(B131="",O131=""),"",NETWORKDAYS(B131,O131)-1)</f>
        <v/>
      </c>
      <c r="Q131" s="13"/>
      <c r="R131" s="11"/>
      <c r="S131" s="13"/>
      <c r="T131" s="11"/>
      <c r="U131" s="11"/>
      <c r="V131" s="11"/>
      <c r="W131" s="11"/>
      <c r="X131" s="11"/>
    </row>
    <row r="132" customFormat="false" ht="15" hidden="false" customHeight="false" outlineLevel="0" collapsed="false">
      <c r="A132" s="11"/>
      <c r="B132" s="13"/>
      <c r="C132" s="11"/>
      <c r="D132" s="11"/>
      <c r="E132" s="11"/>
      <c r="F132" s="19"/>
      <c r="G132" s="12" t="str">
        <f aca="false">IF(F132="","",IF(F132&lt;=Parâmetros!$B$7,"Faixa 1",IF(F132&lt;=Parâmetros!$B$8,"Faixa 2","Faixa 3")))</f>
        <v/>
      </c>
      <c r="H132" s="12" t="str">
        <f aca="false">IF(G132="","",IF(G132="Faixa 1","Rodízio/Sorteio",IF(G132="Faixa 2","Cotação (≥3 propostas)","Chamada pública")))</f>
        <v/>
      </c>
      <c r="I132" s="11"/>
      <c r="J132" s="17" t="str">
        <f aca="false">IF(I132="","",IFERROR(INDEX(Cadastro!$B$5:$B$304,MATCH(I132,Cadastro!$A$5:$A$304,0)),"ID não encontrado"))</f>
        <v/>
      </c>
      <c r="K132" s="17" t="str">
        <f aca="false">IF(I132="","",IFERROR(INDEX(Cadastro!$E$5:$E$304,MATCH(I132,Cadastro!$A$5:$A$304,0)),""))</f>
        <v/>
      </c>
      <c r="L132" s="17" t="str">
        <f aca="false">IF(I132="","",IFERROR(INDEX(Cadastro!$F$5:$F$304,MATCH(I132,Cadastro!$A$5:$A$304,0)),""))</f>
        <v/>
      </c>
      <c r="M132" s="17" t="str">
        <f aca="false">IF(I132="","",IFERROR(INDEX(Cadastro!$I$5:$I$304,MATCH(I132,Cadastro!$A$5:$A$304,0)),""))</f>
        <v/>
      </c>
      <c r="N132" s="19"/>
      <c r="O132" s="13"/>
      <c r="P132" s="12" t="str">
        <f aca="false">IF(OR(B132="",O132=""),"",NETWORKDAYS(B132,O132)-1)</f>
        <v/>
      </c>
      <c r="Q132" s="13"/>
      <c r="R132" s="11"/>
      <c r="S132" s="13"/>
      <c r="T132" s="11"/>
      <c r="U132" s="11"/>
      <c r="V132" s="11"/>
      <c r="W132" s="11"/>
      <c r="X132" s="11"/>
    </row>
    <row r="133" customFormat="false" ht="15" hidden="false" customHeight="false" outlineLevel="0" collapsed="false">
      <c r="A133" s="11"/>
      <c r="B133" s="13"/>
      <c r="C133" s="11"/>
      <c r="D133" s="11"/>
      <c r="E133" s="11"/>
      <c r="F133" s="19"/>
      <c r="G133" s="12" t="str">
        <f aca="false">IF(F133="","",IF(F133&lt;=Parâmetros!$B$7,"Faixa 1",IF(F133&lt;=Parâmetros!$B$8,"Faixa 2","Faixa 3")))</f>
        <v/>
      </c>
      <c r="H133" s="12" t="str">
        <f aca="false">IF(G133="","",IF(G133="Faixa 1","Rodízio/Sorteio",IF(G133="Faixa 2","Cotação (≥3 propostas)","Chamada pública")))</f>
        <v/>
      </c>
      <c r="I133" s="11"/>
      <c r="J133" s="17" t="str">
        <f aca="false">IF(I133="","",IFERROR(INDEX(Cadastro!$B$5:$B$304,MATCH(I133,Cadastro!$A$5:$A$304,0)),"ID não encontrado"))</f>
        <v/>
      </c>
      <c r="K133" s="17" t="str">
        <f aca="false">IF(I133="","",IFERROR(INDEX(Cadastro!$E$5:$E$304,MATCH(I133,Cadastro!$A$5:$A$304,0)),""))</f>
        <v/>
      </c>
      <c r="L133" s="17" t="str">
        <f aca="false">IF(I133="","",IFERROR(INDEX(Cadastro!$F$5:$F$304,MATCH(I133,Cadastro!$A$5:$A$304,0)),""))</f>
        <v/>
      </c>
      <c r="M133" s="17" t="str">
        <f aca="false">IF(I133="","",IFERROR(INDEX(Cadastro!$I$5:$I$304,MATCH(I133,Cadastro!$A$5:$A$304,0)),""))</f>
        <v/>
      </c>
      <c r="N133" s="19"/>
      <c r="O133" s="13"/>
      <c r="P133" s="12" t="str">
        <f aca="false">IF(OR(B133="",O133=""),"",NETWORKDAYS(B133,O133)-1)</f>
        <v/>
      </c>
      <c r="Q133" s="13"/>
      <c r="R133" s="11"/>
      <c r="S133" s="13"/>
      <c r="T133" s="11"/>
      <c r="U133" s="11"/>
      <c r="V133" s="11"/>
      <c r="W133" s="11"/>
      <c r="X133" s="11"/>
    </row>
    <row r="134" customFormat="false" ht="15" hidden="false" customHeight="false" outlineLevel="0" collapsed="false">
      <c r="A134" s="11"/>
      <c r="B134" s="13"/>
      <c r="C134" s="11"/>
      <c r="D134" s="11"/>
      <c r="E134" s="11"/>
      <c r="F134" s="19"/>
      <c r="G134" s="12" t="str">
        <f aca="false">IF(F134="","",IF(F134&lt;=Parâmetros!$B$7,"Faixa 1",IF(F134&lt;=Parâmetros!$B$8,"Faixa 2","Faixa 3")))</f>
        <v/>
      </c>
      <c r="H134" s="12" t="str">
        <f aca="false">IF(G134="","",IF(G134="Faixa 1","Rodízio/Sorteio",IF(G134="Faixa 2","Cotação (≥3 propostas)","Chamada pública")))</f>
        <v/>
      </c>
      <c r="I134" s="11"/>
      <c r="J134" s="17" t="str">
        <f aca="false">IF(I134="","",IFERROR(INDEX(Cadastro!$B$5:$B$304,MATCH(I134,Cadastro!$A$5:$A$304,0)),"ID não encontrado"))</f>
        <v/>
      </c>
      <c r="K134" s="17" t="str">
        <f aca="false">IF(I134="","",IFERROR(INDEX(Cadastro!$E$5:$E$304,MATCH(I134,Cadastro!$A$5:$A$304,0)),""))</f>
        <v/>
      </c>
      <c r="L134" s="17" t="str">
        <f aca="false">IF(I134="","",IFERROR(INDEX(Cadastro!$F$5:$F$304,MATCH(I134,Cadastro!$A$5:$A$304,0)),""))</f>
        <v/>
      </c>
      <c r="M134" s="17" t="str">
        <f aca="false">IF(I134="","",IFERROR(INDEX(Cadastro!$I$5:$I$304,MATCH(I134,Cadastro!$A$5:$A$304,0)),""))</f>
        <v/>
      </c>
      <c r="N134" s="19"/>
      <c r="O134" s="13"/>
      <c r="P134" s="12" t="str">
        <f aca="false">IF(OR(B134="",O134=""),"",NETWORKDAYS(B134,O134)-1)</f>
        <v/>
      </c>
      <c r="Q134" s="13"/>
      <c r="R134" s="11"/>
      <c r="S134" s="13"/>
      <c r="T134" s="11"/>
      <c r="U134" s="11"/>
      <c r="V134" s="11"/>
      <c r="W134" s="11"/>
      <c r="X134" s="11"/>
    </row>
    <row r="135" customFormat="false" ht="15" hidden="false" customHeight="false" outlineLevel="0" collapsed="false">
      <c r="A135" s="11"/>
      <c r="B135" s="13"/>
      <c r="C135" s="11"/>
      <c r="D135" s="11"/>
      <c r="E135" s="11"/>
      <c r="F135" s="19"/>
      <c r="G135" s="12" t="str">
        <f aca="false">IF(F135="","",IF(F135&lt;=Parâmetros!$B$7,"Faixa 1",IF(F135&lt;=Parâmetros!$B$8,"Faixa 2","Faixa 3")))</f>
        <v/>
      </c>
      <c r="H135" s="12" t="str">
        <f aca="false">IF(G135="","",IF(G135="Faixa 1","Rodízio/Sorteio",IF(G135="Faixa 2","Cotação (≥3 propostas)","Chamada pública")))</f>
        <v/>
      </c>
      <c r="I135" s="11"/>
      <c r="J135" s="17" t="str">
        <f aca="false">IF(I135="","",IFERROR(INDEX(Cadastro!$B$5:$B$304,MATCH(I135,Cadastro!$A$5:$A$304,0)),"ID não encontrado"))</f>
        <v/>
      </c>
      <c r="K135" s="17" t="str">
        <f aca="false">IF(I135="","",IFERROR(INDEX(Cadastro!$E$5:$E$304,MATCH(I135,Cadastro!$A$5:$A$304,0)),""))</f>
        <v/>
      </c>
      <c r="L135" s="17" t="str">
        <f aca="false">IF(I135="","",IFERROR(INDEX(Cadastro!$F$5:$F$304,MATCH(I135,Cadastro!$A$5:$A$304,0)),""))</f>
        <v/>
      </c>
      <c r="M135" s="17" t="str">
        <f aca="false">IF(I135="","",IFERROR(INDEX(Cadastro!$I$5:$I$304,MATCH(I135,Cadastro!$A$5:$A$304,0)),""))</f>
        <v/>
      </c>
      <c r="N135" s="19"/>
      <c r="O135" s="13"/>
      <c r="P135" s="12" t="str">
        <f aca="false">IF(OR(B135="",O135=""),"",NETWORKDAYS(B135,O135)-1)</f>
        <v/>
      </c>
      <c r="Q135" s="13"/>
      <c r="R135" s="11"/>
      <c r="S135" s="13"/>
      <c r="T135" s="11"/>
      <c r="U135" s="11"/>
      <c r="V135" s="11"/>
      <c r="W135" s="11"/>
      <c r="X135" s="11"/>
    </row>
    <row r="136" customFormat="false" ht="15" hidden="false" customHeight="false" outlineLevel="0" collapsed="false">
      <c r="A136" s="11"/>
      <c r="B136" s="13"/>
      <c r="C136" s="11"/>
      <c r="D136" s="11"/>
      <c r="E136" s="11"/>
      <c r="F136" s="19"/>
      <c r="G136" s="12" t="str">
        <f aca="false">IF(F136="","",IF(F136&lt;=Parâmetros!$B$7,"Faixa 1",IF(F136&lt;=Parâmetros!$B$8,"Faixa 2","Faixa 3")))</f>
        <v/>
      </c>
      <c r="H136" s="12" t="str">
        <f aca="false">IF(G136="","",IF(G136="Faixa 1","Rodízio/Sorteio",IF(G136="Faixa 2","Cotação (≥3 propostas)","Chamada pública")))</f>
        <v/>
      </c>
      <c r="I136" s="11"/>
      <c r="J136" s="17" t="str">
        <f aca="false">IF(I136="","",IFERROR(INDEX(Cadastro!$B$5:$B$304,MATCH(I136,Cadastro!$A$5:$A$304,0)),"ID não encontrado"))</f>
        <v/>
      </c>
      <c r="K136" s="17" t="str">
        <f aca="false">IF(I136="","",IFERROR(INDEX(Cadastro!$E$5:$E$304,MATCH(I136,Cadastro!$A$5:$A$304,0)),""))</f>
        <v/>
      </c>
      <c r="L136" s="17" t="str">
        <f aca="false">IF(I136="","",IFERROR(INDEX(Cadastro!$F$5:$F$304,MATCH(I136,Cadastro!$A$5:$A$304,0)),""))</f>
        <v/>
      </c>
      <c r="M136" s="17" t="str">
        <f aca="false">IF(I136="","",IFERROR(INDEX(Cadastro!$I$5:$I$304,MATCH(I136,Cadastro!$A$5:$A$304,0)),""))</f>
        <v/>
      </c>
      <c r="N136" s="19"/>
      <c r="O136" s="13"/>
      <c r="P136" s="12" t="str">
        <f aca="false">IF(OR(B136="",O136=""),"",NETWORKDAYS(B136,O136)-1)</f>
        <v/>
      </c>
      <c r="Q136" s="13"/>
      <c r="R136" s="11"/>
      <c r="S136" s="13"/>
      <c r="T136" s="11"/>
      <c r="U136" s="11"/>
      <c r="V136" s="11"/>
      <c r="W136" s="11"/>
      <c r="X136" s="11"/>
    </row>
    <row r="137" customFormat="false" ht="15" hidden="false" customHeight="false" outlineLevel="0" collapsed="false">
      <c r="A137" s="11"/>
      <c r="B137" s="13"/>
      <c r="C137" s="11"/>
      <c r="D137" s="11"/>
      <c r="E137" s="11"/>
      <c r="F137" s="19"/>
      <c r="G137" s="12" t="str">
        <f aca="false">IF(F137="","",IF(F137&lt;=Parâmetros!$B$7,"Faixa 1",IF(F137&lt;=Parâmetros!$B$8,"Faixa 2","Faixa 3")))</f>
        <v/>
      </c>
      <c r="H137" s="12" t="str">
        <f aca="false">IF(G137="","",IF(G137="Faixa 1","Rodízio/Sorteio",IF(G137="Faixa 2","Cotação (≥3 propostas)","Chamada pública")))</f>
        <v/>
      </c>
      <c r="I137" s="11"/>
      <c r="J137" s="17" t="str">
        <f aca="false">IF(I137="","",IFERROR(INDEX(Cadastro!$B$5:$B$304,MATCH(I137,Cadastro!$A$5:$A$304,0)),"ID não encontrado"))</f>
        <v/>
      </c>
      <c r="K137" s="17" t="str">
        <f aca="false">IF(I137="","",IFERROR(INDEX(Cadastro!$E$5:$E$304,MATCH(I137,Cadastro!$A$5:$A$304,0)),""))</f>
        <v/>
      </c>
      <c r="L137" s="17" t="str">
        <f aca="false">IF(I137="","",IFERROR(INDEX(Cadastro!$F$5:$F$304,MATCH(I137,Cadastro!$A$5:$A$304,0)),""))</f>
        <v/>
      </c>
      <c r="M137" s="17" t="str">
        <f aca="false">IF(I137="","",IFERROR(INDEX(Cadastro!$I$5:$I$304,MATCH(I137,Cadastro!$A$5:$A$304,0)),""))</f>
        <v/>
      </c>
      <c r="N137" s="19"/>
      <c r="O137" s="13"/>
      <c r="P137" s="12" t="str">
        <f aca="false">IF(OR(B137="",O137=""),"",NETWORKDAYS(B137,O137)-1)</f>
        <v/>
      </c>
      <c r="Q137" s="13"/>
      <c r="R137" s="11"/>
      <c r="S137" s="13"/>
      <c r="T137" s="11"/>
      <c r="U137" s="11"/>
      <c r="V137" s="11"/>
      <c r="W137" s="11"/>
      <c r="X137" s="11"/>
    </row>
    <row r="138" customFormat="false" ht="15" hidden="false" customHeight="false" outlineLevel="0" collapsed="false">
      <c r="A138" s="11"/>
      <c r="B138" s="13"/>
      <c r="C138" s="11"/>
      <c r="D138" s="11"/>
      <c r="E138" s="11"/>
      <c r="F138" s="19"/>
      <c r="G138" s="12" t="str">
        <f aca="false">IF(F138="","",IF(F138&lt;=Parâmetros!$B$7,"Faixa 1",IF(F138&lt;=Parâmetros!$B$8,"Faixa 2","Faixa 3")))</f>
        <v/>
      </c>
      <c r="H138" s="12" t="str">
        <f aca="false">IF(G138="","",IF(G138="Faixa 1","Rodízio/Sorteio",IF(G138="Faixa 2","Cotação (≥3 propostas)","Chamada pública")))</f>
        <v/>
      </c>
      <c r="I138" s="11"/>
      <c r="J138" s="17" t="str">
        <f aca="false">IF(I138="","",IFERROR(INDEX(Cadastro!$B$5:$B$304,MATCH(I138,Cadastro!$A$5:$A$304,0)),"ID não encontrado"))</f>
        <v/>
      </c>
      <c r="K138" s="17" t="str">
        <f aca="false">IF(I138="","",IFERROR(INDEX(Cadastro!$E$5:$E$304,MATCH(I138,Cadastro!$A$5:$A$304,0)),""))</f>
        <v/>
      </c>
      <c r="L138" s="17" t="str">
        <f aca="false">IF(I138="","",IFERROR(INDEX(Cadastro!$F$5:$F$304,MATCH(I138,Cadastro!$A$5:$A$304,0)),""))</f>
        <v/>
      </c>
      <c r="M138" s="17" t="str">
        <f aca="false">IF(I138="","",IFERROR(INDEX(Cadastro!$I$5:$I$304,MATCH(I138,Cadastro!$A$5:$A$304,0)),""))</f>
        <v/>
      </c>
      <c r="N138" s="19"/>
      <c r="O138" s="13"/>
      <c r="P138" s="12" t="str">
        <f aca="false">IF(OR(B138="",O138=""),"",NETWORKDAYS(B138,O138)-1)</f>
        <v/>
      </c>
      <c r="Q138" s="13"/>
      <c r="R138" s="11"/>
      <c r="S138" s="13"/>
      <c r="T138" s="11"/>
      <c r="U138" s="11"/>
      <c r="V138" s="11"/>
      <c r="W138" s="11"/>
      <c r="X138" s="11"/>
    </row>
    <row r="139" customFormat="false" ht="15" hidden="false" customHeight="false" outlineLevel="0" collapsed="false">
      <c r="A139" s="11"/>
      <c r="B139" s="13"/>
      <c r="C139" s="11"/>
      <c r="D139" s="11"/>
      <c r="E139" s="11"/>
      <c r="F139" s="19"/>
      <c r="G139" s="12" t="str">
        <f aca="false">IF(F139="","",IF(F139&lt;=Parâmetros!$B$7,"Faixa 1",IF(F139&lt;=Parâmetros!$B$8,"Faixa 2","Faixa 3")))</f>
        <v/>
      </c>
      <c r="H139" s="12" t="str">
        <f aca="false">IF(G139="","",IF(G139="Faixa 1","Rodízio/Sorteio",IF(G139="Faixa 2","Cotação (≥3 propostas)","Chamada pública")))</f>
        <v/>
      </c>
      <c r="I139" s="11"/>
      <c r="J139" s="17" t="str">
        <f aca="false">IF(I139="","",IFERROR(INDEX(Cadastro!$B$5:$B$304,MATCH(I139,Cadastro!$A$5:$A$304,0)),"ID não encontrado"))</f>
        <v/>
      </c>
      <c r="K139" s="17" t="str">
        <f aca="false">IF(I139="","",IFERROR(INDEX(Cadastro!$E$5:$E$304,MATCH(I139,Cadastro!$A$5:$A$304,0)),""))</f>
        <v/>
      </c>
      <c r="L139" s="17" t="str">
        <f aca="false">IF(I139="","",IFERROR(INDEX(Cadastro!$F$5:$F$304,MATCH(I139,Cadastro!$A$5:$A$304,0)),""))</f>
        <v/>
      </c>
      <c r="M139" s="17" t="str">
        <f aca="false">IF(I139="","",IFERROR(INDEX(Cadastro!$I$5:$I$304,MATCH(I139,Cadastro!$A$5:$A$304,0)),""))</f>
        <v/>
      </c>
      <c r="N139" s="19"/>
      <c r="O139" s="13"/>
      <c r="P139" s="12" t="str">
        <f aca="false">IF(OR(B139="",O139=""),"",NETWORKDAYS(B139,O139)-1)</f>
        <v/>
      </c>
      <c r="Q139" s="13"/>
      <c r="R139" s="11"/>
      <c r="S139" s="13"/>
      <c r="T139" s="11"/>
      <c r="U139" s="11"/>
      <c r="V139" s="11"/>
      <c r="W139" s="11"/>
      <c r="X139" s="11"/>
    </row>
    <row r="140" customFormat="false" ht="15" hidden="false" customHeight="false" outlineLevel="0" collapsed="false">
      <c r="A140" s="11"/>
      <c r="B140" s="13"/>
      <c r="C140" s="11"/>
      <c r="D140" s="11"/>
      <c r="E140" s="11"/>
      <c r="F140" s="19"/>
      <c r="G140" s="12" t="str">
        <f aca="false">IF(F140="","",IF(F140&lt;=Parâmetros!$B$7,"Faixa 1",IF(F140&lt;=Parâmetros!$B$8,"Faixa 2","Faixa 3")))</f>
        <v/>
      </c>
      <c r="H140" s="12" t="str">
        <f aca="false">IF(G140="","",IF(G140="Faixa 1","Rodízio/Sorteio",IF(G140="Faixa 2","Cotação (≥3 propostas)","Chamada pública")))</f>
        <v/>
      </c>
      <c r="I140" s="11"/>
      <c r="J140" s="17" t="str">
        <f aca="false">IF(I140="","",IFERROR(INDEX(Cadastro!$B$5:$B$304,MATCH(I140,Cadastro!$A$5:$A$304,0)),"ID não encontrado"))</f>
        <v/>
      </c>
      <c r="K140" s="17" t="str">
        <f aca="false">IF(I140="","",IFERROR(INDEX(Cadastro!$E$5:$E$304,MATCH(I140,Cadastro!$A$5:$A$304,0)),""))</f>
        <v/>
      </c>
      <c r="L140" s="17" t="str">
        <f aca="false">IF(I140="","",IFERROR(INDEX(Cadastro!$F$5:$F$304,MATCH(I140,Cadastro!$A$5:$A$304,0)),""))</f>
        <v/>
      </c>
      <c r="M140" s="17" t="str">
        <f aca="false">IF(I140="","",IFERROR(INDEX(Cadastro!$I$5:$I$304,MATCH(I140,Cadastro!$A$5:$A$304,0)),""))</f>
        <v/>
      </c>
      <c r="N140" s="19"/>
      <c r="O140" s="13"/>
      <c r="P140" s="12" t="str">
        <f aca="false">IF(OR(B140="",O140=""),"",NETWORKDAYS(B140,O140)-1)</f>
        <v/>
      </c>
      <c r="Q140" s="13"/>
      <c r="R140" s="11"/>
      <c r="S140" s="13"/>
      <c r="T140" s="11"/>
      <c r="U140" s="11"/>
      <c r="V140" s="11"/>
      <c r="W140" s="11"/>
      <c r="X140" s="11"/>
    </row>
    <row r="141" customFormat="false" ht="15" hidden="false" customHeight="false" outlineLevel="0" collapsed="false">
      <c r="A141" s="11"/>
      <c r="B141" s="13"/>
      <c r="C141" s="11"/>
      <c r="D141" s="11"/>
      <c r="E141" s="11"/>
      <c r="F141" s="19"/>
      <c r="G141" s="12" t="str">
        <f aca="false">IF(F141="","",IF(F141&lt;=Parâmetros!$B$7,"Faixa 1",IF(F141&lt;=Parâmetros!$B$8,"Faixa 2","Faixa 3")))</f>
        <v/>
      </c>
      <c r="H141" s="12" t="str">
        <f aca="false">IF(G141="","",IF(G141="Faixa 1","Rodízio/Sorteio",IF(G141="Faixa 2","Cotação (≥3 propostas)","Chamada pública")))</f>
        <v/>
      </c>
      <c r="I141" s="11"/>
      <c r="J141" s="17" t="str">
        <f aca="false">IF(I141="","",IFERROR(INDEX(Cadastro!$B$5:$B$304,MATCH(I141,Cadastro!$A$5:$A$304,0)),"ID não encontrado"))</f>
        <v/>
      </c>
      <c r="K141" s="17" t="str">
        <f aca="false">IF(I141="","",IFERROR(INDEX(Cadastro!$E$5:$E$304,MATCH(I141,Cadastro!$A$5:$A$304,0)),""))</f>
        <v/>
      </c>
      <c r="L141" s="17" t="str">
        <f aca="false">IF(I141="","",IFERROR(INDEX(Cadastro!$F$5:$F$304,MATCH(I141,Cadastro!$A$5:$A$304,0)),""))</f>
        <v/>
      </c>
      <c r="M141" s="17" t="str">
        <f aca="false">IF(I141="","",IFERROR(INDEX(Cadastro!$I$5:$I$304,MATCH(I141,Cadastro!$A$5:$A$304,0)),""))</f>
        <v/>
      </c>
      <c r="N141" s="19"/>
      <c r="O141" s="13"/>
      <c r="P141" s="12" t="str">
        <f aca="false">IF(OR(B141="",O141=""),"",NETWORKDAYS(B141,O141)-1)</f>
        <v/>
      </c>
      <c r="Q141" s="13"/>
      <c r="R141" s="11"/>
      <c r="S141" s="13"/>
      <c r="T141" s="11"/>
      <c r="U141" s="11"/>
      <c r="V141" s="11"/>
      <c r="W141" s="11"/>
      <c r="X141" s="11"/>
    </row>
    <row r="142" customFormat="false" ht="15" hidden="false" customHeight="false" outlineLevel="0" collapsed="false">
      <c r="A142" s="11"/>
      <c r="B142" s="13"/>
      <c r="C142" s="11"/>
      <c r="D142" s="11"/>
      <c r="E142" s="11"/>
      <c r="F142" s="19"/>
      <c r="G142" s="12" t="str">
        <f aca="false">IF(F142="","",IF(F142&lt;=Parâmetros!$B$7,"Faixa 1",IF(F142&lt;=Parâmetros!$B$8,"Faixa 2","Faixa 3")))</f>
        <v/>
      </c>
      <c r="H142" s="12" t="str">
        <f aca="false">IF(G142="","",IF(G142="Faixa 1","Rodízio/Sorteio",IF(G142="Faixa 2","Cotação (≥3 propostas)","Chamada pública")))</f>
        <v/>
      </c>
      <c r="I142" s="11"/>
      <c r="J142" s="17" t="str">
        <f aca="false">IF(I142="","",IFERROR(INDEX(Cadastro!$B$5:$B$304,MATCH(I142,Cadastro!$A$5:$A$304,0)),"ID não encontrado"))</f>
        <v/>
      </c>
      <c r="K142" s="17" t="str">
        <f aca="false">IF(I142="","",IFERROR(INDEX(Cadastro!$E$5:$E$304,MATCH(I142,Cadastro!$A$5:$A$304,0)),""))</f>
        <v/>
      </c>
      <c r="L142" s="17" t="str">
        <f aca="false">IF(I142="","",IFERROR(INDEX(Cadastro!$F$5:$F$304,MATCH(I142,Cadastro!$A$5:$A$304,0)),""))</f>
        <v/>
      </c>
      <c r="M142" s="17" t="str">
        <f aca="false">IF(I142="","",IFERROR(INDEX(Cadastro!$I$5:$I$304,MATCH(I142,Cadastro!$A$5:$A$304,0)),""))</f>
        <v/>
      </c>
      <c r="N142" s="19"/>
      <c r="O142" s="13"/>
      <c r="P142" s="12" t="str">
        <f aca="false">IF(OR(B142="",O142=""),"",NETWORKDAYS(B142,O142)-1)</f>
        <v/>
      </c>
      <c r="Q142" s="13"/>
      <c r="R142" s="11"/>
      <c r="S142" s="13"/>
      <c r="T142" s="11"/>
      <c r="U142" s="11"/>
      <c r="V142" s="11"/>
      <c r="W142" s="11"/>
      <c r="X142" s="11"/>
    </row>
    <row r="143" customFormat="false" ht="15" hidden="false" customHeight="false" outlineLevel="0" collapsed="false">
      <c r="A143" s="11"/>
      <c r="B143" s="13"/>
      <c r="C143" s="11"/>
      <c r="D143" s="11"/>
      <c r="E143" s="11"/>
      <c r="F143" s="19"/>
      <c r="G143" s="12" t="str">
        <f aca="false">IF(F143="","",IF(F143&lt;=Parâmetros!$B$7,"Faixa 1",IF(F143&lt;=Parâmetros!$B$8,"Faixa 2","Faixa 3")))</f>
        <v/>
      </c>
      <c r="H143" s="12" t="str">
        <f aca="false">IF(G143="","",IF(G143="Faixa 1","Rodízio/Sorteio",IF(G143="Faixa 2","Cotação (≥3 propostas)","Chamada pública")))</f>
        <v/>
      </c>
      <c r="I143" s="11"/>
      <c r="J143" s="17" t="str">
        <f aca="false">IF(I143="","",IFERROR(INDEX(Cadastro!$B$5:$B$304,MATCH(I143,Cadastro!$A$5:$A$304,0)),"ID não encontrado"))</f>
        <v/>
      </c>
      <c r="K143" s="17" t="str">
        <f aca="false">IF(I143="","",IFERROR(INDEX(Cadastro!$E$5:$E$304,MATCH(I143,Cadastro!$A$5:$A$304,0)),""))</f>
        <v/>
      </c>
      <c r="L143" s="17" t="str">
        <f aca="false">IF(I143="","",IFERROR(INDEX(Cadastro!$F$5:$F$304,MATCH(I143,Cadastro!$A$5:$A$304,0)),""))</f>
        <v/>
      </c>
      <c r="M143" s="17" t="str">
        <f aca="false">IF(I143="","",IFERROR(INDEX(Cadastro!$I$5:$I$304,MATCH(I143,Cadastro!$A$5:$A$304,0)),""))</f>
        <v/>
      </c>
      <c r="N143" s="19"/>
      <c r="O143" s="13"/>
      <c r="P143" s="12" t="str">
        <f aca="false">IF(OR(B143="",O143=""),"",NETWORKDAYS(B143,O143)-1)</f>
        <v/>
      </c>
      <c r="Q143" s="13"/>
      <c r="R143" s="11"/>
      <c r="S143" s="13"/>
      <c r="T143" s="11"/>
      <c r="U143" s="11"/>
      <c r="V143" s="11"/>
      <c r="W143" s="11"/>
      <c r="X143" s="11"/>
    </row>
    <row r="144" customFormat="false" ht="15" hidden="false" customHeight="false" outlineLevel="0" collapsed="false">
      <c r="A144" s="11"/>
      <c r="B144" s="13"/>
      <c r="C144" s="11"/>
      <c r="D144" s="11"/>
      <c r="E144" s="11"/>
      <c r="F144" s="19"/>
      <c r="G144" s="12" t="str">
        <f aca="false">IF(F144="","",IF(F144&lt;=Parâmetros!$B$7,"Faixa 1",IF(F144&lt;=Parâmetros!$B$8,"Faixa 2","Faixa 3")))</f>
        <v/>
      </c>
      <c r="H144" s="12" t="str">
        <f aca="false">IF(G144="","",IF(G144="Faixa 1","Rodízio/Sorteio",IF(G144="Faixa 2","Cotação (≥3 propostas)","Chamada pública")))</f>
        <v/>
      </c>
      <c r="I144" s="11"/>
      <c r="J144" s="17" t="str">
        <f aca="false">IF(I144="","",IFERROR(INDEX(Cadastro!$B$5:$B$304,MATCH(I144,Cadastro!$A$5:$A$304,0)),"ID não encontrado"))</f>
        <v/>
      </c>
      <c r="K144" s="17" t="str">
        <f aca="false">IF(I144="","",IFERROR(INDEX(Cadastro!$E$5:$E$304,MATCH(I144,Cadastro!$A$5:$A$304,0)),""))</f>
        <v/>
      </c>
      <c r="L144" s="17" t="str">
        <f aca="false">IF(I144="","",IFERROR(INDEX(Cadastro!$F$5:$F$304,MATCH(I144,Cadastro!$A$5:$A$304,0)),""))</f>
        <v/>
      </c>
      <c r="M144" s="17" t="str">
        <f aca="false">IF(I144="","",IFERROR(INDEX(Cadastro!$I$5:$I$304,MATCH(I144,Cadastro!$A$5:$A$304,0)),""))</f>
        <v/>
      </c>
      <c r="N144" s="19"/>
      <c r="O144" s="13"/>
      <c r="P144" s="12" t="str">
        <f aca="false">IF(OR(B144="",O144=""),"",NETWORKDAYS(B144,O144)-1)</f>
        <v/>
      </c>
      <c r="Q144" s="13"/>
      <c r="R144" s="11"/>
      <c r="S144" s="13"/>
      <c r="T144" s="11"/>
      <c r="U144" s="11"/>
      <c r="V144" s="11"/>
      <c r="W144" s="11"/>
      <c r="X144" s="11"/>
    </row>
    <row r="145" customFormat="false" ht="15" hidden="false" customHeight="false" outlineLevel="0" collapsed="false">
      <c r="A145" s="11"/>
      <c r="B145" s="13"/>
      <c r="C145" s="11"/>
      <c r="D145" s="11"/>
      <c r="E145" s="11"/>
      <c r="F145" s="19"/>
      <c r="G145" s="12" t="str">
        <f aca="false">IF(F145="","",IF(F145&lt;=Parâmetros!$B$7,"Faixa 1",IF(F145&lt;=Parâmetros!$B$8,"Faixa 2","Faixa 3")))</f>
        <v/>
      </c>
      <c r="H145" s="12" t="str">
        <f aca="false">IF(G145="","",IF(G145="Faixa 1","Rodízio/Sorteio",IF(G145="Faixa 2","Cotação (≥3 propostas)","Chamada pública")))</f>
        <v/>
      </c>
      <c r="I145" s="11"/>
      <c r="J145" s="17" t="str">
        <f aca="false">IF(I145="","",IFERROR(INDEX(Cadastro!$B$5:$B$304,MATCH(I145,Cadastro!$A$5:$A$304,0)),"ID não encontrado"))</f>
        <v/>
      </c>
      <c r="K145" s="17" t="str">
        <f aca="false">IF(I145="","",IFERROR(INDEX(Cadastro!$E$5:$E$304,MATCH(I145,Cadastro!$A$5:$A$304,0)),""))</f>
        <v/>
      </c>
      <c r="L145" s="17" t="str">
        <f aca="false">IF(I145="","",IFERROR(INDEX(Cadastro!$F$5:$F$304,MATCH(I145,Cadastro!$A$5:$A$304,0)),""))</f>
        <v/>
      </c>
      <c r="M145" s="17" t="str">
        <f aca="false">IF(I145="","",IFERROR(INDEX(Cadastro!$I$5:$I$304,MATCH(I145,Cadastro!$A$5:$A$304,0)),""))</f>
        <v/>
      </c>
      <c r="N145" s="19"/>
      <c r="O145" s="13"/>
      <c r="P145" s="12" t="str">
        <f aca="false">IF(OR(B145="",O145=""),"",NETWORKDAYS(B145,O145)-1)</f>
        <v/>
      </c>
      <c r="Q145" s="13"/>
      <c r="R145" s="11"/>
      <c r="S145" s="13"/>
      <c r="T145" s="11"/>
      <c r="U145" s="11"/>
      <c r="V145" s="11"/>
      <c r="W145" s="11"/>
      <c r="X145" s="11"/>
    </row>
    <row r="146" customFormat="false" ht="15" hidden="false" customHeight="false" outlineLevel="0" collapsed="false">
      <c r="A146" s="11"/>
      <c r="B146" s="13"/>
      <c r="C146" s="11"/>
      <c r="D146" s="11"/>
      <c r="E146" s="11"/>
      <c r="F146" s="19"/>
      <c r="G146" s="12" t="str">
        <f aca="false">IF(F146="","",IF(F146&lt;=Parâmetros!$B$7,"Faixa 1",IF(F146&lt;=Parâmetros!$B$8,"Faixa 2","Faixa 3")))</f>
        <v/>
      </c>
      <c r="H146" s="12" t="str">
        <f aca="false">IF(G146="","",IF(G146="Faixa 1","Rodízio/Sorteio",IF(G146="Faixa 2","Cotação (≥3 propostas)","Chamada pública")))</f>
        <v/>
      </c>
      <c r="I146" s="11"/>
      <c r="J146" s="17" t="str">
        <f aca="false">IF(I146="","",IFERROR(INDEX(Cadastro!$B$5:$B$304,MATCH(I146,Cadastro!$A$5:$A$304,0)),"ID não encontrado"))</f>
        <v/>
      </c>
      <c r="K146" s="17" t="str">
        <f aca="false">IF(I146="","",IFERROR(INDEX(Cadastro!$E$5:$E$304,MATCH(I146,Cadastro!$A$5:$A$304,0)),""))</f>
        <v/>
      </c>
      <c r="L146" s="17" t="str">
        <f aca="false">IF(I146="","",IFERROR(INDEX(Cadastro!$F$5:$F$304,MATCH(I146,Cadastro!$A$5:$A$304,0)),""))</f>
        <v/>
      </c>
      <c r="M146" s="17" t="str">
        <f aca="false">IF(I146="","",IFERROR(INDEX(Cadastro!$I$5:$I$304,MATCH(I146,Cadastro!$A$5:$A$304,0)),""))</f>
        <v/>
      </c>
      <c r="N146" s="19"/>
      <c r="O146" s="13"/>
      <c r="P146" s="12" t="str">
        <f aca="false">IF(OR(B146="",O146=""),"",NETWORKDAYS(B146,O146)-1)</f>
        <v/>
      </c>
      <c r="Q146" s="13"/>
      <c r="R146" s="11"/>
      <c r="S146" s="13"/>
      <c r="T146" s="11"/>
      <c r="U146" s="11"/>
      <c r="V146" s="11"/>
      <c r="W146" s="11"/>
      <c r="X146" s="11"/>
    </row>
    <row r="147" customFormat="false" ht="15" hidden="false" customHeight="false" outlineLevel="0" collapsed="false">
      <c r="A147" s="11"/>
      <c r="B147" s="13"/>
      <c r="C147" s="11"/>
      <c r="D147" s="11"/>
      <c r="E147" s="11"/>
      <c r="F147" s="19"/>
      <c r="G147" s="12" t="str">
        <f aca="false">IF(F147="","",IF(F147&lt;=Parâmetros!$B$7,"Faixa 1",IF(F147&lt;=Parâmetros!$B$8,"Faixa 2","Faixa 3")))</f>
        <v/>
      </c>
      <c r="H147" s="12" t="str">
        <f aca="false">IF(G147="","",IF(G147="Faixa 1","Rodízio/Sorteio",IF(G147="Faixa 2","Cotação (≥3 propostas)","Chamada pública")))</f>
        <v/>
      </c>
      <c r="I147" s="11"/>
      <c r="J147" s="17" t="str">
        <f aca="false">IF(I147="","",IFERROR(INDEX(Cadastro!$B$5:$B$304,MATCH(I147,Cadastro!$A$5:$A$304,0)),"ID não encontrado"))</f>
        <v/>
      </c>
      <c r="K147" s="17" t="str">
        <f aca="false">IF(I147="","",IFERROR(INDEX(Cadastro!$E$5:$E$304,MATCH(I147,Cadastro!$A$5:$A$304,0)),""))</f>
        <v/>
      </c>
      <c r="L147" s="17" t="str">
        <f aca="false">IF(I147="","",IFERROR(INDEX(Cadastro!$F$5:$F$304,MATCH(I147,Cadastro!$A$5:$A$304,0)),""))</f>
        <v/>
      </c>
      <c r="M147" s="17" t="str">
        <f aca="false">IF(I147="","",IFERROR(INDEX(Cadastro!$I$5:$I$304,MATCH(I147,Cadastro!$A$5:$A$304,0)),""))</f>
        <v/>
      </c>
      <c r="N147" s="19"/>
      <c r="O147" s="13"/>
      <c r="P147" s="12" t="str">
        <f aca="false">IF(OR(B147="",O147=""),"",NETWORKDAYS(B147,O147)-1)</f>
        <v/>
      </c>
      <c r="Q147" s="13"/>
      <c r="R147" s="11"/>
      <c r="S147" s="13"/>
      <c r="T147" s="11"/>
      <c r="U147" s="11"/>
      <c r="V147" s="11"/>
      <c r="W147" s="11"/>
      <c r="X147" s="11"/>
    </row>
    <row r="148" customFormat="false" ht="15" hidden="false" customHeight="false" outlineLevel="0" collapsed="false">
      <c r="A148" s="11"/>
      <c r="B148" s="13"/>
      <c r="C148" s="11"/>
      <c r="D148" s="11"/>
      <c r="E148" s="11"/>
      <c r="F148" s="19"/>
      <c r="G148" s="12" t="str">
        <f aca="false">IF(F148="","",IF(F148&lt;=Parâmetros!$B$7,"Faixa 1",IF(F148&lt;=Parâmetros!$B$8,"Faixa 2","Faixa 3")))</f>
        <v/>
      </c>
      <c r="H148" s="12" t="str">
        <f aca="false">IF(G148="","",IF(G148="Faixa 1","Rodízio/Sorteio",IF(G148="Faixa 2","Cotação (≥3 propostas)","Chamada pública")))</f>
        <v/>
      </c>
      <c r="I148" s="11"/>
      <c r="J148" s="17" t="str">
        <f aca="false">IF(I148="","",IFERROR(INDEX(Cadastro!$B$5:$B$304,MATCH(I148,Cadastro!$A$5:$A$304,0)),"ID não encontrado"))</f>
        <v/>
      </c>
      <c r="K148" s="17" t="str">
        <f aca="false">IF(I148="","",IFERROR(INDEX(Cadastro!$E$5:$E$304,MATCH(I148,Cadastro!$A$5:$A$304,0)),""))</f>
        <v/>
      </c>
      <c r="L148" s="17" t="str">
        <f aca="false">IF(I148="","",IFERROR(INDEX(Cadastro!$F$5:$F$304,MATCH(I148,Cadastro!$A$5:$A$304,0)),""))</f>
        <v/>
      </c>
      <c r="M148" s="17" t="str">
        <f aca="false">IF(I148="","",IFERROR(INDEX(Cadastro!$I$5:$I$304,MATCH(I148,Cadastro!$A$5:$A$304,0)),""))</f>
        <v/>
      </c>
      <c r="N148" s="19"/>
      <c r="O148" s="13"/>
      <c r="P148" s="12" t="str">
        <f aca="false">IF(OR(B148="",O148=""),"",NETWORKDAYS(B148,O148)-1)</f>
        <v/>
      </c>
      <c r="Q148" s="13"/>
      <c r="R148" s="11"/>
      <c r="S148" s="13"/>
      <c r="T148" s="11"/>
      <c r="U148" s="11"/>
      <c r="V148" s="11"/>
      <c r="W148" s="11"/>
      <c r="X148" s="11"/>
    </row>
    <row r="149" customFormat="false" ht="15" hidden="false" customHeight="false" outlineLevel="0" collapsed="false">
      <c r="A149" s="11"/>
      <c r="B149" s="13"/>
      <c r="C149" s="11"/>
      <c r="D149" s="11"/>
      <c r="E149" s="11"/>
      <c r="F149" s="19"/>
      <c r="G149" s="12" t="str">
        <f aca="false">IF(F149="","",IF(F149&lt;=Parâmetros!$B$7,"Faixa 1",IF(F149&lt;=Parâmetros!$B$8,"Faixa 2","Faixa 3")))</f>
        <v/>
      </c>
      <c r="H149" s="12" t="str">
        <f aca="false">IF(G149="","",IF(G149="Faixa 1","Rodízio/Sorteio",IF(G149="Faixa 2","Cotação (≥3 propostas)","Chamada pública")))</f>
        <v/>
      </c>
      <c r="I149" s="11"/>
      <c r="J149" s="17" t="str">
        <f aca="false">IF(I149="","",IFERROR(INDEX(Cadastro!$B$5:$B$304,MATCH(I149,Cadastro!$A$5:$A$304,0)),"ID não encontrado"))</f>
        <v/>
      </c>
      <c r="K149" s="17" t="str">
        <f aca="false">IF(I149="","",IFERROR(INDEX(Cadastro!$E$5:$E$304,MATCH(I149,Cadastro!$A$5:$A$304,0)),""))</f>
        <v/>
      </c>
      <c r="L149" s="17" t="str">
        <f aca="false">IF(I149="","",IFERROR(INDEX(Cadastro!$F$5:$F$304,MATCH(I149,Cadastro!$A$5:$A$304,0)),""))</f>
        <v/>
      </c>
      <c r="M149" s="17" t="str">
        <f aca="false">IF(I149="","",IFERROR(INDEX(Cadastro!$I$5:$I$304,MATCH(I149,Cadastro!$A$5:$A$304,0)),""))</f>
        <v/>
      </c>
      <c r="N149" s="19"/>
      <c r="O149" s="13"/>
      <c r="P149" s="12" t="str">
        <f aca="false">IF(OR(B149="",O149=""),"",NETWORKDAYS(B149,O149)-1)</f>
        <v/>
      </c>
      <c r="Q149" s="13"/>
      <c r="R149" s="11"/>
      <c r="S149" s="13"/>
      <c r="T149" s="11"/>
      <c r="U149" s="11"/>
      <c r="V149" s="11"/>
      <c r="W149" s="11"/>
      <c r="X149" s="11"/>
    </row>
    <row r="150" customFormat="false" ht="15" hidden="false" customHeight="false" outlineLevel="0" collapsed="false">
      <c r="A150" s="11"/>
      <c r="B150" s="13"/>
      <c r="C150" s="11"/>
      <c r="D150" s="11"/>
      <c r="E150" s="11"/>
      <c r="F150" s="19"/>
      <c r="G150" s="12" t="str">
        <f aca="false">IF(F150="","",IF(F150&lt;=Parâmetros!$B$7,"Faixa 1",IF(F150&lt;=Parâmetros!$B$8,"Faixa 2","Faixa 3")))</f>
        <v/>
      </c>
      <c r="H150" s="12" t="str">
        <f aca="false">IF(G150="","",IF(G150="Faixa 1","Rodízio/Sorteio",IF(G150="Faixa 2","Cotação (≥3 propostas)","Chamada pública")))</f>
        <v/>
      </c>
      <c r="I150" s="11"/>
      <c r="J150" s="17" t="str">
        <f aca="false">IF(I150="","",IFERROR(INDEX(Cadastro!$B$5:$B$304,MATCH(I150,Cadastro!$A$5:$A$304,0)),"ID não encontrado"))</f>
        <v/>
      </c>
      <c r="K150" s="17" t="str">
        <f aca="false">IF(I150="","",IFERROR(INDEX(Cadastro!$E$5:$E$304,MATCH(I150,Cadastro!$A$5:$A$304,0)),""))</f>
        <v/>
      </c>
      <c r="L150" s="17" t="str">
        <f aca="false">IF(I150="","",IFERROR(INDEX(Cadastro!$F$5:$F$304,MATCH(I150,Cadastro!$A$5:$A$304,0)),""))</f>
        <v/>
      </c>
      <c r="M150" s="17" t="str">
        <f aca="false">IF(I150="","",IFERROR(INDEX(Cadastro!$I$5:$I$304,MATCH(I150,Cadastro!$A$5:$A$304,0)),""))</f>
        <v/>
      </c>
      <c r="N150" s="19"/>
      <c r="O150" s="13"/>
      <c r="P150" s="12" t="str">
        <f aca="false">IF(OR(B150="",O150=""),"",NETWORKDAYS(B150,O150)-1)</f>
        <v/>
      </c>
      <c r="Q150" s="13"/>
      <c r="R150" s="11"/>
      <c r="S150" s="13"/>
      <c r="T150" s="11"/>
      <c r="U150" s="11"/>
      <c r="V150" s="11"/>
      <c r="W150" s="11"/>
      <c r="X150" s="11"/>
    </row>
    <row r="151" customFormat="false" ht="15" hidden="false" customHeight="false" outlineLevel="0" collapsed="false">
      <c r="A151" s="11"/>
      <c r="B151" s="13"/>
      <c r="C151" s="11"/>
      <c r="D151" s="11"/>
      <c r="E151" s="11"/>
      <c r="F151" s="19"/>
      <c r="G151" s="12" t="str">
        <f aca="false">IF(F151="","",IF(F151&lt;=Parâmetros!$B$7,"Faixa 1",IF(F151&lt;=Parâmetros!$B$8,"Faixa 2","Faixa 3")))</f>
        <v/>
      </c>
      <c r="H151" s="12" t="str">
        <f aca="false">IF(G151="","",IF(G151="Faixa 1","Rodízio/Sorteio",IF(G151="Faixa 2","Cotação (≥3 propostas)","Chamada pública")))</f>
        <v/>
      </c>
      <c r="I151" s="11"/>
      <c r="J151" s="17" t="str">
        <f aca="false">IF(I151="","",IFERROR(INDEX(Cadastro!$B$5:$B$304,MATCH(I151,Cadastro!$A$5:$A$304,0)),"ID não encontrado"))</f>
        <v/>
      </c>
      <c r="K151" s="17" t="str">
        <f aca="false">IF(I151="","",IFERROR(INDEX(Cadastro!$E$5:$E$304,MATCH(I151,Cadastro!$A$5:$A$304,0)),""))</f>
        <v/>
      </c>
      <c r="L151" s="17" t="str">
        <f aca="false">IF(I151="","",IFERROR(INDEX(Cadastro!$F$5:$F$304,MATCH(I151,Cadastro!$A$5:$A$304,0)),""))</f>
        <v/>
      </c>
      <c r="M151" s="17" t="str">
        <f aca="false">IF(I151="","",IFERROR(INDEX(Cadastro!$I$5:$I$304,MATCH(I151,Cadastro!$A$5:$A$304,0)),""))</f>
        <v/>
      </c>
      <c r="N151" s="19"/>
      <c r="O151" s="13"/>
      <c r="P151" s="12" t="str">
        <f aca="false">IF(OR(B151="",O151=""),"",NETWORKDAYS(B151,O151)-1)</f>
        <v/>
      </c>
      <c r="Q151" s="13"/>
      <c r="R151" s="11"/>
      <c r="S151" s="13"/>
      <c r="T151" s="11"/>
      <c r="U151" s="11"/>
      <c r="V151" s="11"/>
      <c r="W151" s="11"/>
      <c r="X151" s="11"/>
    </row>
    <row r="152" customFormat="false" ht="15" hidden="false" customHeight="false" outlineLevel="0" collapsed="false">
      <c r="A152" s="11"/>
      <c r="B152" s="13"/>
      <c r="C152" s="11"/>
      <c r="D152" s="11"/>
      <c r="E152" s="11"/>
      <c r="F152" s="19"/>
      <c r="G152" s="12" t="str">
        <f aca="false">IF(F152="","",IF(F152&lt;=Parâmetros!$B$7,"Faixa 1",IF(F152&lt;=Parâmetros!$B$8,"Faixa 2","Faixa 3")))</f>
        <v/>
      </c>
      <c r="H152" s="12" t="str">
        <f aca="false">IF(G152="","",IF(G152="Faixa 1","Rodízio/Sorteio",IF(G152="Faixa 2","Cotação (≥3 propostas)","Chamada pública")))</f>
        <v/>
      </c>
      <c r="I152" s="11"/>
      <c r="J152" s="17" t="str">
        <f aca="false">IF(I152="","",IFERROR(INDEX(Cadastro!$B$5:$B$304,MATCH(I152,Cadastro!$A$5:$A$304,0)),"ID não encontrado"))</f>
        <v/>
      </c>
      <c r="K152" s="17" t="str">
        <f aca="false">IF(I152="","",IFERROR(INDEX(Cadastro!$E$5:$E$304,MATCH(I152,Cadastro!$A$5:$A$304,0)),""))</f>
        <v/>
      </c>
      <c r="L152" s="17" t="str">
        <f aca="false">IF(I152="","",IFERROR(INDEX(Cadastro!$F$5:$F$304,MATCH(I152,Cadastro!$A$5:$A$304,0)),""))</f>
        <v/>
      </c>
      <c r="M152" s="17" t="str">
        <f aca="false">IF(I152="","",IFERROR(INDEX(Cadastro!$I$5:$I$304,MATCH(I152,Cadastro!$A$5:$A$304,0)),""))</f>
        <v/>
      </c>
      <c r="N152" s="19"/>
      <c r="O152" s="13"/>
      <c r="P152" s="12" t="str">
        <f aca="false">IF(OR(B152="",O152=""),"",NETWORKDAYS(B152,O152)-1)</f>
        <v/>
      </c>
      <c r="Q152" s="13"/>
      <c r="R152" s="11"/>
      <c r="S152" s="13"/>
      <c r="T152" s="11"/>
      <c r="U152" s="11"/>
      <c r="V152" s="11"/>
      <c r="W152" s="11"/>
      <c r="X152" s="11"/>
    </row>
    <row r="153" customFormat="false" ht="15" hidden="false" customHeight="false" outlineLevel="0" collapsed="false">
      <c r="A153" s="11"/>
      <c r="B153" s="13"/>
      <c r="C153" s="11"/>
      <c r="D153" s="11"/>
      <c r="E153" s="11"/>
      <c r="F153" s="19"/>
      <c r="G153" s="12" t="str">
        <f aca="false">IF(F153="","",IF(F153&lt;=Parâmetros!$B$7,"Faixa 1",IF(F153&lt;=Parâmetros!$B$8,"Faixa 2","Faixa 3")))</f>
        <v/>
      </c>
      <c r="H153" s="12" t="str">
        <f aca="false">IF(G153="","",IF(G153="Faixa 1","Rodízio/Sorteio",IF(G153="Faixa 2","Cotação (≥3 propostas)","Chamada pública")))</f>
        <v/>
      </c>
      <c r="I153" s="11"/>
      <c r="J153" s="17" t="str">
        <f aca="false">IF(I153="","",IFERROR(INDEX(Cadastro!$B$5:$B$304,MATCH(I153,Cadastro!$A$5:$A$304,0)),"ID não encontrado"))</f>
        <v/>
      </c>
      <c r="K153" s="17" t="str">
        <f aca="false">IF(I153="","",IFERROR(INDEX(Cadastro!$E$5:$E$304,MATCH(I153,Cadastro!$A$5:$A$304,0)),""))</f>
        <v/>
      </c>
      <c r="L153" s="17" t="str">
        <f aca="false">IF(I153="","",IFERROR(INDEX(Cadastro!$F$5:$F$304,MATCH(I153,Cadastro!$A$5:$A$304,0)),""))</f>
        <v/>
      </c>
      <c r="M153" s="17" t="str">
        <f aca="false">IF(I153="","",IFERROR(INDEX(Cadastro!$I$5:$I$304,MATCH(I153,Cadastro!$A$5:$A$304,0)),""))</f>
        <v/>
      </c>
      <c r="N153" s="19"/>
      <c r="O153" s="13"/>
      <c r="P153" s="12" t="str">
        <f aca="false">IF(OR(B153="",O153=""),"",NETWORKDAYS(B153,O153)-1)</f>
        <v/>
      </c>
      <c r="Q153" s="13"/>
      <c r="R153" s="11"/>
      <c r="S153" s="13"/>
      <c r="T153" s="11"/>
      <c r="U153" s="11"/>
      <c r="V153" s="11"/>
      <c r="W153" s="11"/>
      <c r="X153" s="11"/>
    </row>
    <row r="154" customFormat="false" ht="15" hidden="false" customHeight="false" outlineLevel="0" collapsed="false">
      <c r="A154" s="11"/>
      <c r="B154" s="13"/>
      <c r="C154" s="11"/>
      <c r="D154" s="11"/>
      <c r="E154" s="11"/>
      <c r="F154" s="19"/>
      <c r="G154" s="12" t="str">
        <f aca="false">IF(F154="","",IF(F154&lt;=Parâmetros!$B$7,"Faixa 1",IF(F154&lt;=Parâmetros!$B$8,"Faixa 2","Faixa 3")))</f>
        <v/>
      </c>
      <c r="H154" s="12" t="str">
        <f aca="false">IF(G154="","",IF(G154="Faixa 1","Rodízio/Sorteio",IF(G154="Faixa 2","Cotação (≥3 propostas)","Chamada pública")))</f>
        <v/>
      </c>
      <c r="I154" s="11"/>
      <c r="J154" s="17" t="str">
        <f aca="false">IF(I154="","",IFERROR(INDEX(Cadastro!$B$5:$B$304,MATCH(I154,Cadastro!$A$5:$A$304,0)),"ID não encontrado"))</f>
        <v/>
      </c>
      <c r="K154" s="17" t="str">
        <f aca="false">IF(I154="","",IFERROR(INDEX(Cadastro!$E$5:$E$304,MATCH(I154,Cadastro!$A$5:$A$304,0)),""))</f>
        <v/>
      </c>
      <c r="L154" s="17" t="str">
        <f aca="false">IF(I154="","",IFERROR(INDEX(Cadastro!$F$5:$F$304,MATCH(I154,Cadastro!$A$5:$A$304,0)),""))</f>
        <v/>
      </c>
      <c r="M154" s="17" t="str">
        <f aca="false">IF(I154="","",IFERROR(INDEX(Cadastro!$I$5:$I$304,MATCH(I154,Cadastro!$A$5:$A$304,0)),""))</f>
        <v/>
      </c>
      <c r="N154" s="19"/>
      <c r="O154" s="13"/>
      <c r="P154" s="12" t="str">
        <f aca="false">IF(OR(B154="",O154=""),"",NETWORKDAYS(B154,O154)-1)</f>
        <v/>
      </c>
      <c r="Q154" s="13"/>
      <c r="R154" s="11"/>
      <c r="S154" s="13"/>
      <c r="T154" s="11"/>
      <c r="U154" s="11"/>
      <c r="V154" s="11"/>
      <c r="W154" s="11"/>
      <c r="X154" s="11"/>
    </row>
    <row r="155" customFormat="false" ht="15" hidden="false" customHeight="false" outlineLevel="0" collapsed="false">
      <c r="A155" s="11"/>
      <c r="B155" s="13"/>
      <c r="C155" s="11"/>
      <c r="D155" s="11"/>
      <c r="E155" s="11"/>
      <c r="F155" s="19"/>
      <c r="G155" s="12" t="str">
        <f aca="false">IF(F155="","",IF(F155&lt;=Parâmetros!$B$7,"Faixa 1",IF(F155&lt;=Parâmetros!$B$8,"Faixa 2","Faixa 3")))</f>
        <v/>
      </c>
      <c r="H155" s="12" t="str">
        <f aca="false">IF(G155="","",IF(G155="Faixa 1","Rodízio/Sorteio",IF(G155="Faixa 2","Cotação (≥3 propostas)","Chamada pública")))</f>
        <v/>
      </c>
      <c r="I155" s="11"/>
      <c r="J155" s="17" t="str">
        <f aca="false">IF(I155="","",IFERROR(INDEX(Cadastro!$B$5:$B$304,MATCH(I155,Cadastro!$A$5:$A$304,0)),"ID não encontrado"))</f>
        <v/>
      </c>
      <c r="K155" s="17" t="str">
        <f aca="false">IF(I155="","",IFERROR(INDEX(Cadastro!$E$5:$E$304,MATCH(I155,Cadastro!$A$5:$A$304,0)),""))</f>
        <v/>
      </c>
      <c r="L155" s="17" t="str">
        <f aca="false">IF(I155="","",IFERROR(INDEX(Cadastro!$F$5:$F$304,MATCH(I155,Cadastro!$A$5:$A$304,0)),""))</f>
        <v/>
      </c>
      <c r="M155" s="17" t="str">
        <f aca="false">IF(I155="","",IFERROR(INDEX(Cadastro!$I$5:$I$304,MATCH(I155,Cadastro!$A$5:$A$304,0)),""))</f>
        <v/>
      </c>
      <c r="N155" s="19"/>
      <c r="O155" s="13"/>
      <c r="P155" s="12" t="str">
        <f aca="false">IF(OR(B155="",O155=""),"",NETWORKDAYS(B155,O155)-1)</f>
        <v/>
      </c>
      <c r="Q155" s="13"/>
      <c r="R155" s="11"/>
      <c r="S155" s="13"/>
      <c r="T155" s="11"/>
      <c r="U155" s="11"/>
      <c r="V155" s="11"/>
      <c r="W155" s="11"/>
      <c r="X155" s="11"/>
    </row>
    <row r="156" customFormat="false" ht="15" hidden="false" customHeight="false" outlineLevel="0" collapsed="false">
      <c r="A156" s="11"/>
      <c r="B156" s="13"/>
      <c r="C156" s="11"/>
      <c r="D156" s="11"/>
      <c r="E156" s="11"/>
      <c r="F156" s="19"/>
      <c r="G156" s="12" t="str">
        <f aca="false">IF(F156="","",IF(F156&lt;=Parâmetros!$B$7,"Faixa 1",IF(F156&lt;=Parâmetros!$B$8,"Faixa 2","Faixa 3")))</f>
        <v/>
      </c>
      <c r="H156" s="12" t="str">
        <f aca="false">IF(G156="","",IF(G156="Faixa 1","Rodízio/Sorteio",IF(G156="Faixa 2","Cotação (≥3 propostas)","Chamada pública")))</f>
        <v/>
      </c>
      <c r="I156" s="11"/>
      <c r="J156" s="17" t="str">
        <f aca="false">IF(I156="","",IFERROR(INDEX(Cadastro!$B$5:$B$304,MATCH(I156,Cadastro!$A$5:$A$304,0)),"ID não encontrado"))</f>
        <v/>
      </c>
      <c r="K156" s="17" t="str">
        <f aca="false">IF(I156="","",IFERROR(INDEX(Cadastro!$E$5:$E$304,MATCH(I156,Cadastro!$A$5:$A$304,0)),""))</f>
        <v/>
      </c>
      <c r="L156" s="17" t="str">
        <f aca="false">IF(I156="","",IFERROR(INDEX(Cadastro!$F$5:$F$304,MATCH(I156,Cadastro!$A$5:$A$304,0)),""))</f>
        <v/>
      </c>
      <c r="M156" s="17" t="str">
        <f aca="false">IF(I156="","",IFERROR(INDEX(Cadastro!$I$5:$I$304,MATCH(I156,Cadastro!$A$5:$A$304,0)),""))</f>
        <v/>
      </c>
      <c r="N156" s="19"/>
      <c r="O156" s="13"/>
      <c r="P156" s="12" t="str">
        <f aca="false">IF(OR(B156="",O156=""),"",NETWORKDAYS(B156,O156)-1)</f>
        <v/>
      </c>
      <c r="Q156" s="13"/>
      <c r="R156" s="11"/>
      <c r="S156" s="13"/>
      <c r="T156" s="11"/>
      <c r="U156" s="11"/>
      <c r="V156" s="11"/>
      <c r="W156" s="11"/>
      <c r="X156" s="11"/>
    </row>
    <row r="157" customFormat="false" ht="15" hidden="false" customHeight="false" outlineLevel="0" collapsed="false">
      <c r="A157" s="11"/>
      <c r="B157" s="13"/>
      <c r="C157" s="11"/>
      <c r="D157" s="11"/>
      <c r="E157" s="11"/>
      <c r="F157" s="19"/>
      <c r="G157" s="12" t="str">
        <f aca="false">IF(F157="","",IF(F157&lt;=Parâmetros!$B$7,"Faixa 1",IF(F157&lt;=Parâmetros!$B$8,"Faixa 2","Faixa 3")))</f>
        <v/>
      </c>
      <c r="H157" s="12" t="str">
        <f aca="false">IF(G157="","",IF(G157="Faixa 1","Rodízio/Sorteio",IF(G157="Faixa 2","Cotação (≥3 propostas)","Chamada pública")))</f>
        <v/>
      </c>
      <c r="I157" s="11"/>
      <c r="J157" s="17" t="str">
        <f aca="false">IF(I157="","",IFERROR(INDEX(Cadastro!$B$5:$B$304,MATCH(I157,Cadastro!$A$5:$A$304,0)),"ID não encontrado"))</f>
        <v/>
      </c>
      <c r="K157" s="17" t="str">
        <f aca="false">IF(I157="","",IFERROR(INDEX(Cadastro!$E$5:$E$304,MATCH(I157,Cadastro!$A$5:$A$304,0)),""))</f>
        <v/>
      </c>
      <c r="L157" s="17" t="str">
        <f aca="false">IF(I157="","",IFERROR(INDEX(Cadastro!$F$5:$F$304,MATCH(I157,Cadastro!$A$5:$A$304,0)),""))</f>
        <v/>
      </c>
      <c r="M157" s="17" t="str">
        <f aca="false">IF(I157="","",IFERROR(INDEX(Cadastro!$I$5:$I$304,MATCH(I157,Cadastro!$A$5:$A$304,0)),""))</f>
        <v/>
      </c>
      <c r="N157" s="19"/>
      <c r="O157" s="13"/>
      <c r="P157" s="12" t="str">
        <f aca="false">IF(OR(B157="",O157=""),"",NETWORKDAYS(B157,O157)-1)</f>
        <v/>
      </c>
      <c r="Q157" s="13"/>
      <c r="R157" s="11"/>
      <c r="S157" s="13"/>
      <c r="T157" s="11"/>
      <c r="U157" s="11"/>
      <c r="V157" s="11"/>
      <c r="W157" s="11"/>
      <c r="X157" s="11"/>
    </row>
    <row r="158" customFormat="false" ht="15" hidden="false" customHeight="false" outlineLevel="0" collapsed="false">
      <c r="A158" s="11"/>
      <c r="B158" s="13"/>
      <c r="C158" s="11"/>
      <c r="D158" s="11"/>
      <c r="E158" s="11"/>
      <c r="F158" s="19"/>
      <c r="G158" s="12" t="str">
        <f aca="false">IF(F158="","",IF(F158&lt;=Parâmetros!$B$7,"Faixa 1",IF(F158&lt;=Parâmetros!$B$8,"Faixa 2","Faixa 3")))</f>
        <v/>
      </c>
      <c r="H158" s="12" t="str">
        <f aca="false">IF(G158="","",IF(G158="Faixa 1","Rodízio/Sorteio",IF(G158="Faixa 2","Cotação (≥3 propostas)","Chamada pública")))</f>
        <v/>
      </c>
      <c r="I158" s="11"/>
      <c r="J158" s="17" t="str">
        <f aca="false">IF(I158="","",IFERROR(INDEX(Cadastro!$B$5:$B$304,MATCH(I158,Cadastro!$A$5:$A$304,0)),"ID não encontrado"))</f>
        <v/>
      </c>
      <c r="K158" s="17" t="str">
        <f aca="false">IF(I158="","",IFERROR(INDEX(Cadastro!$E$5:$E$304,MATCH(I158,Cadastro!$A$5:$A$304,0)),""))</f>
        <v/>
      </c>
      <c r="L158" s="17" t="str">
        <f aca="false">IF(I158="","",IFERROR(INDEX(Cadastro!$F$5:$F$304,MATCH(I158,Cadastro!$A$5:$A$304,0)),""))</f>
        <v/>
      </c>
      <c r="M158" s="17" t="str">
        <f aca="false">IF(I158="","",IFERROR(INDEX(Cadastro!$I$5:$I$304,MATCH(I158,Cadastro!$A$5:$A$304,0)),""))</f>
        <v/>
      </c>
      <c r="N158" s="19"/>
      <c r="O158" s="13"/>
      <c r="P158" s="12" t="str">
        <f aca="false">IF(OR(B158="",O158=""),"",NETWORKDAYS(B158,O158)-1)</f>
        <v/>
      </c>
      <c r="Q158" s="13"/>
      <c r="R158" s="11"/>
      <c r="S158" s="13"/>
      <c r="T158" s="11"/>
      <c r="U158" s="11"/>
      <c r="V158" s="11"/>
      <c r="W158" s="11"/>
      <c r="X158" s="11"/>
    </row>
    <row r="159" customFormat="false" ht="15" hidden="false" customHeight="false" outlineLevel="0" collapsed="false">
      <c r="A159" s="11"/>
      <c r="B159" s="13"/>
      <c r="C159" s="11"/>
      <c r="D159" s="11"/>
      <c r="E159" s="11"/>
      <c r="F159" s="19"/>
      <c r="G159" s="12" t="str">
        <f aca="false">IF(F159="","",IF(F159&lt;=Parâmetros!$B$7,"Faixa 1",IF(F159&lt;=Parâmetros!$B$8,"Faixa 2","Faixa 3")))</f>
        <v/>
      </c>
      <c r="H159" s="12" t="str">
        <f aca="false">IF(G159="","",IF(G159="Faixa 1","Rodízio/Sorteio",IF(G159="Faixa 2","Cotação (≥3 propostas)","Chamada pública")))</f>
        <v/>
      </c>
      <c r="I159" s="11"/>
      <c r="J159" s="17" t="str">
        <f aca="false">IF(I159="","",IFERROR(INDEX(Cadastro!$B$5:$B$304,MATCH(I159,Cadastro!$A$5:$A$304,0)),"ID não encontrado"))</f>
        <v/>
      </c>
      <c r="K159" s="17" t="str">
        <f aca="false">IF(I159="","",IFERROR(INDEX(Cadastro!$E$5:$E$304,MATCH(I159,Cadastro!$A$5:$A$304,0)),""))</f>
        <v/>
      </c>
      <c r="L159" s="17" t="str">
        <f aca="false">IF(I159="","",IFERROR(INDEX(Cadastro!$F$5:$F$304,MATCH(I159,Cadastro!$A$5:$A$304,0)),""))</f>
        <v/>
      </c>
      <c r="M159" s="17" t="str">
        <f aca="false">IF(I159="","",IFERROR(INDEX(Cadastro!$I$5:$I$304,MATCH(I159,Cadastro!$A$5:$A$304,0)),""))</f>
        <v/>
      </c>
      <c r="N159" s="19"/>
      <c r="O159" s="13"/>
      <c r="P159" s="12" t="str">
        <f aca="false">IF(OR(B159="",O159=""),"",NETWORKDAYS(B159,O159)-1)</f>
        <v/>
      </c>
      <c r="Q159" s="13"/>
      <c r="R159" s="11"/>
      <c r="S159" s="13"/>
      <c r="T159" s="11"/>
      <c r="U159" s="11"/>
      <c r="V159" s="11"/>
      <c r="W159" s="11"/>
      <c r="X159" s="11"/>
    </row>
    <row r="160" customFormat="false" ht="15" hidden="false" customHeight="false" outlineLevel="0" collapsed="false">
      <c r="A160" s="11"/>
      <c r="B160" s="13"/>
      <c r="C160" s="11"/>
      <c r="D160" s="11"/>
      <c r="E160" s="11"/>
      <c r="F160" s="19"/>
      <c r="G160" s="12" t="str">
        <f aca="false">IF(F160="","",IF(F160&lt;=Parâmetros!$B$7,"Faixa 1",IF(F160&lt;=Parâmetros!$B$8,"Faixa 2","Faixa 3")))</f>
        <v/>
      </c>
      <c r="H160" s="12" t="str">
        <f aca="false">IF(G160="","",IF(G160="Faixa 1","Rodízio/Sorteio",IF(G160="Faixa 2","Cotação (≥3 propostas)","Chamada pública")))</f>
        <v/>
      </c>
      <c r="I160" s="11"/>
      <c r="J160" s="17" t="str">
        <f aca="false">IF(I160="","",IFERROR(INDEX(Cadastro!$B$5:$B$304,MATCH(I160,Cadastro!$A$5:$A$304,0)),"ID não encontrado"))</f>
        <v/>
      </c>
      <c r="K160" s="17" t="str">
        <f aca="false">IF(I160="","",IFERROR(INDEX(Cadastro!$E$5:$E$304,MATCH(I160,Cadastro!$A$5:$A$304,0)),""))</f>
        <v/>
      </c>
      <c r="L160" s="17" t="str">
        <f aca="false">IF(I160="","",IFERROR(INDEX(Cadastro!$F$5:$F$304,MATCH(I160,Cadastro!$A$5:$A$304,0)),""))</f>
        <v/>
      </c>
      <c r="M160" s="17" t="str">
        <f aca="false">IF(I160="","",IFERROR(INDEX(Cadastro!$I$5:$I$304,MATCH(I160,Cadastro!$A$5:$A$304,0)),""))</f>
        <v/>
      </c>
      <c r="N160" s="19"/>
      <c r="O160" s="13"/>
      <c r="P160" s="12" t="str">
        <f aca="false">IF(OR(B160="",O160=""),"",NETWORKDAYS(B160,O160)-1)</f>
        <v/>
      </c>
      <c r="Q160" s="13"/>
      <c r="R160" s="11"/>
      <c r="S160" s="13"/>
      <c r="T160" s="11"/>
      <c r="U160" s="11"/>
      <c r="V160" s="11"/>
      <c r="W160" s="11"/>
      <c r="X160" s="11"/>
    </row>
    <row r="161" customFormat="false" ht="15" hidden="false" customHeight="false" outlineLevel="0" collapsed="false">
      <c r="A161" s="11"/>
      <c r="B161" s="13"/>
      <c r="C161" s="11"/>
      <c r="D161" s="11"/>
      <c r="E161" s="11"/>
      <c r="F161" s="19"/>
      <c r="G161" s="12" t="str">
        <f aca="false">IF(F161="","",IF(F161&lt;=Parâmetros!$B$7,"Faixa 1",IF(F161&lt;=Parâmetros!$B$8,"Faixa 2","Faixa 3")))</f>
        <v/>
      </c>
      <c r="H161" s="12" t="str">
        <f aca="false">IF(G161="","",IF(G161="Faixa 1","Rodízio/Sorteio",IF(G161="Faixa 2","Cotação (≥3 propostas)","Chamada pública")))</f>
        <v/>
      </c>
      <c r="I161" s="11"/>
      <c r="J161" s="17" t="str">
        <f aca="false">IF(I161="","",IFERROR(INDEX(Cadastro!$B$5:$B$304,MATCH(I161,Cadastro!$A$5:$A$304,0)),"ID não encontrado"))</f>
        <v/>
      </c>
      <c r="K161" s="17" t="str">
        <f aca="false">IF(I161="","",IFERROR(INDEX(Cadastro!$E$5:$E$304,MATCH(I161,Cadastro!$A$5:$A$304,0)),""))</f>
        <v/>
      </c>
      <c r="L161" s="17" t="str">
        <f aca="false">IF(I161="","",IFERROR(INDEX(Cadastro!$F$5:$F$304,MATCH(I161,Cadastro!$A$5:$A$304,0)),""))</f>
        <v/>
      </c>
      <c r="M161" s="17" t="str">
        <f aca="false">IF(I161="","",IFERROR(INDEX(Cadastro!$I$5:$I$304,MATCH(I161,Cadastro!$A$5:$A$304,0)),""))</f>
        <v/>
      </c>
      <c r="N161" s="19"/>
      <c r="O161" s="13"/>
      <c r="P161" s="12" t="str">
        <f aca="false">IF(OR(B161="",O161=""),"",NETWORKDAYS(B161,O161)-1)</f>
        <v/>
      </c>
      <c r="Q161" s="13"/>
      <c r="R161" s="11"/>
      <c r="S161" s="13"/>
      <c r="T161" s="11"/>
      <c r="U161" s="11"/>
      <c r="V161" s="11"/>
      <c r="W161" s="11"/>
      <c r="X161" s="11"/>
    </row>
    <row r="162" customFormat="false" ht="15" hidden="false" customHeight="false" outlineLevel="0" collapsed="false">
      <c r="A162" s="11"/>
      <c r="B162" s="13"/>
      <c r="C162" s="11"/>
      <c r="D162" s="11"/>
      <c r="E162" s="11"/>
      <c r="F162" s="19"/>
      <c r="G162" s="12" t="str">
        <f aca="false">IF(F162="","",IF(F162&lt;=Parâmetros!$B$7,"Faixa 1",IF(F162&lt;=Parâmetros!$B$8,"Faixa 2","Faixa 3")))</f>
        <v/>
      </c>
      <c r="H162" s="12" t="str">
        <f aca="false">IF(G162="","",IF(G162="Faixa 1","Rodízio/Sorteio",IF(G162="Faixa 2","Cotação (≥3 propostas)","Chamada pública")))</f>
        <v/>
      </c>
      <c r="I162" s="11"/>
      <c r="J162" s="17" t="str">
        <f aca="false">IF(I162="","",IFERROR(INDEX(Cadastro!$B$5:$B$304,MATCH(I162,Cadastro!$A$5:$A$304,0)),"ID não encontrado"))</f>
        <v/>
      </c>
      <c r="K162" s="17" t="str">
        <f aca="false">IF(I162="","",IFERROR(INDEX(Cadastro!$E$5:$E$304,MATCH(I162,Cadastro!$A$5:$A$304,0)),""))</f>
        <v/>
      </c>
      <c r="L162" s="17" t="str">
        <f aca="false">IF(I162="","",IFERROR(INDEX(Cadastro!$F$5:$F$304,MATCH(I162,Cadastro!$A$5:$A$304,0)),""))</f>
        <v/>
      </c>
      <c r="M162" s="17" t="str">
        <f aca="false">IF(I162="","",IFERROR(INDEX(Cadastro!$I$5:$I$304,MATCH(I162,Cadastro!$A$5:$A$304,0)),""))</f>
        <v/>
      </c>
      <c r="N162" s="19"/>
      <c r="O162" s="13"/>
      <c r="P162" s="12" t="str">
        <f aca="false">IF(OR(B162="",O162=""),"",NETWORKDAYS(B162,O162)-1)</f>
        <v/>
      </c>
      <c r="Q162" s="13"/>
      <c r="R162" s="11"/>
      <c r="S162" s="13"/>
      <c r="T162" s="11"/>
      <c r="U162" s="11"/>
      <c r="V162" s="11"/>
      <c r="W162" s="11"/>
      <c r="X162" s="11"/>
    </row>
    <row r="163" customFormat="false" ht="15" hidden="false" customHeight="false" outlineLevel="0" collapsed="false">
      <c r="A163" s="11"/>
      <c r="B163" s="13"/>
      <c r="C163" s="11"/>
      <c r="D163" s="11"/>
      <c r="E163" s="11"/>
      <c r="F163" s="19"/>
      <c r="G163" s="12" t="str">
        <f aca="false">IF(F163="","",IF(F163&lt;=Parâmetros!$B$7,"Faixa 1",IF(F163&lt;=Parâmetros!$B$8,"Faixa 2","Faixa 3")))</f>
        <v/>
      </c>
      <c r="H163" s="12" t="str">
        <f aca="false">IF(G163="","",IF(G163="Faixa 1","Rodízio/Sorteio",IF(G163="Faixa 2","Cotação (≥3 propostas)","Chamada pública")))</f>
        <v/>
      </c>
      <c r="I163" s="11"/>
      <c r="J163" s="17" t="str">
        <f aca="false">IF(I163="","",IFERROR(INDEX(Cadastro!$B$5:$B$304,MATCH(I163,Cadastro!$A$5:$A$304,0)),"ID não encontrado"))</f>
        <v/>
      </c>
      <c r="K163" s="17" t="str">
        <f aca="false">IF(I163="","",IFERROR(INDEX(Cadastro!$E$5:$E$304,MATCH(I163,Cadastro!$A$5:$A$304,0)),""))</f>
        <v/>
      </c>
      <c r="L163" s="17" t="str">
        <f aca="false">IF(I163="","",IFERROR(INDEX(Cadastro!$F$5:$F$304,MATCH(I163,Cadastro!$A$5:$A$304,0)),""))</f>
        <v/>
      </c>
      <c r="M163" s="17" t="str">
        <f aca="false">IF(I163="","",IFERROR(INDEX(Cadastro!$I$5:$I$304,MATCH(I163,Cadastro!$A$5:$A$304,0)),""))</f>
        <v/>
      </c>
      <c r="N163" s="19"/>
      <c r="O163" s="13"/>
      <c r="P163" s="12" t="str">
        <f aca="false">IF(OR(B163="",O163=""),"",NETWORKDAYS(B163,O163)-1)</f>
        <v/>
      </c>
      <c r="Q163" s="13"/>
      <c r="R163" s="11"/>
      <c r="S163" s="13"/>
      <c r="T163" s="11"/>
      <c r="U163" s="11"/>
      <c r="V163" s="11"/>
      <c r="W163" s="11"/>
      <c r="X163" s="11"/>
    </row>
    <row r="164" customFormat="false" ht="15" hidden="false" customHeight="false" outlineLevel="0" collapsed="false">
      <c r="A164" s="11"/>
      <c r="B164" s="13"/>
      <c r="C164" s="11"/>
      <c r="D164" s="11"/>
      <c r="E164" s="11"/>
      <c r="F164" s="19"/>
      <c r="G164" s="12" t="str">
        <f aca="false">IF(F164="","",IF(F164&lt;=Parâmetros!$B$7,"Faixa 1",IF(F164&lt;=Parâmetros!$B$8,"Faixa 2","Faixa 3")))</f>
        <v/>
      </c>
      <c r="H164" s="12" t="str">
        <f aca="false">IF(G164="","",IF(G164="Faixa 1","Rodízio/Sorteio",IF(G164="Faixa 2","Cotação (≥3 propostas)","Chamada pública")))</f>
        <v/>
      </c>
      <c r="I164" s="11"/>
      <c r="J164" s="17" t="str">
        <f aca="false">IF(I164="","",IFERROR(INDEX(Cadastro!$B$5:$B$304,MATCH(I164,Cadastro!$A$5:$A$304,0)),"ID não encontrado"))</f>
        <v/>
      </c>
      <c r="K164" s="17" t="str">
        <f aca="false">IF(I164="","",IFERROR(INDEX(Cadastro!$E$5:$E$304,MATCH(I164,Cadastro!$A$5:$A$304,0)),""))</f>
        <v/>
      </c>
      <c r="L164" s="17" t="str">
        <f aca="false">IF(I164="","",IFERROR(INDEX(Cadastro!$F$5:$F$304,MATCH(I164,Cadastro!$A$5:$A$304,0)),""))</f>
        <v/>
      </c>
      <c r="M164" s="17" t="str">
        <f aca="false">IF(I164="","",IFERROR(INDEX(Cadastro!$I$5:$I$304,MATCH(I164,Cadastro!$A$5:$A$304,0)),""))</f>
        <v/>
      </c>
      <c r="N164" s="19"/>
      <c r="O164" s="13"/>
      <c r="P164" s="12" t="str">
        <f aca="false">IF(OR(B164="",O164=""),"",NETWORKDAYS(B164,O164)-1)</f>
        <v/>
      </c>
      <c r="Q164" s="13"/>
      <c r="R164" s="11"/>
      <c r="S164" s="13"/>
      <c r="T164" s="11"/>
      <c r="U164" s="11"/>
      <c r="V164" s="11"/>
      <c r="W164" s="11"/>
      <c r="X164" s="11"/>
    </row>
    <row r="165" customFormat="false" ht="15" hidden="false" customHeight="false" outlineLevel="0" collapsed="false">
      <c r="A165" s="11"/>
      <c r="B165" s="13"/>
      <c r="C165" s="11"/>
      <c r="D165" s="11"/>
      <c r="E165" s="11"/>
      <c r="F165" s="19"/>
      <c r="G165" s="12" t="str">
        <f aca="false">IF(F165="","",IF(F165&lt;=Parâmetros!$B$7,"Faixa 1",IF(F165&lt;=Parâmetros!$B$8,"Faixa 2","Faixa 3")))</f>
        <v/>
      </c>
      <c r="H165" s="12" t="str">
        <f aca="false">IF(G165="","",IF(G165="Faixa 1","Rodízio/Sorteio",IF(G165="Faixa 2","Cotação (≥3 propostas)","Chamada pública")))</f>
        <v/>
      </c>
      <c r="I165" s="11"/>
      <c r="J165" s="17" t="str">
        <f aca="false">IF(I165="","",IFERROR(INDEX(Cadastro!$B$5:$B$304,MATCH(I165,Cadastro!$A$5:$A$304,0)),"ID não encontrado"))</f>
        <v/>
      </c>
      <c r="K165" s="17" t="str">
        <f aca="false">IF(I165="","",IFERROR(INDEX(Cadastro!$E$5:$E$304,MATCH(I165,Cadastro!$A$5:$A$304,0)),""))</f>
        <v/>
      </c>
      <c r="L165" s="17" t="str">
        <f aca="false">IF(I165="","",IFERROR(INDEX(Cadastro!$F$5:$F$304,MATCH(I165,Cadastro!$A$5:$A$304,0)),""))</f>
        <v/>
      </c>
      <c r="M165" s="17" t="str">
        <f aca="false">IF(I165="","",IFERROR(INDEX(Cadastro!$I$5:$I$304,MATCH(I165,Cadastro!$A$5:$A$304,0)),""))</f>
        <v/>
      </c>
      <c r="N165" s="19"/>
      <c r="O165" s="13"/>
      <c r="P165" s="12" t="str">
        <f aca="false">IF(OR(B165="",O165=""),"",NETWORKDAYS(B165,O165)-1)</f>
        <v/>
      </c>
      <c r="Q165" s="13"/>
      <c r="R165" s="11"/>
      <c r="S165" s="13"/>
      <c r="T165" s="11"/>
      <c r="U165" s="11"/>
      <c r="V165" s="11"/>
      <c r="W165" s="11"/>
      <c r="X165" s="11"/>
    </row>
    <row r="166" customFormat="false" ht="15" hidden="false" customHeight="false" outlineLevel="0" collapsed="false">
      <c r="A166" s="11"/>
      <c r="B166" s="13"/>
      <c r="C166" s="11"/>
      <c r="D166" s="11"/>
      <c r="E166" s="11"/>
      <c r="F166" s="19"/>
      <c r="G166" s="12" t="str">
        <f aca="false">IF(F166="","",IF(F166&lt;=Parâmetros!$B$7,"Faixa 1",IF(F166&lt;=Parâmetros!$B$8,"Faixa 2","Faixa 3")))</f>
        <v/>
      </c>
      <c r="H166" s="12" t="str">
        <f aca="false">IF(G166="","",IF(G166="Faixa 1","Rodízio/Sorteio",IF(G166="Faixa 2","Cotação (≥3 propostas)","Chamada pública")))</f>
        <v/>
      </c>
      <c r="I166" s="11"/>
      <c r="J166" s="17" t="str">
        <f aca="false">IF(I166="","",IFERROR(INDEX(Cadastro!$B$5:$B$304,MATCH(I166,Cadastro!$A$5:$A$304,0)),"ID não encontrado"))</f>
        <v/>
      </c>
      <c r="K166" s="17" t="str">
        <f aca="false">IF(I166="","",IFERROR(INDEX(Cadastro!$E$5:$E$304,MATCH(I166,Cadastro!$A$5:$A$304,0)),""))</f>
        <v/>
      </c>
      <c r="L166" s="17" t="str">
        <f aca="false">IF(I166="","",IFERROR(INDEX(Cadastro!$F$5:$F$304,MATCH(I166,Cadastro!$A$5:$A$304,0)),""))</f>
        <v/>
      </c>
      <c r="M166" s="17" t="str">
        <f aca="false">IF(I166="","",IFERROR(INDEX(Cadastro!$I$5:$I$304,MATCH(I166,Cadastro!$A$5:$A$304,0)),""))</f>
        <v/>
      </c>
      <c r="N166" s="19"/>
      <c r="O166" s="13"/>
      <c r="P166" s="12" t="str">
        <f aca="false">IF(OR(B166="",O166=""),"",NETWORKDAYS(B166,O166)-1)</f>
        <v/>
      </c>
      <c r="Q166" s="13"/>
      <c r="R166" s="11"/>
      <c r="S166" s="13"/>
      <c r="T166" s="11"/>
      <c r="U166" s="11"/>
      <c r="V166" s="11"/>
      <c r="W166" s="11"/>
      <c r="X166" s="11"/>
    </row>
    <row r="167" customFormat="false" ht="15" hidden="false" customHeight="false" outlineLevel="0" collapsed="false">
      <c r="A167" s="11"/>
      <c r="B167" s="13"/>
      <c r="C167" s="11"/>
      <c r="D167" s="11"/>
      <c r="E167" s="11"/>
      <c r="F167" s="19"/>
      <c r="G167" s="12" t="str">
        <f aca="false">IF(F167="","",IF(F167&lt;=Parâmetros!$B$7,"Faixa 1",IF(F167&lt;=Parâmetros!$B$8,"Faixa 2","Faixa 3")))</f>
        <v/>
      </c>
      <c r="H167" s="12" t="str">
        <f aca="false">IF(G167="","",IF(G167="Faixa 1","Rodízio/Sorteio",IF(G167="Faixa 2","Cotação (≥3 propostas)","Chamada pública")))</f>
        <v/>
      </c>
      <c r="I167" s="11"/>
      <c r="J167" s="17" t="str">
        <f aca="false">IF(I167="","",IFERROR(INDEX(Cadastro!$B$5:$B$304,MATCH(I167,Cadastro!$A$5:$A$304,0)),"ID não encontrado"))</f>
        <v/>
      </c>
      <c r="K167" s="17" t="str">
        <f aca="false">IF(I167="","",IFERROR(INDEX(Cadastro!$E$5:$E$304,MATCH(I167,Cadastro!$A$5:$A$304,0)),""))</f>
        <v/>
      </c>
      <c r="L167" s="17" t="str">
        <f aca="false">IF(I167="","",IFERROR(INDEX(Cadastro!$F$5:$F$304,MATCH(I167,Cadastro!$A$5:$A$304,0)),""))</f>
        <v/>
      </c>
      <c r="M167" s="17" t="str">
        <f aca="false">IF(I167="","",IFERROR(INDEX(Cadastro!$I$5:$I$304,MATCH(I167,Cadastro!$A$5:$A$304,0)),""))</f>
        <v/>
      </c>
      <c r="N167" s="19"/>
      <c r="O167" s="13"/>
      <c r="P167" s="12" t="str">
        <f aca="false">IF(OR(B167="",O167=""),"",NETWORKDAYS(B167,O167)-1)</f>
        <v/>
      </c>
      <c r="Q167" s="13"/>
      <c r="R167" s="11"/>
      <c r="S167" s="13"/>
      <c r="T167" s="11"/>
      <c r="U167" s="11"/>
      <c r="V167" s="11"/>
      <c r="W167" s="11"/>
      <c r="X167" s="11"/>
    </row>
    <row r="168" customFormat="false" ht="15" hidden="false" customHeight="false" outlineLevel="0" collapsed="false">
      <c r="A168" s="11"/>
      <c r="B168" s="13"/>
      <c r="C168" s="11"/>
      <c r="D168" s="11"/>
      <c r="E168" s="11"/>
      <c r="F168" s="19"/>
      <c r="G168" s="12" t="str">
        <f aca="false">IF(F168="","",IF(F168&lt;=Parâmetros!$B$7,"Faixa 1",IF(F168&lt;=Parâmetros!$B$8,"Faixa 2","Faixa 3")))</f>
        <v/>
      </c>
      <c r="H168" s="12" t="str">
        <f aca="false">IF(G168="","",IF(G168="Faixa 1","Rodízio/Sorteio",IF(G168="Faixa 2","Cotação (≥3 propostas)","Chamada pública")))</f>
        <v/>
      </c>
      <c r="I168" s="11"/>
      <c r="J168" s="17" t="str">
        <f aca="false">IF(I168="","",IFERROR(INDEX(Cadastro!$B$5:$B$304,MATCH(I168,Cadastro!$A$5:$A$304,0)),"ID não encontrado"))</f>
        <v/>
      </c>
      <c r="K168" s="17" t="str">
        <f aca="false">IF(I168="","",IFERROR(INDEX(Cadastro!$E$5:$E$304,MATCH(I168,Cadastro!$A$5:$A$304,0)),""))</f>
        <v/>
      </c>
      <c r="L168" s="17" t="str">
        <f aca="false">IF(I168="","",IFERROR(INDEX(Cadastro!$F$5:$F$304,MATCH(I168,Cadastro!$A$5:$A$304,0)),""))</f>
        <v/>
      </c>
      <c r="M168" s="17" t="str">
        <f aca="false">IF(I168="","",IFERROR(INDEX(Cadastro!$I$5:$I$304,MATCH(I168,Cadastro!$A$5:$A$304,0)),""))</f>
        <v/>
      </c>
      <c r="N168" s="19"/>
      <c r="O168" s="13"/>
      <c r="P168" s="12" t="str">
        <f aca="false">IF(OR(B168="",O168=""),"",NETWORKDAYS(B168,O168)-1)</f>
        <v/>
      </c>
      <c r="Q168" s="13"/>
      <c r="R168" s="11"/>
      <c r="S168" s="13"/>
      <c r="T168" s="11"/>
      <c r="U168" s="11"/>
      <c r="V168" s="11"/>
      <c r="W168" s="11"/>
      <c r="X168" s="11"/>
    </row>
    <row r="169" customFormat="false" ht="15" hidden="false" customHeight="false" outlineLevel="0" collapsed="false">
      <c r="A169" s="11"/>
      <c r="B169" s="13"/>
      <c r="C169" s="11"/>
      <c r="D169" s="11"/>
      <c r="E169" s="11"/>
      <c r="F169" s="19"/>
      <c r="G169" s="12" t="str">
        <f aca="false">IF(F169="","",IF(F169&lt;=Parâmetros!$B$7,"Faixa 1",IF(F169&lt;=Parâmetros!$B$8,"Faixa 2","Faixa 3")))</f>
        <v/>
      </c>
      <c r="H169" s="12" t="str">
        <f aca="false">IF(G169="","",IF(G169="Faixa 1","Rodízio/Sorteio",IF(G169="Faixa 2","Cotação (≥3 propostas)","Chamada pública")))</f>
        <v/>
      </c>
      <c r="I169" s="11"/>
      <c r="J169" s="17" t="str">
        <f aca="false">IF(I169="","",IFERROR(INDEX(Cadastro!$B$5:$B$304,MATCH(I169,Cadastro!$A$5:$A$304,0)),"ID não encontrado"))</f>
        <v/>
      </c>
      <c r="K169" s="17" t="str">
        <f aca="false">IF(I169="","",IFERROR(INDEX(Cadastro!$E$5:$E$304,MATCH(I169,Cadastro!$A$5:$A$304,0)),""))</f>
        <v/>
      </c>
      <c r="L169" s="17" t="str">
        <f aca="false">IF(I169="","",IFERROR(INDEX(Cadastro!$F$5:$F$304,MATCH(I169,Cadastro!$A$5:$A$304,0)),""))</f>
        <v/>
      </c>
      <c r="M169" s="17" t="str">
        <f aca="false">IF(I169="","",IFERROR(INDEX(Cadastro!$I$5:$I$304,MATCH(I169,Cadastro!$A$5:$A$304,0)),""))</f>
        <v/>
      </c>
      <c r="N169" s="19"/>
      <c r="O169" s="13"/>
      <c r="P169" s="12" t="str">
        <f aca="false">IF(OR(B169="",O169=""),"",NETWORKDAYS(B169,O169)-1)</f>
        <v/>
      </c>
      <c r="Q169" s="13"/>
      <c r="R169" s="11"/>
      <c r="S169" s="13"/>
      <c r="T169" s="11"/>
      <c r="U169" s="11"/>
      <c r="V169" s="11"/>
      <c r="W169" s="11"/>
      <c r="X169" s="11"/>
    </row>
    <row r="170" customFormat="false" ht="15" hidden="false" customHeight="false" outlineLevel="0" collapsed="false">
      <c r="A170" s="11"/>
      <c r="B170" s="13"/>
      <c r="C170" s="11"/>
      <c r="D170" s="11"/>
      <c r="E170" s="11"/>
      <c r="F170" s="19"/>
      <c r="G170" s="12" t="str">
        <f aca="false">IF(F170="","",IF(F170&lt;=Parâmetros!$B$7,"Faixa 1",IF(F170&lt;=Parâmetros!$B$8,"Faixa 2","Faixa 3")))</f>
        <v/>
      </c>
      <c r="H170" s="12" t="str">
        <f aca="false">IF(G170="","",IF(G170="Faixa 1","Rodízio/Sorteio",IF(G170="Faixa 2","Cotação (≥3 propostas)","Chamada pública")))</f>
        <v/>
      </c>
      <c r="I170" s="11"/>
      <c r="J170" s="17" t="str">
        <f aca="false">IF(I170="","",IFERROR(INDEX(Cadastro!$B$5:$B$304,MATCH(I170,Cadastro!$A$5:$A$304,0)),"ID não encontrado"))</f>
        <v/>
      </c>
      <c r="K170" s="17" t="str">
        <f aca="false">IF(I170="","",IFERROR(INDEX(Cadastro!$E$5:$E$304,MATCH(I170,Cadastro!$A$5:$A$304,0)),""))</f>
        <v/>
      </c>
      <c r="L170" s="17" t="str">
        <f aca="false">IF(I170="","",IFERROR(INDEX(Cadastro!$F$5:$F$304,MATCH(I170,Cadastro!$A$5:$A$304,0)),""))</f>
        <v/>
      </c>
      <c r="M170" s="17" t="str">
        <f aca="false">IF(I170="","",IFERROR(INDEX(Cadastro!$I$5:$I$304,MATCH(I170,Cadastro!$A$5:$A$304,0)),""))</f>
        <v/>
      </c>
      <c r="N170" s="19"/>
      <c r="O170" s="13"/>
      <c r="P170" s="12" t="str">
        <f aca="false">IF(OR(B170="",O170=""),"",NETWORKDAYS(B170,O170)-1)</f>
        <v/>
      </c>
      <c r="Q170" s="13"/>
      <c r="R170" s="11"/>
      <c r="S170" s="13"/>
      <c r="T170" s="11"/>
      <c r="U170" s="11"/>
      <c r="V170" s="11"/>
      <c r="W170" s="11"/>
      <c r="X170" s="11"/>
    </row>
    <row r="171" customFormat="false" ht="15" hidden="false" customHeight="false" outlineLevel="0" collapsed="false">
      <c r="A171" s="11"/>
      <c r="B171" s="13"/>
      <c r="C171" s="11"/>
      <c r="D171" s="11"/>
      <c r="E171" s="11"/>
      <c r="F171" s="19"/>
      <c r="G171" s="12" t="str">
        <f aca="false">IF(F171="","",IF(F171&lt;=Parâmetros!$B$7,"Faixa 1",IF(F171&lt;=Parâmetros!$B$8,"Faixa 2","Faixa 3")))</f>
        <v/>
      </c>
      <c r="H171" s="12" t="str">
        <f aca="false">IF(G171="","",IF(G171="Faixa 1","Rodízio/Sorteio",IF(G171="Faixa 2","Cotação (≥3 propostas)","Chamada pública")))</f>
        <v/>
      </c>
      <c r="I171" s="11"/>
      <c r="J171" s="17" t="str">
        <f aca="false">IF(I171="","",IFERROR(INDEX(Cadastro!$B$5:$B$304,MATCH(I171,Cadastro!$A$5:$A$304,0)),"ID não encontrado"))</f>
        <v/>
      </c>
      <c r="K171" s="17" t="str">
        <f aca="false">IF(I171="","",IFERROR(INDEX(Cadastro!$E$5:$E$304,MATCH(I171,Cadastro!$A$5:$A$304,0)),""))</f>
        <v/>
      </c>
      <c r="L171" s="17" t="str">
        <f aca="false">IF(I171="","",IFERROR(INDEX(Cadastro!$F$5:$F$304,MATCH(I171,Cadastro!$A$5:$A$304,0)),""))</f>
        <v/>
      </c>
      <c r="M171" s="17" t="str">
        <f aca="false">IF(I171="","",IFERROR(INDEX(Cadastro!$I$5:$I$304,MATCH(I171,Cadastro!$A$5:$A$304,0)),""))</f>
        <v/>
      </c>
      <c r="N171" s="19"/>
      <c r="O171" s="13"/>
      <c r="P171" s="12" t="str">
        <f aca="false">IF(OR(B171="",O171=""),"",NETWORKDAYS(B171,O171)-1)</f>
        <v/>
      </c>
      <c r="Q171" s="13"/>
      <c r="R171" s="11"/>
      <c r="S171" s="13"/>
      <c r="T171" s="11"/>
      <c r="U171" s="11"/>
      <c r="V171" s="11"/>
      <c r="W171" s="11"/>
      <c r="X171" s="11"/>
    </row>
    <row r="172" customFormat="false" ht="15" hidden="false" customHeight="false" outlineLevel="0" collapsed="false">
      <c r="A172" s="11"/>
      <c r="B172" s="13"/>
      <c r="C172" s="11"/>
      <c r="D172" s="11"/>
      <c r="E172" s="11"/>
      <c r="F172" s="19"/>
      <c r="G172" s="12" t="str">
        <f aca="false">IF(F172="","",IF(F172&lt;=Parâmetros!$B$7,"Faixa 1",IF(F172&lt;=Parâmetros!$B$8,"Faixa 2","Faixa 3")))</f>
        <v/>
      </c>
      <c r="H172" s="12" t="str">
        <f aca="false">IF(G172="","",IF(G172="Faixa 1","Rodízio/Sorteio",IF(G172="Faixa 2","Cotação (≥3 propostas)","Chamada pública")))</f>
        <v/>
      </c>
      <c r="I172" s="11"/>
      <c r="J172" s="17" t="str">
        <f aca="false">IF(I172="","",IFERROR(INDEX(Cadastro!$B$5:$B$304,MATCH(I172,Cadastro!$A$5:$A$304,0)),"ID não encontrado"))</f>
        <v/>
      </c>
      <c r="K172" s="17" t="str">
        <f aca="false">IF(I172="","",IFERROR(INDEX(Cadastro!$E$5:$E$304,MATCH(I172,Cadastro!$A$5:$A$304,0)),""))</f>
        <v/>
      </c>
      <c r="L172" s="17" t="str">
        <f aca="false">IF(I172="","",IFERROR(INDEX(Cadastro!$F$5:$F$304,MATCH(I172,Cadastro!$A$5:$A$304,0)),""))</f>
        <v/>
      </c>
      <c r="M172" s="17" t="str">
        <f aca="false">IF(I172="","",IFERROR(INDEX(Cadastro!$I$5:$I$304,MATCH(I172,Cadastro!$A$5:$A$304,0)),""))</f>
        <v/>
      </c>
      <c r="N172" s="19"/>
      <c r="O172" s="13"/>
      <c r="P172" s="12" t="str">
        <f aca="false">IF(OR(B172="",O172=""),"",NETWORKDAYS(B172,O172)-1)</f>
        <v/>
      </c>
      <c r="Q172" s="13"/>
      <c r="R172" s="11"/>
      <c r="S172" s="13"/>
      <c r="T172" s="11"/>
      <c r="U172" s="11"/>
      <c r="V172" s="11"/>
      <c r="W172" s="11"/>
      <c r="X172" s="11"/>
    </row>
    <row r="173" customFormat="false" ht="15" hidden="false" customHeight="false" outlineLevel="0" collapsed="false">
      <c r="A173" s="11"/>
      <c r="B173" s="13"/>
      <c r="C173" s="11"/>
      <c r="D173" s="11"/>
      <c r="E173" s="11"/>
      <c r="F173" s="19"/>
      <c r="G173" s="12" t="str">
        <f aca="false">IF(F173="","",IF(F173&lt;=Parâmetros!$B$7,"Faixa 1",IF(F173&lt;=Parâmetros!$B$8,"Faixa 2","Faixa 3")))</f>
        <v/>
      </c>
      <c r="H173" s="12" t="str">
        <f aca="false">IF(G173="","",IF(G173="Faixa 1","Rodízio/Sorteio",IF(G173="Faixa 2","Cotação (≥3 propostas)","Chamada pública")))</f>
        <v/>
      </c>
      <c r="I173" s="11"/>
      <c r="J173" s="17" t="str">
        <f aca="false">IF(I173="","",IFERROR(INDEX(Cadastro!$B$5:$B$304,MATCH(I173,Cadastro!$A$5:$A$304,0)),"ID não encontrado"))</f>
        <v/>
      </c>
      <c r="K173" s="17" t="str">
        <f aca="false">IF(I173="","",IFERROR(INDEX(Cadastro!$E$5:$E$304,MATCH(I173,Cadastro!$A$5:$A$304,0)),""))</f>
        <v/>
      </c>
      <c r="L173" s="17" t="str">
        <f aca="false">IF(I173="","",IFERROR(INDEX(Cadastro!$F$5:$F$304,MATCH(I173,Cadastro!$A$5:$A$304,0)),""))</f>
        <v/>
      </c>
      <c r="M173" s="17" t="str">
        <f aca="false">IF(I173="","",IFERROR(INDEX(Cadastro!$I$5:$I$304,MATCH(I173,Cadastro!$A$5:$A$304,0)),""))</f>
        <v/>
      </c>
      <c r="N173" s="19"/>
      <c r="O173" s="13"/>
      <c r="P173" s="12" t="str">
        <f aca="false">IF(OR(B173="",O173=""),"",NETWORKDAYS(B173,O173)-1)</f>
        <v/>
      </c>
      <c r="Q173" s="13"/>
      <c r="R173" s="11"/>
      <c r="S173" s="13"/>
      <c r="T173" s="11"/>
      <c r="U173" s="11"/>
      <c r="V173" s="11"/>
      <c r="W173" s="11"/>
      <c r="X173" s="11"/>
    </row>
    <row r="174" customFormat="false" ht="15" hidden="false" customHeight="false" outlineLevel="0" collapsed="false">
      <c r="A174" s="11"/>
      <c r="B174" s="13"/>
      <c r="C174" s="11"/>
      <c r="D174" s="11"/>
      <c r="E174" s="11"/>
      <c r="F174" s="19"/>
      <c r="G174" s="12" t="str">
        <f aca="false">IF(F174="","",IF(F174&lt;=Parâmetros!$B$7,"Faixa 1",IF(F174&lt;=Parâmetros!$B$8,"Faixa 2","Faixa 3")))</f>
        <v/>
      </c>
      <c r="H174" s="12" t="str">
        <f aca="false">IF(G174="","",IF(G174="Faixa 1","Rodízio/Sorteio",IF(G174="Faixa 2","Cotação (≥3 propostas)","Chamada pública")))</f>
        <v/>
      </c>
      <c r="I174" s="11"/>
      <c r="J174" s="17" t="str">
        <f aca="false">IF(I174="","",IFERROR(INDEX(Cadastro!$B$5:$B$304,MATCH(I174,Cadastro!$A$5:$A$304,0)),"ID não encontrado"))</f>
        <v/>
      </c>
      <c r="K174" s="17" t="str">
        <f aca="false">IF(I174="","",IFERROR(INDEX(Cadastro!$E$5:$E$304,MATCH(I174,Cadastro!$A$5:$A$304,0)),""))</f>
        <v/>
      </c>
      <c r="L174" s="17" t="str">
        <f aca="false">IF(I174="","",IFERROR(INDEX(Cadastro!$F$5:$F$304,MATCH(I174,Cadastro!$A$5:$A$304,0)),""))</f>
        <v/>
      </c>
      <c r="M174" s="17" t="str">
        <f aca="false">IF(I174="","",IFERROR(INDEX(Cadastro!$I$5:$I$304,MATCH(I174,Cadastro!$A$5:$A$304,0)),""))</f>
        <v/>
      </c>
      <c r="N174" s="19"/>
      <c r="O174" s="13"/>
      <c r="P174" s="12" t="str">
        <f aca="false">IF(OR(B174="",O174=""),"",NETWORKDAYS(B174,O174)-1)</f>
        <v/>
      </c>
      <c r="Q174" s="13"/>
      <c r="R174" s="11"/>
      <c r="S174" s="13"/>
      <c r="T174" s="11"/>
      <c r="U174" s="11"/>
      <c r="V174" s="11"/>
      <c r="W174" s="11"/>
      <c r="X174" s="11"/>
    </row>
    <row r="175" customFormat="false" ht="15" hidden="false" customHeight="false" outlineLevel="0" collapsed="false">
      <c r="A175" s="11"/>
      <c r="B175" s="13"/>
      <c r="C175" s="11"/>
      <c r="D175" s="11"/>
      <c r="E175" s="11"/>
      <c r="F175" s="19"/>
      <c r="G175" s="12" t="str">
        <f aca="false">IF(F175="","",IF(F175&lt;=Parâmetros!$B$7,"Faixa 1",IF(F175&lt;=Parâmetros!$B$8,"Faixa 2","Faixa 3")))</f>
        <v/>
      </c>
      <c r="H175" s="12" t="str">
        <f aca="false">IF(G175="","",IF(G175="Faixa 1","Rodízio/Sorteio",IF(G175="Faixa 2","Cotação (≥3 propostas)","Chamada pública")))</f>
        <v/>
      </c>
      <c r="I175" s="11"/>
      <c r="J175" s="17" t="str">
        <f aca="false">IF(I175="","",IFERROR(INDEX(Cadastro!$B$5:$B$304,MATCH(I175,Cadastro!$A$5:$A$304,0)),"ID não encontrado"))</f>
        <v/>
      </c>
      <c r="K175" s="17" t="str">
        <f aca="false">IF(I175="","",IFERROR(INDEX(Cadastro!$E$5:$E$304,MATCH(I175,Cadastro!$A$5:$A$304,0)),""))</f>
        <v/>
      </c>
      <c r="L175" s="17" t="str">
        <f aca="false">IF(I175="","",IFERROR(INDEX(Cadastro!$F$5:$F$304,MATCH(I175,Cadastro!$A$5:$A$304,0)),""))</f>
        <v/>
      </c>
      <c r="M175" s="17" t="str">
        <f aca="false">IF(I175="","",IFERROR(INDEX(Cadastro!$I$5:$I$304,MATCH(I175,Cadastro!$A$5:$A$304,0)),""))</f>
        <v/>
      </c>
      <c r="N175" s="19"/>
      <c r="O175" s="13"/>
      <c r="P175" s="12" t="str">
        <f aca="false">IF(OR(B175="",O175=""),"",NETWORKDAYS(B175,O175)-1)</f>
        <v/>
      </c>
      <c r="Q175" s="13"/>
      <c r="R175" s="11"/>
      <c r="S175" s="13"/>
      <c r="T175" s="11"/>
      <c r="U175" s="11"/>
      <c r="V175" s="11"/>
      <c r="W175" s="11"/>
      <c r="X175" s="11"/>
    </row>
    <row r="176" customFormat="false" ht="15" hidden="false" customHeight="false" outlineLevel="0" collapsed="false">
      <c r="A176" s="11"/>
      <c r="B176" s="13"/>
      <c r="C176" s="11"/>
      <c r="D176" s="11"/>
      <c r="E176" s="11"/>
      <c r="F176" s="19"/>
      <c r="G176" s="12" t="str">
        <f aca="false">IF(F176="","",IF(F176&lt;=Parâmetros!$B$7,"Faixa 1",IF(F176&lt;=Parâmetros!$B$8,"Faixa 2","Faixa 3")))</f>
        <v/>
      </c>
      <c r="H176" s="12" t="str">
        <f aca="false">IF(G176="","",IF(G176="Faixa 1","Rodízio/Sorteio",IF(G176="Faixa 2","Cotação (≥3 propostas)","Chamada pública")))</f>
        <v/>
      </c>
      <c r="I176" s="11"/>
      <c r="J176" s="17" t="str">
        <f aca="false">IF(I176="","",IFERROR(INDEX(Cadastro!$B$5:$B$304,MATCH(I176,Cadastro!$A$5:$A$304,0)),"ID não encontrado"))</f>
        <v/>
      </c>
      <c r="K176" s="17" t="str">
        <f aca="false">IF(I176="","",IFERROR(INDEX(Cadastro!$E$5:$E$304,MATCH(I176,Cadastro!$A$5:$A$304,0)),""))</f>
        <v/>
      </c>
      <c r="L176" s="17" t="str">
        <f aca="false">IF(I176="","",IFERROR(INDEX(Cadastro!$F$5:$F$304,MATCH(I176,Cadastro!$A$5:$A$304,0)),""))</f>
        <v/>
      </c>
      <c r="M176" s="17" t="str">
        <f aca="false">IF(I176="","",IFERROR(INDEX(Cadastro!$I$5:$I$304,MATCH(I176,Cadastro!$A$5:$A$304,0)),""))</f>
        <v/>
      </c>
      <c r="N176" s="19"/>
      <c r="O176" s="13"/>
      <c r="P176" s="12" t="str">
        <f aca="false">IF(OR(B176="",O176=""),"",NETWORKDAYS(B176,O176)-1)</f>
        <v/>
      </c>
      <c r="Q176" s="13"/>
      <c r="R176" s="11"/>
      <c r="S176" s="13"/>
      <c r="T176" s="11"/>
      <c r="U176" s="11"/>
      <c r="V176" s="11"/>
      <c r="W176" s="11"/>
      <c r="X176" s="11"/>
    </row>
    <row r="177" customFormat="false" ht="15" hidden="false" customHeight="false" outlineLevel="0" collapsed="false">
      <c r="A177" s="11"/>
      <c r="B177" s="13"/>
      <c r="C177" s="11"/>
      <c r="D177" s="11"/>
      <c r="E177" s="11"/>
      <c r="F177" s="19"/>
      <c r="G177" s="12" t="str">
        <f aca="false">IF(F177="","",IF(F177&lt;=Parâmetros!$B$7,"Faixa 1",IF(F177&lt;=Parâmetros!$B$8,"Faixa 2","Faixa 3")))</f>
        <v/>
      </c>
      <c r="H177" s="12" t="str">
        <f aca="false">IF(G177="","",IF(G177="Faixa 1","Rodízio/Sorteio",IF(G177="Faixa 2","Cotação (≥3 propostas)","Chamada pública")))</f>
        <v/>
      </c>
      <c r="I177" s="11"/>
      <c r="J177" s="17" t="str">
        <f aca="false">IF(I177="","",IFERROR(INDEX(Cadastro!$B$5:$B$304,MATCH(I177,Cadastro!$A$5:$A$304,0)),"ID não encontrado"))</f>
        <v/>
      </c>
      <c r="K177" s="17" t="str">
        <f aca="false">IF(I177="","",IFERROR(INDEX(Cadastro!$E$5:$E$304,MATCH(I177,Cadastro!$A$5:$A$304,0)),""))</f>
        <v/>
      </c>
      <c r="L177" s="17" t="str">
        <f aca="false">IF(I177="","",IFERROR(INDEX(Cadastro!$F$5:$F$304,MATCH(I177,Cadastro!$A$5:$A$304,0)),""))</f>
        <v/>
      </c>
      <c r="M177" s="17" t="str">
        <f aca="false">IF(I177="","",IFERROR(INDEX(Cadastro!$I$5:$I$304,MATCH(I177,Cadastro!$A$5:$A$304,0)),""))</f>
        <v/>
      </c>
      <c r="N177" s="19"/>
      <c r="O177" s="13"/>
      <c r="P177" s="12" t="str">
        <f aca="false">IF(OR(B177="",O177=""),"",NETWORKDAYS(B177,O177)-1)</f>
        <v/>
      </c>
      <c r="Q177" s="13"/>
      <c r="R177" s="11"/>
      <c r="S177" s="13"/>
      <c r="T177" s="11"/>
      <c r="U177" s="11"/>
      <c r="V177" s="11"/>
      <c r="W177" s="11"/>
      <c r="X177" s="11"/>
    </row>
    <row r="178" customFormat="false" ht="15" hidden="false" customHeight="false" outlineLevel="0" collapsed="false">
      <c r="A178" s="11"/>
      <c r="B178" s="13"/>
      <c r="C178" s="11"/>
      <c r="D178" s="11"/>
      <c r="E178" s="11"/>
      <c r="F178" s="19"/>
      <c r="G178" s="12" t="str">
        <f aca="false">IF(F178="","",IF(F178&lt;=Parâmetros!$B$7,"Faixa 1",IF(F178&lt;=Parâmetros!$B$8,"Faixa 2","Faixa 3")))</f>
        <v/>
      </c>
      <c r="H178" s="12" t="str">
        <f aca="false">IF(G178="","",IF(G178="Faixa 1","Rodízio/Sorteio",IF(G178="Faixa 2","Cotação (≥3 propostas)","Chamada pública")))</f>
        <v/>
      </c>
      <c r="I178" s="11"/>
      <c r="J178" s="17" t="str">
        <f aca="false">IF(I178="","",IFERROR(INDEX(Cadastro!$B$5:$B$304,MATCH(I178,Cadastro!$A$5:$A$304,0)),"ID não encontrado"))</f>
        <v/>
      </c>
      <c r="K178" s="17" t="str">
        <f aca="false">IF(I178="","",IFERROR(INDEX(Cadastro!$E$5:$E$304,MATCH(I178,Cadastro!$A$5:$A$304,0)),""))</f>
        <v/>
      </c>
      <c r="L178" s="17" t="str">
        <f aca="false">IF(I178="","",IFERROR(INDEX(Cadastro!$F$5:$F$304,MATCH(I178,Cadastro!$A$5:$A$304,0)),""))</f>
        <v/>
      </c>
      <c r="M178" s="17" t="str">
        <f aca="false">IF(I178="","",IFERROR(INDEX(Cadastro!$I$5:$I$304,MATCH(I178,Cadastro!$A$5:$A$304,0)),""))</f>
        <v/>
      </c>
      <c r="N178" s="19"/>
      <c r="O178" s="13"/>
      <c r="P178" s="12" t="str">
        <f aca="false">IF(OR(B178="",O178=""),"",NETWORKDAYS(B178,O178)-1)</f>
        <v/>
      </c>
      <c r="Q178" s="13"/>
      <c r="R178" s="11"/>
      <c r="S178" s="13"/>
      <c r="T178" s="11"/>
      <c r="U178" s="11"/>
      <c r="V178" s="11"/>
      <c r="W178" s="11"/>
      <c r="X178" s="11"/>
    </row>
    <row r="179" customFormat="false" ht="15" hidden="false" customHeight="false" outlineLevel="0" collapsed="false">
      <c r="A179" s="11"/>
      <c r="B179" s="13"/>
      <c r="C179" s="11"/>
      <c r="D179" s="11"/>
      <c r="E179" s="11"/>
      <c r="F179" s="19"/>
      <c r="G179" s="12" t="str">
        <f aca="false">IF(F179="","",IF(F179&lt;=Parâmetros!$B$7,"Faixa 1",IF(F179&lt;=Parâmetros!$B$8,"Faixa 2","Faixa 3")))</f>
        <v/>
      </c>
      <c r="H179" s="12" t="str">
        <f aca="false">IF(G179="","",IF(G179="Faixa 1","Rodízio/Sorteio",IF(G179="Faixa 2","Cotação (≥3 propostas)","Chamada pública")))</f>
        <v/>
      </c>
      <c r="I179" s="11"/>
      <c r="J179" s="17" t="str">
        <f aca="false">IF(I179="","",IFERROR(INDEX(Cadastro!$B$5:$B$304,MATCH(I179,Cadastro!$A$5:$A$304,0)),"ID não encontrado"))</f>
        <v/>
      </c>
      <c r="K179" s="17" t="str">
        <f aca="false">IF(I179="","",IFERROR(INDEX(Cadastro!$E$5:$E$304,MATCH(I179,Cadastro!$A$5:$A$304,0)),""))</f>
        <v/>
      </c>
      <c r="L179" s="17" t="str">
        <f aca="false">IF(I179="","",IFERROR(INDEX(Cadastro!$F$5:$F$304,MATCH(I179,Cadastro!$A$5:$A$304,0)),""))</f>
        <v/>
      </c>
      <c r="M179" s="17" t="str">
        <f aca="false">IF(I179="","",IFERROR(INDEX(Cadastro!$I$5:$I$304,MATCH(I179,Cadastro!$A$5:$A$304,0)),""))</f>
        <v/>
      </c>
      <c r="N179" s="19"/>
      <c r="O179" s="13"/>
      <c r="P179" s="12" t="str">
        <f aca="false">IF(OR(B179="",O179=""),"",NETWORKDAYS(B179,O179)-1)</f>
        <v/>
      </c>
      <c r="Q179" s="13"/>
      <c r="R179" s="11"/>
      <c r="S179" s="13"/>
      <c r="T179" s="11"/>
      <c r="U179" s="11"/>
      <c r="V179" s="11"/>
      <c r="W179" s="11"/>
      <c r="X179" s="11"/>
    </row>
    <row r="180" customFormat="false" ht="15" hidden="false" customHeight="false" outlineLevel="0" collapsed="false">
      <c r="A180" s="11"/>
      <c r="B180" s="13"/>
      <c r="C180" s="11"/>
      <c r="D180" s="11"/>
      <c r="E180" s="11"/>
      <c r="F180" s="19"/>
      <c r="G180" s="12" t="str">
        <f aca="false">IF(F180="","",IF(F180&lt;=Parâmetros!$B$7,"Faixa 1",IF(F180&lt;=Parâmetros!$B$8,"Faixa 2","Faixa 3")))</f>
        <v/>
      </c>
      <c r="H180" s="12" t="str">
        <f aca="false">IF(G180="","",IF(G180="Faixa 1","Rodízio/Sorteio",IF(G180="Faixa 2","Cotação (≥3 propostas)","Chamada pública")))</f>
        <v/>
      </c>
      <c r="I180" s="11"/>
      <c r="J180" s="17" t="str">
        <f aca="false">IF(I180="","",IFERROR(INDEX(Cadastro!$B$5:$B$304,MATCH(I180,Cadastro!$A$5:$A$304,0)),"ID não encontrado"))</f>
        <v/>
      </c>
      <c r="K180" s="17" t="str">
        <f aca="false">IF(I180="","",IFERROR(INDEX(Cadastro!$E$5:$E$304,MATCH(I180,Cadastro!$A$5:$A$304,0)),""))</f>
        <v/>
      </c>
      <c r="L180" s="17" t="str">
        <f aca="false">IF(I180="","",IFERROR(INDEX(Cadastro!$F$5:$F$304,MATCH(I180,Cadastro!$A$5:$A$304,0)),""))</f>
        <v/>
      </c>
      <c r="M180" s="17" t="str">
        <f aca="false">IF(I180="","",IFERROR(INDEX(Cadastro!$I$5:$I$304,MATCH(I180,Cadastro!$A$5:$A$304,0)),""))</f>
        <v/>
      </c>
      <c r="N180" s="19"/>
      <c r="O180" s="13"/>
      <c r="P180" s="12" t="str">
        <f aca="false">IF(OR(B180="",O180=""),"",NETWORKDAYS(B180,O180)-1)</f>
        <v/>
      </c>
      <c r="Q180" s="13"/>
      <c r="R180" s="11"/>
      <c r="S180" s="13"/>
      <c r="T180" s="11"/>
      <c r="U180" s="11"/>
      <c r="V180" s="11"/>
      <c r="W180" s="11"/>
      <c r="X180" s="11"/>
    </row>
    <row r="181" customFormat="false" ht="15" hidden="false" customHeight="false" outlineLevel="0" collapsed="false">
      <c r="A181" s="11"/>
      <c r="B181" s="13"/>
      <c r="C181" s="11"/>
      <c r="D181" s="11"/>
      <c r="E181" s="11"/>
      <c r="F181" s="19"/>
      <c r="G181" s="12" t="str">
        <f aca="false">IF(F181="","",IF(F181&lt;=Parâmetros!$B$7,"Faixa 1",IF(F181&lt;=Parâmetros!$B$8,"Faixa 2","Faixa 3")))</f>
        <v/>
      </c>
      <c r="H181" s="12" t="str">
        <f aca="false">IF(G181="","",IF(G181="Faixa 1","Rodízio/Sorteio",IF(G181="Faixa 2","Cotação (≥3 propostas)","Chamada pública")))</f>
        <v/>
      </c>
      <c r="I181" s="11"/>
      <c r="J181" s="17" t="str">
        <f aca="false">IF(I181="","",IFERROR(INDEX(Cadastro!$B$5:$B$304,MATCH(I181,Cadastro!$A$5:$A$304,0)),"ID não encontrado"))</f>
        <v/>
      </c>
      <c r="K181" s="17" t="str">
        <f aca="false">IF(I181="","",IFERROR(INDEX(Cadastro!$E$5:$E$304,MATCH(I181,Cadastro!$A$5:$A$304,0)),""))</f>
        <v/>
      </c>
      <c r="L181" s="17" t="str">
        <f aca="false">IF(I181="","",IFERROR(INDEX(Cadastro!$F$5:$F$304,MATCH(I181,Cadastro!$A$5:$A$304,0)),""))</f>
        <v/>
      </c>
      <c r="M181" s="17" t="str">
        <f aca="false">IF(I181="","",IFERROR(INDEX(Cadastro!$I$5:$I$304,MATCH(I181,Cadastro!$A$5:$A$304,0)),""))</f>
        <v/>
      </c>
      <c r="N181" s="19"/>
      <c r="O181" s="13"/>
      <c r="P181" s="12" t="str">
        <f aca="false">IF(OR(B181="",O181=""),"",NETWORKDAYS(B181,O181)-1)</f>
        <v/>
      </c>
      <c r="Q181" s="13"/>
      <c r="R181" s="11"/>
      <c r="S181" s="13"/>
      <c r="T181" s="11"/>
      <c r="U181" s="11"/>
      <c r="V181" s="11"/>
      <c r="W181" s="11"/>
      <c r="X181" s="11"/>
    </row>
    <row r="182" customFormat="false" ht="15" hidden="false" customHeight="false" outlineLevel="0" collapsed="false">
      <c r="A182" s="11"/>
      <c r="B182" s="13"/>
      <c r="C182" s="11"/>
      <c r="D182" s="11"/>
      <c r="E182" s="11"/>
      <c r="F182" s="19"/>
      <c r="G182" s="12" t="str">
        <f aca="false">IF(F182="","",IF(F182&lt;=Parâmetros!$B$7,"Faixa 1",IF(F182&lt;=Parâmetros!$B$8,"Faixa 2","Faixa 3")))</f>
        <v/>
      </c>
      <c r="H182" s="12" t="str">
        <f aca="false">IF(G182="","",IF(G182="Faixa 1","Rodízio/Sorteio",IF(G182="Faixa 2","Cotação (≥3 propostas)","Chamada pública")))</f>
        <v/>
      </c>
      <c r="I182" s="11"/>
      <c r="J182" s="17" t="str">
        <f aca="false">IF(I182="","",IFERROR(INDEX(Cadastro!$B$5:$B$304,MATCH(I182,Cadastro!$A$5:$A$304,0)),"ID não encontrado"))</f>
        <v/>
      </c>
      <c r="K182" s="17" t="str">
        <f aca="false">IF(I182="","",IFERROR(INDEX(Cadastro!$E$5:$E$304,MATCH(I182,Cadastro!$A$5:$A$304,0)),""))</f>
        <v/>
      </c>
      <c r="L182" s="17" t="str">
        <f aca="false">IF(I182="","",IFERROR(INDEX(Cadastro!$F$5:$F$304,MATCH(I182,Cadastro!$A$5:$A$304,0)),""))</f>
        <v/>
      </c>
      <c r="M182" s="17" t="str">
        <f aca="false">IF(I182="","",IFERROR(INDEX(Cadastro!$I$5:$I$304,MATCH(I182,Cadastro!$A$5:$A$304,0)),""))</f>
        <v/>
      </c>
      <c r="N182" s="19"/>
      <c r="O182" s="13"/>
      <c r="P182" s="12" t="str">
        <f aca="false">IF(OR(B182="",O182=""),"",NETWORKDAYS(B182,O182)-1)</f>
        <v/>
      </c>
      <c r="Q182" s="13"/>
      <c r="R182" s="11"/>
      <c r="S182" s="13"/>
      <c r="T182" s="11"/>
      <c r="U182" s="11"/>
      <c r="V182" s="11"/>
      <c r="W182" s="11"/>
      <c r="X182" s="11"/>
    </row>
    <row r="183" customFormat="false" ht="15" hidden="false" customHeight="false" outlineLevel="0" collapsed="false">
      <c r="A183" s="11"/>
      <c r="B183" s="13"/>
      <c r="C183" s="11"/>
      <c r="D183" s="11"/>
      <c r="E183" s="11"/>
      <c r="F183" s="19"/>
      <c r="G183" s="12" t="str">
        <f aca="false">IF(F183="","",IF(F183&lt;=Parâmetros!$B$7,"Faixa 1",IF(F183&lt;=Parâmetros!$B$8,"Faixa 2","Faixa 3")))</f>
        <v/>
      </c>
      <c r="H183" s="12" t="str">
        <f aca="false">IF(G183="","",IF(G183="Faixa 1","Rodízio/Sorteio",IF(G183="Faixa 2","Cotação (≥3 propostas)","Chamada pública")))</f>
        <v/>
      </c>
      <c r="I183" s="11"/>
      <c r="J183" s="17" t="str">
        <f aca="false">IF(I183="","",IFERROR(INDEX(Cadastro!$B$5:$B$304,MATCH(I183,Cadastro!$A$5:$A$304,0)),"ID não encontrado"))</f>
        <v/>
      </c>
      <c r="K183" s="17" t="str">
        <f aca="false">IF(I183="","",IFERROR(INDEX(Cadastro!$E$5:$E$304,MATCH(I183,Cadastro!$A$5:$A$304,0)),""))</f>
        <v/>
      </c>
      <c r="L183" s="17" t="str">
        <f aca="false">IF(I183="","",IFERROR(INDEX(Cadastro!$F$5:$F$304,MATCH(I183,Cadastro!$A$5:$A$304,0)),""))</f>
        <v/>
      </c>
      <c r="M183" s="17" t="str">
        <f aca="false">IF(I183="","",IFERROR(INDEX(Cadastro!$I$5:$I$304,MATCH(I183,Cadastro!$A$5:$A$304,0)),""))</f>
        <v/>
      </c>
      <c r="N183" s="19"/>
      <c r="O183" s="13"/>
      <c r="P183" s="12" t="str">
        <f aca="false">IF(OR(B183="",O183=""),"",NETWORKDAYS(B183,O183)-1)</f>
        <v/>
      </c>
      <c r="Q183" s="13"/>
      <c r="R183" s="11"/>
      <c r="S183" s="13"/>
      <c r="T183" s="11"/>
      <c r="U183" s="11"/>
      <c r="V183" s="11"/>
      <c r="W183" s="11"/>
      <c r="X183" s="11"/>
    </row>
    <row r="184" customFormat="false" ht="15" hidden="false" customHeight="false" outlineLevel="0" collapsed="false">
      <c r="A184" s="11"/>
      <c r="B184" s="13"/>
      <c r="C184" s="11"/>
      <c r="D184" s="11"/>
      <c r="E184" s="11"/>
      <c r="F184" s="19"/>
      <c r="G184" s="12" t="str">
        <f aca="false">IF(F184="","",IF(F184&lt;=Parâmetros!$B$7,"Faixa 1",IF(F184&lt;=Parâmetros!$B$8,"Faixa 2","Faixa 3")))</f>
        <v/>
      </c>
      <c r="H184" s="12" t="str">
        <f aca="false">IF(G184="","",IF(G184="Faixa 1","Rodízio/Sorteio",IF(G184="Faixa 2","Cotação (≥3 propostas)","Chamada pública")))</f>
        <v/>
      </c>
      <c r="I184" s="11"/>
      <c r="J184" s="17" t="str">
        <f aca="false">IF(I184="","",IFERROR(INDEX(Cadastro!$B$5:$B$304,MATCH(I184,Cadastro!$A$5:$A$304,0)),"ID não encontrado"))</f>
        <v/>
      </c>
      <c r="K184" s="17" t="str">
        <f aca="false">IF(I184="","",IFERROR(INDEX(Cadastro!$E$5:$E$304,MATCH(I184,Cadastro!$A$5:$A$304,0)),""))</f>
        <v/>
      </c>
      <c r="L184" s="17" t="str">
        <f aca="false">IF(I184="","",IFERROR(INDEX(Cadastro!$F$5:$F$304,MATCH(I184,Cadastro!$A$5:$A$304,0)),""))</f>
        <v/>
      </c>
      <c r="M184" s="17" t="str">
        <f aca="false">IF(I184="","",IFERROR(INDEX(Cadastro!$I$5:$I$304,MATCH(I184,Cadastro!$A$5:$A$304,0)),""))</f>
        <v/>
      </c>
      <c r="N184" s="19"/>
      <c r="O184" s="13"/>
      <c r="P184" s="12" t="str">
        <f aca="false">IF(OR(B184="",O184=""),"",NETWORKDAYS(B184,O184)-1)</f>
        <v/>
      </c>
      <c r="Q184" s="13"/>
      <c r="R184" s="11"/>
      <c r="S184" s="13"/>
      <c r="T184" s="11"/>
      <c r="U184" s="11"/>
      <c r="V184" s="11"/>
      <c r="W184" s="11"/>
      <c r="X184" s="11"/>
    </row>
    <row r="185" customFormat="false" ht="15" hidden="false" customHeight="false" outlineLevel="0" collapsed="false">
      <c r="A185" s="11"/>
      <c r="B185" s="13"/>
      <c r="C185" s="11"/>
      <c r="D185" s="11"/>
      <c r="E185" s="11"/>
      <c r="F185" s="19"/>
      <c r="G185" s="12" t="str">
        <f aca="false">IF(F185="","",IF(F185&lt;=Parâmetros!$B$7,"Faixa 1",IF(F185&lt;=Parâmetros!$B$8,"Faixa 2","Faixa 3")))</f>
        <v/>
      </c>
      <c r="H185" s="12" t="str">
        <f aca="false">IF(G185="","",IF(G185="Faixa 1","Rodízio/Sorteio",IF(G185="Faixa 2","Cotação (≥3 propostas)","Chamada pública")))</f>
        <v/>
      </c>
      <c r="I185" s="11"/>
      <c r="J185" s="17" t="str">
        <f aca="false">IF(I185="","",IFERROR(INDEX(Cadastro!$B$5:$B$304,MATCH(I185,Cadastro!$A$5:$A$304,0)),"ID não encontrado"))</f>
        <v/>
      </c>
      <c r="K185" s="17" t="str">
        <f aca="false">IF(I185="","",IFERROR(INDEX(Cadastro!$E$5:$E$304,MATCH(I185,Cadastro!$A$5:$A$304,0)),""))</f>
        <v/>
      </c>
      <c r="L185" s="17" t="str">
        <f aca="false">IF(I185="","",IFERROR(INDEX(Cadastro!$F$5:$F$304,MATCH(I185,Cadastro!$A$5:$A$304,0)),""))</f>
        <v/>
      </c>
      <c r="M185" s="17" t="str">
        <f aca="false">IF(I185="","",IFERROR(INDEX(Cadastro!$I$5:$I$304,MATCH(I185,Cadastro!$A$5:$A$304,0)),""))</f>
        <v/>
      </c>
      <c r="N185" s="19"/>
      <c r="O185" s="13"/>
      <c r="P185" s="12" t="str">
        <f aca="false">IF(OR(B185="",O185=""),"",NETWORKDAYS(B185,O185)-1)</f>
        <v/>
      </c>
      <c r="Q185" s="13"/>
      <c r="R185" s="11"/>
      <c r="S185" s="13"/>
      <c r="T185" s="11"/>
      <c r="U185" s="11"/>
      <c r="V185" s="11"/>
      <c r="W185" s="11"/>
      <c r="X185" s="11"/>
    </row>
    <row r="186" customFormat="false" ht="15" hidden="false" customHeight="false" outlineLevel="0" collapsed="false">
      <c r="A186" s="11"/>
      <c r="B186" s="13"/>
      <c r="C186" s="11"/>
      <c r="D186" s="11"/>
      <c r="E186" s="11"/>
      <c r="F186" s="19"/>
      <c r="G186" s="12" t="str">
        <f aca="false">IF(F186="","",IF(F186&lt;=Parâmetros!$B$7,"Faixa 1",IF(F186&lt;=Parâmetros!$B$8,"Faixa 2","Faixa 3")))</f>
        <v/>
      </c>
      <c r="H186" s="12" t="str">
        <f aca="false">IF(G186="","",IF(G186="Faixa 1","Rodízio/Sorteio",IF(G186="Faixa 2","Cotação (≥3 propostas)","Chamada pública")))</f>
        <v/>
      </c>
      <c r="I186" s="11"/>
      <c r="J186" s="17" t="str">
        <f aca="false">IF(I186="","",IFERROR(INDEX(Cadastro!$B$5:$B$304,MATCH(I186,Cadastro!$A$5:$A$304,0)),"ID não encontrado"))</f>
        <v/>
      </c>
      <c r="K186" s="17" t="str">
        <f aca="false">IF(I186="","",IFERROR(INDEX(Cadastro!$E$5:$E$304,MATCH(I186,Cadastro!$A$5:$A$304,0)),""))</f>
        <v/>
      </c>
      <c r="L186" s="17" t="str">
        <f aca="false">IF(I186="","",IFERROR(INDEX(Cadastro!$F$5:$F$304,MATCH(I186,Cadastro!$A$5:$A$304,0)),""))</f>
        <v/>
      </c>
      <c r="M186" s="17" t="str">
        <f aca="false">IF(I186="","",IFERROR(INDEX(Cadastro!$I$5:$I$304,MATCH(I186,Cadastro!$A$5:$A$304,0)),""))</f>
        <v/>
      </c>
      <c r="N186" s="19"/>
      <c r="O186" s="13"/>
      <c r="P186" s="12" t="str">
        <f aca="false">IF(OR(B186="",O186=""),"",NETWORKDAYS(B186,O186)-1)</f>
        <v/>
      </c>
      <c r="Q186" s="13"/>
      <c r="R186" s="11"/>
      <c r="S186" s="13"/>
      <c r="T186" s="11"/>
      <c r="U186" s="11"/>
      <c r="V186" s="11"/>
      <c r="W186" s="11"/>
      <c r="X186" s="11"/>
    </row>
    <row r="187" customFormat="false" ht="15" hidden="false" customHeight="false" outlineLevel="0" collapsed="false">
      <c r="A187" s="11"/>
      <c r="B187" s="13"/>
      <c r="C187" s="11"/>
      <c r="D187" s="11"/>
      <c r="E187" s="11"/>
      <c r="F187" s="19"/>
      <c r="G187" s="12" t="str">
        <f aca="false">IF(F187="","",IF(F187&lt;=Parâmetros!$B$7,"Faixa 1",IF(F187&lt;=Parâmetros!$B$8,"Faixa 2","Faixa 3")))</f>
        <v/>
      </c>
      <c r="H187" s="12" t="str">
        <f aca="false">IF(G187="","",IF(G187="Faixa 1","Rodízio/Sorteio",IF(G187="Faixa 2","Cotação (≥3 propostas)","Chamada pública")))</f>
        <v/>
      </c>
      <c r="I187" s="11"/>
      <c r="J187" s="17" t="str">
        <f aca="false">IF(I187="","",IFERROR(INDEX(Cadastro!$B$5:$B$304,MATCH(I187,Cadastro!$A$5:$A$304,0)),"ID não encontrado"))</f>
        <v/>
      </c>
      <c r="K187" s="17" t="str">
        <f aca="false">IF(I187="","",IFERROR(INDEX(Cadastro!$E$5:$E$304,MATCH(I187,Cadastro!$A$5:$A$304,0)),""))</f>
        <v/>
      </c>
      <c r="L187" s="17" t="str">
        <f aca="false">IF(I187="","",IFERROR(INDEX(Cadastro!$F$5:$F$304,MATCH(I187,Cadastro!$A$5:$A$304,0)),""))</f>
        <v/>
      </c>
      <c r="M187" s="17" t="str">
        <f aca="false">IF(I187="","",IFERROR(INDEX(Cadastro!$I$5:$I$304,MATCH(I187,Cadastro!$A$5:$A$304,0)),""))</f>
        <v/>
      </c>
      <c r="N187" s="19"/>
      <c r="O187" s="13"/>
      <c r="P187" s="12" t="str">
        <f aca="false">IF(OR(B187="",O187=""),"",NETWORKDAYS(B187,O187)-1)</f>
        <v/>
      </c>
      <c r="Q187" s="13"/>
      <c r="R187" s="11"/>
      <c r="S187" s="13"/>
      <c r="T187" s="11"/>
      <c r="U187" s="11"/>
      <c r="V187" s="11"/>
      <c r="W187" s="11"/>
      <c r="X187" s="11"/>
    </row>
    <row r="188" customFormat="false" ht="15" hidden="false" customHeight="false" outlineLevel="0" collapsed="false">
      <c r="A188" s="11"/>
      <c r="B188" s="13"/>
      <c r="C188" s="11"/>
      <c r="D188" s="11"/>
      <c r="E188" s="11"/>
      <c r="F188" s="19"/>
      <c r="G188" s="12" t="str">
        <f aca="false">IF(F188="","",IF(F188&lt;=Parâmetros!$B$7,"Faixa 1",IF(F188&lt;=Parâmetros!$B$8,"Faixa 2","Faixa 3")))</f>
        <v/>
      </c>
      <c r="H188" s="12" t="str">
        <f aca="false">IF(G188="","",IF(G188="Faixa 1","Rodízio/Sorteio",IF(G188="Faixa 2","Cotação (≥3 propostas)","Chamada pública")))</f>
        <v/>
      </c>
      <c r="I188" s="11"/>
      <c r="J188" s="17" t="str">
        <f aca="false">IF(I188="","",IFERROR(INDEX(Cadastro!$B$5:$B$304,MATCH(I188,Cadastro!$A$5:$A$304,0)),"ID não encontrado"))</f>
        <v/>
      </c>
      <c r="K188" s="17" t="str">
        <f aca="false">IF(I188="","",IFERROR(INDEX(Cadastro!$E$5:$E$304,MATCH(I188,Cadastro!$A$5:$A$304,0)),""))</f>
        <v/>
      </c>
      <c r="L188" s="17" t="str">
        <f aca="false">IF(I188="","",IFERROR(INDEX(Cadastro!$F$5:$F$304,MATCH(I188,Cadastro!$A$5:$A$304,0)),""))</f>
        <v/>
      </c>
      <c r="M188" s="17" t="str">
        <f aca="false">IF(I188="","",IFERROR(INDEX(Cadastro!$I$5:$I$304,MATCH(I188,Cadastro!$A$5:$A$304,0)),""))</f>
        <v/>
      </c>
      <c r="N188" s="19"/>
      <c r="O188" s="13"/>
      <c r="P188" s="12" t="str">
        <f aca="false">IF(OR(B188="",O188=""),"",NETWORKDAYS(B188,O188)-1)</f>
        <v/>
      </c>
      <c r="Q188" s="13"/>
      <c r="R188" s="11"/>
      <c r="S188" s="13"/>
      <c r="T188" s="11"/>
      <c r="U188" s="11"/>
      <c r="V188" s="11"/>
      <c r="W188" s="11"/>
      <c r="X188" s="11"/>
    </row>
    <row r="189" customFormat="false" ht="15" hidden="false" customHeight="false" outlineLevel="0" collapsed="false">
      <c r="A189" s="11"/>
      <c r="B189" s="13"/>
      <c r="C189" s="11"/>
      <c r="D189" s="11"/>
      <c r="E189" s="11"/>
      <c r="F189" s="19"/>
      <c r="G189" s="12" t="str">
        <f aca="false">IF(F189="","",IF(F189&lt;=Parâmetros!$B$7,"Faixa 1",IF(F189&lt;=Parâmetros!$B$8,"Faixa 2","Faixa 3")))</f>
        <v/>
      </c>
      <c r="H189" s="12" t="str">
        <f aca="false">IF(G189="","",IF(G189="Faixa 1","Rodízio/Sorteio",IF(G189="Faixa 2","Cotação (≥3 propostas)","Chamada pública")))</f>
        <v/>
      </c>
      <c r="I189" s="11"/>
      <c r="J189" s="17" t="str">
        <f aca="false">IF(I189="","",IFERROR(INDEX(Cadastro!$B$5:$B$304,MATCH(I189,Cadastro!$A$5:$A$304,0)),"ID não encontrado"))</f>
        <v/>
      </c>
      <c r="K189" s="17" t="str">
        <f aca="false">IF(I189="","",IFERROR(INDEX(Cadastro!$E$5:$E$304,MATCH(I189,Cadastro!$A$5:$A$304,0)),""))</f>
        <v/>
      </c>
      <c r="L189" s="17" t="str">
        <f aca="false">IF(I189="","",IFERROR(INDEX(Cadastro!$F$5:$F$304,MATCH(I189,Cadastro!$A$5:$A$304,0)),""))</f>
        <v/>
      </c>
      <c r="M189" s="17" t="str">
        <f aca="false">IF(I189="","",IFERROR(INDEX(Cadastro!$I$5:$I$304,MATCH(I189,Cadastro!$A$5:$A$304,0)),""))</f>
        <v/>
      </c>
      <c r="N189" s="19"/>
      <c r="O189" s="13"/>
      <c r="P189" s="12" t="str">
        <f aca="false">IF(OR(B189="",O189=""),"",NETWORKDAYS(B189,O189)-1)</f>
        <v/>
      </c>
      <c r="Q189" s="13"/>
      <c r="R189" s="11"/>
      <c r="S189" s="13"/>
      <c r="T189" s="11"/>
      <c r="U189" s="11"/>
      <c r="V189" s="11"/>
      <c r="W189" s="11"/>
      <c r="X189" s="11"/>
    </row>
    <row r="190" customFormat="false" ht="15" hidden="false" customHeight="false" outlineLevel="0" collapsed="false">
      <c r="A190" s="11"/>
      <c r="B190" s="13"/>
      <c r="C190" s="11"/>
      <c r="D190" s="11"/>
      <c r="E190" s="11"/>
      <c r="F190" s="19"/>
      <c r="G190" s="12" t="str">
        <f aca="false">IF(F190="","",IF(F190&lt;=Parâmetros!$B$7,"Faixa 1",IF(F190&lt;=Parâmetros!$B$8,"Faixa 2","Faixa 3")))</f>
        <v/>
      </c>
      <c r="H190" s="12" t="str">
        <f aca="false">IF(G190="","",IF(G190="Faixa 1","Rodízio/Sorteio",IF(G190="Faixa 2","Cotação (≥3 propostas)","Chamada pública")))</f>
        <v/>
      </c>
      <c r="I190" s="11"/>
      <c r="J190" s="17" t="str">
        <f aca="false">IF(I190="","",IFERROR(INDEX(Cadastro!$B$5:$B$304,MATCH(I190,Cadastro!$A$5:$A$304,0)),"ID não encontrado"))</f>
        <v/>
      </c>
      <c r="K190" s="17" t="str">
        <f aca="false">IF(I190="","",IFERROR(INDEX(Cadastro!$E$5:$E$304,MATCH(I190,Cadastro!$A$5:$A$304,0)),""))</f>
        <v/>
      </c>
      <c r="L190" s="17" t="str">
        <f aca="false">IF(I190="","",IFERROR(INDEX(Cadastro!$F$5:$F$304,MATCH(I190,Cadastro!$A$5:$A$304,0)),""))</f>
        <v/>
      </c>
      <c r="M190" s="17" t="str">
        <f aca="false">IF(I190="","",IFERROR(INDEX(Cadastro!$I$5:$I$304,MATCH(I190,Cadastro!$A$5:$A$304,0)),""))</f>
        <v/>
      </c>
      <c r="N190" s="19"/>
      <c r="O190" s="13"/>
      <c r="P190" s="12" t="str">
        <f aca="false">IF(OR(B190="",O190=""),"",NETWORKDAYS(B190,O190)-1)</f>
        <v/>
      </c>
      <c r="Q190" s="13"/>
      <c r="R190" s="11"/>
      <c r="S190" s="13"/>
      <c r="T190" s="11"/>
      <c r="U190" s="11"/>
      <c r="V190" s="11"/>
      <c r="W190" s="11"/>
      <c r="X190" s="11"/>
    </row>
    <row r="191" customFormat="false" ht="15" hidden="false" customHeight="false" outlineLevel="0" collapsed="false">
      <c r="A191" s="11"/>
      <c r="B191" s="13"/>
      <c r="C191" s="11"/>
      <c r="D191" s="11"/>
      <c r="E191" s="11"/>
      <c r="F191" s="19"/>
      <c r="G191" s="12" t="str">
        <f aca="false">IF(F191="","",IF(F191&lt;=Parâmetros!$B$7,"Faixa 1",IF(F191&lt;=Parâmetros!$B$8,"Faixa 2","Faixa 3")))</f>
        <v/>
      </c>
      <c r="H191" s="12" t="str">
        <f aca="false">IF(G191="","",IF(G191="Faixa 1","Rodízio/Sorteio",IF(G191="Faixa 2","Cotação (≥3 propostas)","Chamada pública")))</f>
        <v/>
      </c>
      <c r="I191" s="11"/>
      <c r="J191" s="17" t="str">
        <f aca="false">IF(I191="","",IFERROR(INDEX(Cadastro!$B$5:$B$304,MATCH(I191,Cadastro!$A$5:$A$304,0)),"ID não encontrado"))</f>
        <v/>
      </c>
      <c r="K191" s="17" t="str">
        <f aca="false">IF(I191="","",IFERROR(INDEX(Cadastro!$E$5:$E$304,MATCH(I191,Cadastro!$A$5:$A$304,0)),""))</f>
        <v/>
      </c>
      <c r="L191" s="17" t="str">
        <f aca="false">IF(I191="","",IFERROR(INDEX(Cadastro!$F$5:$F$304,MATCH(I191,Cadastro!$A$5:$A$304,0)),""))</f>
        <v/>
      </c>
      <c r="M191" s="17" t="str">
        <f aca="false">IF(I191="","",IFERROR(INDEX(Cadastro!$I$5:$I$304,MATCH(I191,Cadastro!$A$5:$A$304,0)),""))</f>
        <v/>
      </c>
      <c r="N191" s="19"/>
      <c r="O191" s="13"/>
      <c r="P191" s="12" t="str">
        <f aca="false">IF(OR(B191="",O191=""),"",NETWORKDAYS(B191,O191)-1)</f>
        <v/>
      </c>
      <c r="Q191" s="13"/>
      <c r="R191" s="11"/>
      <c r="S191" s="13"/>
      <c r="T191" s="11"/>
      <c r="U191" s="11"/>
      <c r="V191" s="11"/>
      <c r="W191" s="11"/>
      <c r="X191" s="11"/>
    </row>
    <row r="192" customFormat="false" ht="15" hidden="false" customHeight="false" outlineLevel="0" collapsed="false">
      <c r="A192" s="11"/>
      <c r="B192" s="13"/>
      <c r="C192" s="11"/>
      <c r="D192" s="11"/>
      <c r="E192" s="11"/>
      <c r="F192" s="19"/>
      <c r="G192" s="12" t="str">
        <f aca="false">IF(F192="","",IF(F192&lt;=Parâmetros!$B$7,"Faixa 1",IF(F192&lt;=Parâmetros!$B$8,"Faixa 2","Faixa 3")))</f>
        <v/>
      </c>
      <c r="H192" s="12" t="str">
        <f aca="false">IF(G192="","",IF(G192="Faixa 1","Rodízio/Sorteio",IF(G192="Faixa 2","Cotação (≥3 propostas)","Chamada pública")))</f>
        <v/>
      </c>
      <c r="I192" s="11"/>
      <c r="J192" s="17" t="str">
        <f aca="false">IF(I192="","",IFERROR(INDEX(Cadastro!$B$5:$B$304,MATCH(I192,Cadastro!$A$5:$A$304,0)),"ID não encontrado"))</f>
        <v/>
      </c>
      <c r="K192" s="17" t="str">
        <f aca="false">IF(I192="","",IFERROR(INDEX(Cadastro!$E$5:$E$304,MATCH(I192,Cadastro!$A$5:$A$304,0)),""))</f>
        <v/>
      </c>
      <c r="L192" s="17" t="str">
        <f aca="false">IF(I192="","",IFERROR(INDEX(Cadastro!$F$5:$F$304,MATCH(I192,Cadastro!$A$5:$A$304,0)),""))</f>
        <v/>
      </c>
      <c r="M192" s="17" t="str">
        <f aca="false">IF(I192="","",IFERROR(INDEX(Cadastro!$I$5:$I$304,MATCH(I192,Cadastro!$A$5:$A$304,0)),""))</f>
        <v/>
      </c>
      <c r="N192" s="19"/>
      <c r="O192" s="13"/>
      <c r="P192" s="12" t="str">
        <f aca="false">IF(OR(B192="",O192=""),"",NETWORKDAYS(B192,O192)-1)</f>
        <v/>
      </c>
      <c r="Q192" s="13"/>
      <c r="R192" s="11"/>
      <c r="S192" s="13"/>
      <c r="T192" s="11"/>
      <c r="U192" s="11"/>
      <c r="V192" s="11"/>
      <c r="W192" s="11"/>
      <c r="X192" s="11"/>
    </row>
    <row r="193" customFormat="false" ht="15" hidden="false" customHeight="false" outlineLevel="0" collapsed="false">
      <c r="A193" s="11"/>
      <c r="B193" s="13"/>
      <c r="C193" s="11"/>
      <c r="D193" s="11"/>
      <c r="E193" s="11"/>
      <c r="F193" s="19"/>
      <c r="G193" s="12" t="str">
        <f aca="false">IF(F193="","",IF(F193&lt;=Parâmetros!$B$7,"Faixa 1",IF(F193&lt;=Parâmetros!$B$8,"Faixa 2","Faixa 3")))</f>
        <v/>
      </c>
      <c r="H193" s="12" t="str">
        <f aca="false">IF(G193="","",IF(G193="Faixa 1","Rodízio/Sorteio",IF(G193="Faixa 2","Cotação (≥3 propostas)","Chamada pública")))</f>
        <v/>
      </c>
      <c r="I193" s="11"/>
      <c r="J193" s="17" t="str">
        <f aca="false">IF(I193="","",IFERROR(INDEX(Cadastro!$B$5:$B$304,MATCH(I193,Cadastro!$A$5:$A$304,0)),"ID não encontrado"))</f>
        <v/>
      </c>
      <c r="K193" s="17" t="str">
        <f aca="false">IF(I193="","",IFERROR(INDEX(Cadastro!$E$5:$E$304,MATCH(I193,Cadastro!$A$5:$A$304,0)),""))</f>
        <v/>
      </c>
      <c r="L193" s="17" t="str">
        <f aca="false">IF(I193="","",IFERROR(INDEX(Cadastro!$F$5:$F$304,MATCH(I193,Cadastro!$A$5:$A$304,0)),""))</f>
        <v/>
      </c>
      <c r="M193" s="17" t="str">
        <f aca="false">IF(I193="","",IFERROR(INDEX(Cadastro!$I$5:$I$304,MATCH(I193,Cadastro!$A$5:$A$304,0)),""))</f>
        <v/>
      </c>
      <c r="N193" s="19"/>
      <c r="O193" s="13"/>
      <c r="P193" s="12" t="str">
        <f aca="false">IF(OR(B193="",O193=""),"",NETWORKDAYS(B193,O193)-1)</f>
        <v/>
      </c>
      <c r="Q193" s="13"/>
      <c r="R193" s="11"/>
      <c r="S193" s="13"/>
      <c r="T193" s="11"/>
      <c r="U193" s="11"/>
      <c r="V193" s="11"/>
      <c r="W193" s="11"/>
      <c r="X193" s="11"/>
    </row>
    <row r="194" customFormat="false" ht="15" hidden="false" customHeight="false" outlineLevel="0" collapsed="false">
      <c r="A194" s="11"/>
      <c r="B194" s="13"/>
      <c r="C194" s="11"/>
      <c r="D194" s="11"/>
      <c r="E194" s="11"/>
      <c r="F194" s="19"/>
      <c r="G194" s="12" t="str">
        <f aca="false">IF(F194="","",IF(F194&lt;=Parâmetros!$B$7,"Faixa 1",IF(F194&lt;=Parâmetros!$B$8,"Faixa 2","Faixa 3")))</f>
        <v/>
      </c>
      <c r="H194" s="12" t="str">
        <f aca="false">IF(G194="","",IF(G194="Faixa 1","Rodízio/Sorteio",IF(G194="Faixa 2","Cotação (≥3 propostas)","Chamada pública")))</f>
        <v/>
      </c>
      <c r="I194" s="11"/>
      <c r="J194" s="17" t="str">
        <f aca="false">IF(I194="","",IFERROR(INDEX(Cadastro!$B$5:$B$304,MATCH(I194,Cadastro!$A$5:$A$304,0)),"ID não encontrado"))</f>
        <v/>
      </c>
      <c r="K194" s="17" t="str">
        <f aca="false">IF(I194="","",IFERROR(INDEX(Cadastro!$E$5:$E$304,MATCH(I194,Cadastro!$A$5:$A$304,0)),""))</f>
        <v/>
      </c>
      <c r="L194" s="17" t="str">
        <f aca="false">IF(I194="","",IFERROR(INDEX(Cadastro!$F$5:$F$304,MATCH(I194,Cadastro!$A$5:$A$304,0)),""))</f>
        <v/>
      </c>
      <c r="M194" s="17" t="str">
        <f aca="false">IF(I194="","",IFERROR(INDEX(Cadastro!$I$5:$I$304,MATCH(I194,Cadastro!$A$5:$A$304,0)),""))</f>
        <v/>
      </c>
      <c r="N194" s="19"/>
      <c r="O194" s="13"/>
      <c r="P194" s="12" t="str">
        <f aca="false">IF(OR(B194="",O194=""),"",NETWORKDAYS(B194,O194)-1)</f>
        <v/>
      </c>
      <c r="Q194" s="13"/>
      <c r="R194" s="11"/>
      <c r="S194" s="13"/>
      <c r="T194" s="11"/>
      <c r="U194" s="11"/>
      <c r="V194" s="11"/>
      <c r="W194" s="11"/>
      <c r="X194" s="11"/>
    </row>
    <row r="195" customFormat="false" ht="15" hidden="false" customHeight="false" outlineLevel="0" collapsed="false">
      <c r="A195" s="11"/>
      <c r="B195" s="13"/>
      <c r="C195" s="11"/>
      <c r="D195" s="11"/>
      <c r="E195" s="11"/>
      <c r="F195" s="19"/>
      <c r="G195" s="12" t="str">
        <f aca="false">IF(F195="","",IF(F195&lt;=Parâmetros!$B$7,"Faixa 1",IF(F195&lt;=Parâmetros!$B$8,"Faixa 2","Faixa 3")))</f>
        <v/>
      </c>
      <c r="H195" s="12" t="str">
        <f aca="false">IF(G195="","",IF(G195="Faixa 1","Rodízio/Sorteio",IF(G195="Faixa 2","Cotação (≥3 propostas)","Chamada pública")))</f>
        <v/>
      </c>
      <c r="I195" s="11"/>
      <c r="J195" s="17" t="str">
        <f aca="false">IF(I195="","",IFERROR(INDEX(Cadastro!$B$5:$B$304,MATCH(I195,Cadastro!$A$5:$A$304,0)),"ID não encontrado"))</f>
        <v/>
      </c>
      <c r="K195" s="17" t="str">
        <f aca="false">IF(I195="","",IFERROR(INDEX(Cadastro!$E$5:$E$304,MATCH(I195,Cadastro!$A$5:$A$304,0)),""))</f>
        <v/>
      </c>
      <c r="L195" s="17" t="str">
        <f aca="false">IF(I195="","",IFERROR(INDEX(Cadastro!$F$5:$F$304,MATCH(I195,Cadastro!$A$5:$A$304,0)),""))</f>
        <v/>
      </c>
      <c r="M195" s="17" t="str">
        <f aca="false">IF(I195="","",IFERROR(INDEX(Cadastro!$I$5:$I$304,MATCH(I195,Cadastro!$A$5:$A$304,0)),""))</f>
        <v/>
      </c>
      <c r="N195" s="19"/>
      <c r="O195" s="13"/>
      <c r="P195" s="12" t="str">
        <f aca="false">IF(OR(B195="",O195=""),"",NETWORKDAYS(B195,O195)-1)</f>
        <v/>
      </c>
      <c r="Q195" s="13"/>
      <c r="R195" s="11"/>
      <c r="S195" s="13"/>
      <c r="T195" s="11"/>
      <c r="U195" s="11"/>
      <c r="V195" s="11"/>
      <c r="W195" s="11"/>
      <c r="X195" s="11"/>
    </row>
    <row r="196" customFormat="false" ht="15" hidden="false" customHeight="false" outlineLevel="0" collapsed="false">
      <c r="A196" s="11"/>
      <c r="B196" s="13"/>
      <c r="C196" s="11"/>
      <c r="D196" s="11"/>
      <c r="E196" s="11"/>
      <c r="F196" s="19"/>
      <c r="G196" s="12" t="str">
        <f aca="false">IF(F196="","",IF(F196&lt;=Parâmetros!$B$7,"Faixa 1",IF(F196&lt;=Parâmetros!$B$8,"Faixa 2","Faixa 3")))</f>
        <v/>
      </c>
      <c r="H196" s="12" t="str">
        <f aca="false">IF(G196="","",IF(G196="Faixa 1","Rodízio/Sorteio",IF(G196="Faixa 2","Cotação (≥3 propostas)","Chamada pública")))</f>
        <v/>
      </c>
      <c r="I196" s="11"/>
      <c r="J196" s="17" t="str">
        <f aca="false">IF(I196="","",IFERROR(INDEX(Cadastro!$B$5:$B$304,MATCH(I196,Cadastro!$A$5:$A$304,0)),"ID não encontrado"))</f>
        <v/>
      </c>
      <c r="K196" s="17" t="str">
        <f aca="false">IF(I196="","",IFERROR(INDEX(Cadastro!$E$5:$E$304,MATCH(I196,Cadastro!$A$5:$A$304,0)),""))</f>
        <v/>
      </c>
      <c r="L196" s="17" t="str">
        <f aca="false">IF(I196="","",IFERROR(INDEX(Cadastro!$F$5:$F$304,MATCH(I196,Cadastro!$A$5:$A$304,0)),""))</f>
        <v/>
      </c>
      <c r="M196" s="17" t="str">
        <f aca="false">IF(I196="","",IFERROR(INDEX(Cadastro!$I$5:$I$304,MATCH(I196,Cadastro!$A$5:$A$304,0)),""))</f>
        <v/>
      </c>
      <c r="N196" s="19"/>
      <c r="O196" s="13"/>
      <c r="P196" s="12" t="str">
        <f aca="false">IF(OR(B196="",O196=""),"",NETWORKDAYS(B196,O196)-1)</f>
        <v/>
      </c>
      <c r="Q196" s="13"/>
      <c r="R196" s="11"/>
      <c r="S196" s="13"/>
      <c r="T196" s="11"/>
      <c r="U196" s="11"/>
      <c r="V196" s="11"/>
      <c r="W196" s="11"/>
      <c r="X196" s="11"/>
    </row>
    <row r="197" customFormat="false" ht="15" hidden="false" customHeight="false" outlineLevel="0" collapsed="false">
      <c r="A197" s="11"/>
      <c r="B197" s="13"/>
      <c r="C197" s="11"/>
      <c r="D197" s="11"/>
      <c r="E197" s="11"/>
      <c r="F197" s="19"/>
      <c r="G197" s="12" t="str">
        <f aca="false">IF(F197="","",IF(F197&lt;=Parâmetros!$B$7,"Faixa 1",IF(F197&lt;=Parâmetros!$B$8,"Faixa 2","Faixa 3")))</f>
        <v/>
      </c>
      <c r="H197" s="12" t="str">
        <f aca="false">IF(G197="","",IF(G197="Faixa 1","Rodízio/Sorteio",IF(G197="Faixa 2","Cotação (≥3 propostas)","Chamada pública")))</f>
        <v/>
      </c>
      <c r="I197" s="11"/>
      <c r="J197" s="17" t="str">
        <f aca="false">IF(I197="","",IFERROR(INDEX(Cadastro!$B$5:$B$304,MATCH(I197,Cadastro!$A$5:$A$304,0)),"ID não encontrado"))</f>
        <v/>
      </c>
      <c r="K197" s="17" t="str">
        <f aca="false">IF(I197="","",IFERROR(INDEX(Cadastro!$E$5:$E$304,MATCH(I197,Cadastro!$A$5:$A$304,0)),""))</f>
        <v/>
      </c>
      <c r="L197" s="17" t="str">
        <f aca="false">IF(I197="","",IFERROR(INDEX(Cadastro!$F$5:$F$304,MATCH(I197,Cadastro!$A$5:$A$304,0)),""))</f>
        <v/>
      </c>
      <c r="M197" s="17" t="str">
        <f aca="false">IF(I197="","",IFERROR(INDEX(Cadastro!$I$5:$I$304,MATCH(I197,Cadastro!$A$5:$A$304,0)),""))</f>
        <v/>
      </c>
      <c r="N197" s="19"/>
      <c r="O197" s="13"/>
      <c r="P197" s="12" t="str">
        <f aca="false">IF(OR(B197="",O197=""),"",NETWORKDAYS(B197,O197)-1)</f>
        <v/>
      </c>
      <c r="Q197" s="13"/>
      <c r="R197" s="11"/>
      <c r="S197" s="13"/>
      <c r="T197" s="11"/>
      <c r="U197" s="11"/>
      <c r="V197" s="11"/>
      <c r="W197" s="11"/>
      <c r="X197" s="11"/>
    </row>
    <row r="198" customFormat="false" ht="15" hidden="false" customHeight="false" outlineLevel="0" collapsed="false">
      <c r="A198" s="11"/>
      <c r="B198" s="13"/>
      <c r="C198" s="11"/>
      <c r="D198" s="11"/>
      <c r="E198" s="11"/>
      <c r="F198" s="19"/>
      <c r="G198" s="12" t="str">
        <f aca="false">IF(F198="","",IF(F198&lt;=Parâmetros!$B$7,"Faixa 1",IF(F198&lt;=Parâmetros!$B$8,"Faixa 2","Faixa 3")))</f>
        <v/>
      </c>
      <c r="H198" s="12" t="str">
        <f aca="false">IF(G198="","",IF(G198="Faixa 1","Rodízio/Sorteio",IF(G198="Faixa 2","Cotação (≥3 propostas)","Chamada pública")))</f>
        <v/>
      </c>
      <c r="I198" s="11"/>
      <c r="J198" s="17" t="str">
        <f aca="false">IF(I198="","",IFERROR(INDEX(Cadastro!$B$5:$B$304,MATCH(I198,Cadastro!$A$5:$A$304,0)),"ID não encontrado"))</f>
        <v/>
      </c>
      <c r="K198" s="17" t="str">
        <f aca="false">IF(I198="","",IFERROR(INDEX(Cadastro!$E$5:$E$304,MATCH(I198,Cadastro!$A$5:$A$304,0)),""))</f>
        <v/>
      </c>
      <c r="L198" s="17" t="str">
        <f aca="false">IF(I198="","",IFERROR(INDEX(Cadastro!$F$5:$F$304,MATCH(I198,Cadastro!$A$5:$A$304,0)),""))</f>
        <v/>
      </c>
      <c r="M198" s="17" t="str">
        <f aca="false">IF(I198="","",IFERROR(INDEX(Cadastro!$I$5:$I$304,MATCH(I198,Cadastro!$A$5:$A$304,0)),""))</f>
        <v/>
      </c>
      <c r="N198" s="19"/>
      <c r="O198" s="13"/>
      <c r="P198" s="12" t="str">
        <f aca="false">IF(OR(B198="",O198=""),"",NETWORKDAYS(B198,O198)-1)</f>
        <v/>
      </c>
      <c r="Q198" s="13"/>
      <c r="R198" s="11"/>
      <c r="S198" s="13"/>
      <c r="T198" s="11"/>
      <c r="U198" s="11"/>
      <c r="V198" s="11"/>
      <c r="W198" s="11"/>
      <c r="X198" s="11"/>
    </row>
    <row r="199" customFormat="false" ht="15" hidden="false" customHeight="false" outlineLevel="0" collapsed="false">
      <c r="A199" s="11"/>
      <c r="B199" s="13"/>
      <c r="C199" s="11"/>
      <c r="D199" s="11"/>
      <c r="E199" s="11"/>
      <c r="F199" s="19"/>
      <c r="G199" s="12" t="str">
        <f aca="false">IF(F199="","",IF(F199&lt;=Parâmetros!$B$7,"Faixa 1",IF(F199&lt;=Parâmetros!$B$8,"Faixa 2","Faixa 3")))</f>
        <v/>
      </c>
      <c r="H199" s="12" t="str">
        <f aca="false">IF(G199="","",IF(G199="Faixa 1","Rodízio/Sorteio",IF(G199="Faixa 2","Cotação (≥3 propostas)","Chamada pública")))</f>
        <v/>
      </c>
      <c r="I199" s="11"/>
      <c r="J199" s="17" t="str">
        <f aca="false">IF(I199="","",IFERROR(INDEX(Cadastro!$B$5:$B$304,MATCH(I199,Cadastro!$A$5:$A$304,0)),"ID não encontrado"))</f>
        <v/>
      </c>
      <c r="K199" s="17" t="str">
        <f aca="false">IF(I199="","",IFERROR(INDEX(Cadastro!$E$5:$E$304,MATCH(I199,Cadastro!$A$5:$A$304,0)),""))</f>
        <v/>
      </c>
      <c r="L199" s="17" t="str">
        <f aca="false">IF(I199="","",IFERROR(INDEX(Cadastro!$F$5:$F$304,MATCH(I199,Cadastro!$A$5:$A$304,0)),""))</f>
        <v/>
      </c>
      <c r="M199" s="17" t="str">
        <f aca="false">IF(I199="","",IFERROR(INDEX(Cadastro!$I$5:$I$304,MATCH(I199,Cadastro!$A$5:$A$304,0)),""))</f>
        <v/>
      </c>
      <c r="N199" s="19"/>
      <c r="O199" s="13"/>
      <c r="P199" s="12" t="str">
        <f aca="false">IF(OR(B199="",O199=""),"",NETWORKDAYS(B199,O199)-1)</f>
        <v/>
      </c>
      <c r="Q199" s="13"/>
      <c r="R199" s="11"/>
      <c r="S199" s="13"/>
      <c r="T199" s="11"/>
      <c r="U199" s="11"/>
      <c r="V199" s="11"/>
      <c r="W199" s="11"/>
      <c r="X199" s="11"/>
    </row>
    <row r="200" customFormat="false" ht="15" hidden="false" customHeight="false" outlineLevel="0" collapsed="false">
      <c r="A200" s="11"/>
      <c r="B200" s="13"/>
      <c r="C200" s="11"/>
      <c r="D200" s="11"/>
      <c r="E200" s="11"/>
      <c r="F200" s="19"/>
      <c r="G200" s="12" t="str">
        <f aca="false">IF(F200="","",IF(F200&lt;=Parâmetros!$B$7,"Faixa 1",IF(F200&lt;=Parâmetros!$B$8,"Faixa 2","Faixa 3")))</f>
        <v/>
      </c>
      <c r="H200" s="12" t="str">
        <f aca="false">IF(G200="","",IF(G200="Faixa 1","Rodízio/Sorteio",IF(G200="Faixa 2","Cotação (≥3 propostas)","Chamada pública")))</f>
        <v/>
      </c>
      <c r="I200" s="11"/>
      <c r="J200" s="17" t="str">
        <f aca="false">IF(I200="","",IFERROR(INDEX(Cadastro!$B$5:$B$304,MATCH(I200,Cadastro!$A$5:$A$304,0)),"ID não encontrado"))</f>
        <v/>
      </c>
      <c r="K200" s="17" t="str">
        <f aca="false">IF(I200="","",IFERROR(INDEX(Cadastro!$E$5:$E$304,MATCH(I200,Cadastro!$A$5:$A$304,0)),""))</f>
        <v/>
      </c>
      <c r="L200" s="17" t="str">
        <f aca="false">IF(I200="","",IFERROR(INDEX(Cadastro!$F$5:$F$304,MATCH(I200,Cadastro!$A$5:$A$304,0)),""))</f>
        <v/>
      </c>
      <c r="M200" s="17" t="str">
        <f aca="false">IF(I200="","",IFERROR(INDEX(Cadastro!$I$5:$I$304,MATCH(I200,Cadastro!$A$5:$A$304,0)),""))</f>
        <v/>
      </c>
      <c r="N200" s="19"/>
      <c r="O200" s="13"/>
      <c r="P200" s="12" t="str">
        <f aca="false">IF(OR(B200="",O200=""),"",NETWORKDAYS(B200,O200)-1)</f>
        <v/>
      </c>
      <c r="Q200" s="13"/>
      <c r="R200" s="11"/>
      <c r="S200" s="13"/>
      <c r="T200" s="11"/>
      <c r="U200" s="11"/>
      <c r="V200" s="11"/>
      <c r="W200" s="11"/>
      <c r="X200" s="11"/>
    </row>
    <row r="201" customFormat="false" ht="15" hidden="false" customHeight="false" outlineLevel="0" collapsed="false">
      <c r="A201" s="11"/>
      <c r="B201" s="13"/>
      <c r="C201" s="11"/>
      <c r="D201" s="11"/>
      <c r="E201" s="11"/>
      <c r="F201" s="19"/>
      <c r="G201" s="12" t="str">
        <f aca="false">IF(F201="","",IF(F201&lt;=Parâmetros!$B$7,"Faixa 1",IF(F201&lt;=Parâmetros!$B$8,"Faixa 2","Faixa 3")))</f>
        <v/>
      </c>
      <c r="H201" s="12" t="str">
        <f aca="false">IF(G201="","",IF(G201="Faixa 1","Rodízio/Sorteio",IF(G201="Faixa 2","Cotação (≥3 propostas)","Chamada pública")))</f>
        <v/>
      </c>
      <c r="I201" s="11"/>
      <c r="J201" s="17" t="str">
        <f aca="false">IF(I201="","",IFERROR(INDEX(Cadastro!$B$5:$B$304,MATCH(I201,Cadastro!$A$5:$A$304,0)),"ID não encontrado"))</f>
        <v/>
      </c>
      <c r="K201" s="17" t="str">
        <f aca="false">IF(I201="","",IFERROR(INDEX(Cadastro!$E$5:$E$304,MATCH(I201,Cadastro!$A$5:$A$304,0)),""))</f>
        <v/>
      </c>
      <c r="L201" s="17" t="str">
        <f aca="false">IF(I201="","",IFERROR(INDEX(Cadastro!$F$5:$F$304,MATCH(I201,Cadastro!$A$5:$A$304,0)),""))</f>
        <v/>
      </c>
      <c r="M201" s="17" t="str">
        <f aca="false">IF(I201="","",IFERROR(INDEX(Cadastro!$I$5:$I$304,MATCH(I201,Cadastro!$A$5:$A$304,0)),""))</f>
        <v/>
      </c>
      <c r="N201" s="19"/>
      <c r="O201" s="13"/>
      <c r="P201" s="12" t="str">
        <f aca="false">IF(OR(B201="",O201=""),"",NETWORKDAYS(B201,O201)-1)</f>
        <v/>
      </c>
      <c r="Q201" s="13"/>
      <c r="R201" s="11"/>
      <c r="S201" s="13"/>
      <c r="T201" s="11"/>
      <c r="U201" s="11"/>
      <c r="V201" s="11"/>
      <c r="W201" s="11"/>
      <c r="X201" s="11"/>
    </row>
    <row r="202" customFormat="false" ht="15" hidden="false" customHeight="false" outlineLevel="0" collapsed="false">
      <c r="A202" s="11"/>
      <c r="B202" s="13"/>
      <c r="C202" s="11"/>
      <c r="D202" s="11"/>
      <c r="E202" s="11"/>
      <c r="F202" s="19"/>
      <c r="G202" s="12" t="str">
        <f aca="false">IF(F202="","",IF(F202&lt;=Parâmetros!$B$7,"Faixa 1",IF(F202&lt;=Parâmetros!$B$8,"Faixa 2","Faixa 3")))</f>
        <v/>
      </c>
      <c r="H202" s="12" t="str">
        <f aca="false">IF(G202="","",IF(G202="Faixa 1","Rodízio/Sorteio",IF(G202="Faixa 2","Cotação (≥3 propostas)","Chamada pública")))</f>
        <v/>
      </c>
      <c r="I202" s="11"/>
      <c r="J202" s="17" t="str">
        <f aca="false">IF(I202="","",IFERROR(INDEX(Cadastro!$B$5:$B$304,MATCH(I202,Cadastro!$A$5:$A$304,0)),"ID não encontrado"))</f>
        <v/>
      </c>
      <c r="K202" s="17" t="str">
        <f aca="false">IF(I202="","",IFERROR(INDEX(Cadastro!$E$5:$E$304,MATCH(I202,Cadastro!$A$5:$A$304,0)),""))</f>
        <v/>
      </c>
      <c r="L202" s="17" t="str">
        <f aca="false">IF(I202="","",IFERROR(INDEX(Cadastro!$F$5:$F$304,MATCH(I202,Cadastro!$A$5:$A$304,0)),""))</f>
        <v/>
      </c>
      <c r="M202" s="17" t="str">
        <f aca="false">IF(I202="","",IFERROR(INDEX(Cadastro!$I$5:$I$304,MATCH(I202,Cadastro!$A$5:$A$304,0)),""))</f>
        <v/>
      </c>
      <c r="N202" s="19"/>
      <c r="O202" s="13"/>
      <c r="P202" s="12" t="str">
        <f aca="false">IF(OR(B202="",O202=""),"",NETWORKDAYS(B202,O202)-1)</f>
        <v/>
      </c>
      <c r="Q202" s="13"/>
      <c r="R202" s="11"/>
      <c r="S202" s="13"/>
      <c r="T202" s="11"/>
      <c r="U202" s="11"/>
      <c r="V202" s="11"/>
      <c r="W202" s="11"/>
      <c r="X202" s="11"/>
    </row>
    <row r="203" customFormat="false" ht="15" hidden="false" customHeight="false" outlineLevel="0" collapsed="false">
      <c r="A203" s="11"/>
      <c r="B203" s="13"/>
      <c r="C203" s="11"/>
      <c r="D203" s="11"/>
      <c r="E203" s="11"/>
      <c r="F203" s="19"/>
      <c r="G203" s="12" t="str">
        <f aca="false">IF(F203="","",IF(F203&lt;=Parâmetros!$B$7,"Faixa 1",IF(F203&lt;=Parâmetros!$B$8,"Faixa 2","Faixa 3")))</f>
        <v/>
      </c>
      <c r="H203" s="12" t="str">
        <f aca="false">IF(G203="","",IF(G203="Faixa 1","Rodízio/Sorteio",IF(G203="Faixa 2","Cotação (≥3 propostas)","Chamada pública")))</f>
        <v/>
      </c>
      <c r="I203" s="11"/>
      <c r="J203" s="17" t="str">
        <f aca="false">IF(I203="","",IFERROR(INDEX(Cadastro!$B$5:$B$304,MATCH(I203,Cadastro!$A$5:$A$304,0)),"ID não encontrado"))</f>
        <v/>
      </c>
      <c r="K203" s="17" t="str">
        <f aca="false">IF(I203="","",IFERROR(INDEX(Cadastro!$E$5:$E$304,MATCH(I203,Cadastro!$A$5:$A$304,0)),""))</f>
        <v/>
      </c>
      <c r="L203" s="17" t="str">
        <f aca="false">IF(I203="","",IFERROR(INDEX(Cadastro!$F$5:$F$304,MATCH(I203,Cadastro!$A$5:$A$304,0)),""))</f>
        <v/>
      </c>
      <c r="M203" s="17" t="str">
        <f aca="false">IF(I203="","",IFERROR(INDEX(Cadastro!$I$5:$I$304,MATCH(I203,Cadastro!$A$5:$A$304,0)),""))</f>
        <v/>
      </c>
      <c r="N203" s="19"/>
      <c r="O203" s="13"/>
      <c r="P203" s="12" t="str">
        <f aca="false">IF(OR(B203="",O203=""),"",NETWORKDAYS(B203,O203)-1)</f>
        <v/>
      </c>
      <c r="Q203" s="13"/>
      <c r="R203" s="11"/>
      <c r="S203" s="13"/>
      <c r="T203" s="11"/>
      <c r="U203" s="11"/>
      <c r="V203" s="11"/>
      <c r="W203" s="11"/>
      <c r="X203" s="11"/>
    </row>
    <row r="204" customFormat="false" ht="15" hidden="false" customHeight="false" outlineLevel="0" collapsed="false">
      <c r="A204" s="11"/>
      <c r="B204" s="13"/>
      <c r="C204" s="11"/>
      <c r="D204" s="11"/>
      <c r="E204" s="11"/>
      <c r="F204" s="19"/>
      <c r="G204" s="12" t="str">
        <f aca="false">IF(F204="","",IF(F204&lt;=Parâmetros!$B$7,"Faixa 1",IF(F204&lt;=Parâmetros!$B$8,"Faixa 2","Faixa 3")))</f>
        <v/>
      </c>
      <c r="H204" s="12" t="str">
        <f aca="false">IF(G204="","",IF(G204="Faixa 1","Rodízio/Sorteio",IF(G204="Faixa 2","Cotação (≥3 propostas)","Chamada pública")))</f>
        <v/>
      </c>
      <c r="I204" s="11"/>
      <c r="J204" s="17" t="str">
        <f aca="false">IF(I204="","",IFERROR(INDEX(Cadastro!$B$5:$B$304,MATCH(I204,Cadastro!$A$5:$A$304,0)),"ID não encontrado"))</f>
        <v/>
      </c>
      <c r="K204" s="17" t="str">
        <f aca="false">IF(I204="","",IFERROR(INDEX(Cadastro!$E$5:$E$304,MATCH(I204,Cadastro!$A$5:$A$304,0)),""))</f>
        <v/>
      </c>
      <c r="L204" s="17" t="str">
        <f aca="false">IF(I204="","",IFERROR(INDEX(Cadastro!$F$5:$F$304,MATCH(I204,Cadastro!$A$5:$A$304,0)),""))</f>
        <v/>
      </c>
      <c r="M204" s="17" t="str">
        <f aca="false">IF(I204="","",IFERROR(INDEX(Cadastro!$I$5:$I$304,MATCH(I204,Cadastro!$A$5:$A$304,0)),""))</f>
        <v/>
      </c>
      <c r="N204" s="19"/>
      <c r="O204" s="13"/>
      <c r="P204" s="12" t="str">
        <f aca="false">IF(OR(B204="",O204=""),"",NETWORKDAYS(B204,O204)-1)</f>
        <v/>
      </c>
      <c r="Q204" s="13"/>
      <c r="R204" s="11"/>
      <c r="S204" s="13"/>
      <c r="T204" s="11"/>
      <c r="U204" s="11"/>
      <c r="V204" s="11"/>
      <c r="W204" s="11"/>
      <c r="X204" s="11"/>
    </row>
    <row r="205" customFormat="false" ht="15" hidden="false" customHeight="false" outlineLevel="0" collapsed="false">
      <c r="A205" s="11"/>
      <c r="B205" s="13"/>
      <c r="C205" s="11"/>
      <c r="D205" s="11"/>
      <c r="E205" s="11"/>
      <c r="F205" s="19"/>
      <c r="G205" s="12" t="str">
        <f aca="false">IF(F205="","",IF(F205&lt;=Parâmetros!$B$7,"Faixa 1",IF(F205&lt;=Parâmetros!$B$8,"Faixa 2","Faixa 3")))</f>
        <v/>
      </c>
      <c r="H205" s="12" t="str">
        <f aca="false">IF(G205="","",IF(G205="Faixa 1","Rodízio/Sorteio",IF(G205="Faixa 2","Cotação (≥3 propostas)","Chamada pública")))</f>
        <v/>
      </c>
      <c r="I205" s="11"/>
      <c r="J205" s="17" t="str">
        <f aca="false">IF(I205="","",IFERROR(INDEX(Cadastro!$B$5:$B$304,MATCH(I205,Cadastro!$A$5:$A$304,0)),"ID não encontrado"))</f>
        <v/>
      </c>
      <c r="K205" s="17" t="str">
        <f aca="false">IF(I205="","",IFERROR(INDEX(Cadastro!$E$5:$E$304,MATCH(I205,Cadastro!$A$5:$A$304,0)),""))</f>
        <v/>
      </c>
      <c r="L205" s="17" t="str">
        <f aca="false">IF(I205="","",IFERROR(INDEX(Cadastro!$F$5:$F$304,MATCH(I205,Cadastro!$A$5:$A$304,0)),""))</f>
        <v/>
      </c>
      <c r="M205" s="17" t="str">
        <f aca="false">IF(I205="","",IFERROR(INDEX(Cadastro!$I$5:$I$304,MATCH(I205,Cadastro!$A$5:$A$304,0)),""))</f>
        <v/>
      </c>
      <c r="N205" s="19"/>
      <c r="O205" s="13"/>
      <c r="P205" s="12" t="str">
        <f aca="false">IF(OR(B205="",O205=""),"",NETWORKDAYS(B205,O205)-1)</f>
        <v/>
      </c>
      <c r="Q205" s="13"/>
      <c r="R205" s="11"/>
      <c r="S205" s="13"/>
      <c r="T205" s="11"/>
      <c r="U205" s="11"/>
      <c r="V205" s="11"/>
      <c r="W205" s="11"/>
      <c r="X205" s="11"/>
    </row>
    <row r="206" customFormat="false" ht="15" hidden="false" customHeight="false" outlineLevel="0" collapsed="false">
      <c r="A206" s="11"/>
      <c r="B206" s="13"/>
      <c r="C206" s="11"/>
      <c r="D206" s="11"/>
      <c r="E206" s="11"/>
      <c r="F206" s="19"/>
      <c r="G206" s="12" t="str">
        <f aca="false">IF(F206="","",IF(F206&lt;=Parâmetros!$B$7,"Faixa 1",IF(F206&lt;=Parâmetros!$B$8,"Faixa 2","Faixa 3")))</f>
        <v/>
      </c>
      <c r="H206" s="12" t="str">
        <f aca="false">IF(G206="","",IF(G206="Faixa 1","Rodízio/Sorteio",IF(G206="Faixa 2","Cotação (≥3 propostas)","Chamada pública")))</f>
        <v/>
      </c>
      <c r="I206" s="11"/>
      <c r="J206" s="17" t="str">
        <f aca="false">IF(I206="","",IFERROR(INDEX(Cadastro!$B$5:$B$304,MATCH(I206,Cadastro!$A$5:$A$304,0)),"ID não encontrado"))</f>
        <v/>
      </c>
      <c r="K206" s="17" t="str">
        <f aca="false">IF(I206="","",IFERROR(INDEX(Cadastro!$E$5:$E$304,MATCH(I206,Cadastro!$A$5:$A$304,0)),""))</f>
        <v/>
      </c>
      <c r="L206" s="17" t="str">
        <f aca="false">IF(I206="","",IFERROR(INDEX(Cadastro!$F$5:$F$304,MATCH(I206,Cadastro!$A$5:$A$304,0)),""))</f>
        <v/>
      </c>
      <c r="M206" s="17" t="str">
        <f aca="false">IF(I206="","",IFERROR(INDEX(Cadastro!$I$5:$I$304,MATCH(I206,Cadastro!$A$5:$A$304,0)),""))</f>
        <v/>
      </c>
      <c r="N206" s="19"/>
      <c r="O206" s="13"/>
      <c r="P206" s="12" t="str">
        <f aca="false">IF(OR(B206="",O206=""),"",NETWORKDAYS(B206,O206)-1)</f>
        <v/>
      </c>
      <c r="Q206" s="13"/>
      <c r="R206" s="11"/>
      <c r="S206" s="13"/>
      <c r="T206" s="11"/>
      <c r="U206" s="11"/>
      <c r="V206" s="11"/>
      <c r="W206" s="11"/>
      <c r="X206" s="11"/>
    </row>
    <row r="207" customFormat="false" ht="15" hidden="false" customHeight="false" outlineLevel="0" collapsed="false">
      <c r="A207" s="11"/>
      <c r="B207" s="13"/>
      <c r="C207" s="11"/>
      <c r="D207" s="11"/>
      <c r="E207" s="11"/>
      <c r="F207" s="19"/>
      <c r="G207" s="12" t="str">
        <f aca="false">IF(F207="","",IF(F207&lt;=Parâmetros!$B$7,"Faixa 1",IF(F207&lt;=Parâmetros!$B$8,"Faixa 2","Faixa 3")))</f>
        <v/>
      </c>
      <c r="H207" s="12" t="str">
        <f aca="false">IF(G207="","",IF(G207="Faixa 1","Rodízio/Sorteio",IF(G207="Faixa 2","Cotação (≥3 propostas)","Chamada pública")))</f>
        <v/>
      </c>
      <c r="I207" s="11"/>
      <c r="J207" s="17" t="str">
        <f aca="false">IF(I207="","",IFERROR(INDEX(Cadastro!$B$5:$B$304,MATCH(I207,Cadastro!$A$5:$A$304,0)),"ID não encontrado"))</f>
        <v/>
      </c>
      <c r="K207" s="17" t="str">
        <f aca="false">IF(I207="","",IFERROR(INDEX(Cadastro!$E$5:$E$304,MATCH(I207,Cadastro!$A$5:$A$304,0)),""))</f>
        <v/>
      </c>
      <c r="L207" s="17" t="str">
        <f aca="false">IF(I207="","",IFERROR(INDEX(Cadastro!$F$5:$F$304,MATCH(I207,Cadastro!$A$5:$A$304,0)),""))</f>
        <v/>
      </c>
      <c r="M207" s="17" t="str">
        <f aca="false">IF(I207="","",IFERROR(INDEX(Cadastro!$I$5:$I$304,MATCH(I207,Cadastro!$A$5:$A$304,0)),""))</f>
        <v/>
      </c>
      <c r="N207" s="19"/>
      <c r="O207" s="13"/>
      <c r="P207" s="12" t="str">
        <f aca="false">IF(OR(B207="",O207=""),"",NETWORKDAYS(B207,O207)-1)</f>
        <v/>
      </c>
      <c r="Q207" s="13"/>
      <c r="R207" s="11"/>
      <c r="S207" s="13"/>
      <c r="T207" s="11"/>
      <c r="U207" s="11"/>
      <c r="V207" s="11"/>
      <c r="W207" s="11"/>
      <c r="X207" s="11"/>
    </row>
    <row r="208" customFormat="false" ht="15" hidden="false" customHeight="false" outlineLevel="0" collapsed="false">
      <c r="A208" s="11"/>
      <c r="B208" s="13"/>
      <c r="C208" s="11"/>
      <c r="D208" s="11"/>
      <c r="E208" s="11"/>
      <c r="F208" s="19"/>
      <c r="G208" s="12" t="str">
        <f aca="false">IF(F208="","",IF(F208&lt;=Parâmetros!$B$7,"Faixa 1",IF(F208&lt;=Parâmetros!$B$8,"Faixa 2","Faixa 3")))</f>
        <v/>
      </c>
      <c r="H208" s="12" t="str">
        <f aca="false">IF(G208="","",IF(G208="Faixa 1","Rodízio/Sorteio",IF(G208="Faixa 2","Cotação (≥3 propostas)","Chamada pública")))</f>
        <v/>
      </c>
      <c r="I208" s="11"/>
      <c r="J208" s="17" t="str">
        <f aca="false">IF(I208="","",IFERROR(INDEX(Cadastro!$B$5:$B$304,MATCH(I208,Cadastro!$A$5:$A$304,0)),"ID não encontrado"))</f>
        <v/>
      </c>
      <c r="K208" s="17" t="str">
        <f aca="false">IF(I208="","",IFERROR(INDEX(Cadastro!$E$5:$E$304,MATCH(I208,Cadastro!$A$5:$A$304,0)),""))</f>
        <v/>
      </c>
      <c r="L208" s="17" t="str">
        <f aca="false">IF(I208="","",IFERROR(INDEX(Cadastro!$F$5:$F$304,MATCH(I208,Cadastro!$A$5:$A$304,0)),""))</f>
        <v/>
      </c>
      <c r="M208" s="17" t="str">
        <f aca="false">IF(I208="","",IFERROR(INDEX(Cadastro!$I$5:$I$304,MATCH(I208,Cadastro!$A$5:$A$304,0)),""))</f>
        <v/>
      </c>
      <c r="N208" s="19"/>
      <c r="O208" s="13"/>
      <c r="P208" s="12" t="str">
        <f aca="false">IF(OR(B208="",O208=""),"",NETWORKDAYS(B208,O208)-1)</f>
        <v/>
      </c>
      <c r="Q208" s="13"/>
      <c r="R208" s="11"/>
      <c r="S208" s="13"/>
      <c r="T208" s="11"/>
      <c r="U208" s="11"/>
      <c r="V208" s="11"/>
      <c r="W208" s="11"/>
      <c r="X208" s="11"/>
    </row>
    <row r="209" customFormat="false" ht="15" hidden="false" customHeight="false" outlineLevel="0" collapsed="false">
      <c r="A209" s="11"/>
      <c r="B209" s="13"/>
      <c r="C209" s="11"/>
      <c r="D209" s="11"/>
      <c r="E209" s="11"/>
      <c r="F209" s="19"/>
      <c r="G209" s="12" t="str">
        <f aca="false">IF(F209="","",IF(F209&lt;=Parâmetros!$B$7,"Faixa 1",IF(F209&lt;=Parâmetros!$B$8,"Faixa 2","Faixa 3")))</f>
        <v/>
      </c>
      <c r="H209" s="12" t="str">
        <f aca="false">IF(G209="","",IF(G209="Faixa 1","Rodízio/Sorteio",IF(G209="Faixa 2","Cotação (≥3 propostas)","Chamada pública")))</f>
        <v/>
      </c>
      <c r="I209" s="11"/>
      <c r="J209" s="17" t="str">
        <f aca="false">IF(I209="","",IFERROR(INDEX(Cadastro!$B$5:$B$304,MATCH(I209,Cadastro!$A$5:$A$304,0)),"ID não encontrado"))</f>
        <v/>
      </c>
      <c r="K209" s="17" t="str">
        <f aca="false">IF(I209="","",IFERROR(INDEX(Cadastro!$E$5:$E$304,MATCH(I209,Cadastro!$A$5:$A$304,0)),""))</f>
        <v/>
      </c>
      <c r="L209" s="17" t="str">
        <f aca="false">IF(I209="","",IFERROR(INDEX(Cadastro!$F$5:$F$304,MATCH(I209,Cadastro!$A$5:$A$304,0)),""))</f>
        <v/>
      </c>
      <c r="M209" s="17" t="str">
        <f aca="false">IF(I209="","",IFERROR(INDEX(Cadastro!$I$5:$I$304,MATCH(I209,Cadastro!$A$5:$A$304,0)),""))</f>
        <v/>
      </c>
      <c r="N209" s="19"/>
      <c r="O209" s="13"/>
      <c r="P209" s="12" t="str">
        <f aca="false">IF(OR(B209="",O209=""),"",NETWORKDAYS(B209,O209)-1)</f>
        <v/>
      </c>
      <c r="Q209" s="13"/>
      <c r="R209" s="11"/>
      <c r="S209" s="13"/>
      <c r="T209" s="11"/>
      <c r="U209" s="11"/>
      <c r="V209" s="11"/>
      <c r="W209" s="11"/>
      <c r="X209" s="11"/>
    </row>
    <row r="210" customFormat="false" ht="15" hidden="false" customHeight="false" outlineLevel="0" collapsed="false">
      <c r="A210" s="11"/>
      <c r="B210" s="13"/>
      <c r="C210" s="11"/>
      <c r="D210" s="11"/>
      <c r="E210" s="11"/>
      <c r="F210" s="19"/>
      <c r="G210" s="12" t="str">
        <f aca="false">IF(F210="","",IF(F210&lt;=Parâmetros!$B$7,"Faixa 1",IF(F210&lt;=Parâmetros!$B$8,"Faixa 2","Faixa 3")))</f>
        <v/>
      </c>
      <c r="H210" s="12" t="str">
        <f aca="false">IF(G210="","",IF(G210="Faixa 1","Rodízio/Sorteio",IF(G210="Faixa 2","Cotação (≥3 propostas)","Chamada pública")))</f>
        <v/>
      </c>
      <c r="I210" s="11"/>
      <c r="J210" s="17" t="str">
        <f aca="false">IF(I210="","",IFERROR(INDEX(Cadastro!$B$5:$B$304,MATCH(I210,Cadastro!$A$5:$A$304,0)),"ID não encontrado"))</f>
        <v/>
      </c>
      <c r="K210" s="17" t="str">
        <f aca="false">IF(I210="","",IFERROR(INDEX(Cadastro!$E$5:$E$304,MATCH(I210,Cadastro!$A$5:$A$304,0)),""))</f>
        <v/>
      </c>
      <c r="L210" s="17" t="str">
        <f aca="false">IF(I210="","",IFERROR(INDEX(Cadastro!$F$5:$F$304,MATCH(I210,Cadastro!$A$5:$A$304,0)),""))</f>
        <v/>
      </c>
      <c r="M210" s="17" t="str">
        <f aca="false">IF(I210="","",IFERROR(INDEX(Cadastro!$I$5:$I$304,MATCH(I210,Cadastro!$A$5:$A$304,0)),""))</f>
        <v/>
      </c>
      <c r="N210" s="19"/>
      <c r="O210" s="13"/>
      <c r="P210" s="12" t="str">
        <f aca="false">IF(OR(B210="",O210=""),"",NETWORKDAYS(B210,O210)-1)</f>
        <v/>
      </c>
      <c r="Q210" s="13"/>
      <c r="R210" s="11"/>
      <c r="S210" s="13"/>
      <c r="T210" s="11"/>
      <c r="U210" s="11"/>
      <c r="V210" s="11"/>
      <c r="W210" s="11"/>
      <c r="X210" s="11"/>
    </row>
    <row r="211" customFormat="false" ht="15" hidden="false" customHeight="false" outlineLevel="0" collapsed="false">
      <c r="A211" s="11"/>
      <c r="B211" s="13"/>
      <c r="C211" s="11"/>
      <c r="D211" s="11"/>
      <c r="E211" s="11"/>
      <c r="F211" s="19"/>
      <c r="G211" s="12" t="str">
        <f aca="false">IF(F211="","",IF(F211&lt;=Parâmetros!$B$7,"Faixa 1",IF(F211&lt;=Parâmetros!$B$8,"Faixa 2","Faixa 3")))</f>
        <v/>
      </c>
      <c r="H211" s="12" t="str">
        <f aca="false">IF(G211="","",IF(G211="Faixa 1","Rodízio/Sorteio",IF(G211="Faixa 2","Cotação (≥3 propostas)","Chamada pública")))</f>
        <v/>
      </c>
      <c r="I211" s="11"/>
      <c r="J211" s="17" t="str">
        <f aca="false">IF(I211="","",IFERROR(INDEX(Cadastro!$B$5:$B$304,MATCH(I211,Cadastro!$A$5:$A$304,0)),"ID não encontrado"))</f>
        <v/>
      </c>
      <c r="K211" s="17" t="str">
        <f aca="false">IF(I211="","",IFERROR(INDEX(Cadastro!$E$5:$E$304,MATCH(I211,Cadastro!$A$5:$A$304,0)),""))</f>
        <v/>
      </c>
      <c r="L211" s="17" t="str">
        <f aca="false">IF(I211="","",IFERROR(INDEX(Cadastro!$F$5:$F$304,MATCH(I211,Cadastro!$A$5:$A$304,0)),""))</f>
        <v/>
      </c>
      <c r="M211" s="17" t="str">
        <f aca="false">IF(I211="","",IFERROR(INDEX(Cadastro!$I$5:$I$304,MATCH(I211,Cadastro!$A$5:$A$304,0)),""))</f>
        <v/>
      </c>
      <c r="N211" s="19"/>
      <c r="O211" s="13"/>
      <c r="P211" s="12" t="str">
        <f aca="false">IF(OR(B211="",O211=""),"",NETWORKDAYS(B211,O211)-1)</f>
        <v/>
      </c>
      <c r="Q211" s="13"/>
      <c r="R211" s="11"/>
      <c r="S211" s="13"/>
      <c r="T211" s="11"/>
      <c r="U211" s="11"/>
      <c r="V211" s="11"/>
      <c r="W211" s="11"/>
      <c r="X211" s="11"/>
    </row>
    <row r="212" customFormat="false" ht="15" hidden="false" customHeight="false" outlineLevel="0" collapsed="false">
      <c r="A212" s="11"/>
      <c r="B212" s="13"/>
      <c r="C212" s="11"/>
      <c r="D212" s="11"/>
      <c r="E212" s="11"/>
      <c r="F212" s="19"/>
      <c r="G212" s="12" t="str">
        <f aca="false">IF(F212="","",IF(F212&lt;=Parâmetros!$B$7,"Faixa 1",IF(F212&lt;=Parâmetros!$B$8,"Faixa 2","Faixa 3")))</f>
        <v/>
      </c>
      <c r="H212" s="12" t="str">
        <f aca="false">IF(G212="","",IF(G212="Faixa 1","Rodízio/Sorteio",IF(G212="Faixa 2","Cotação (≥3 propostas)","Chamada pública")))</f>
        <v/>
      </c>
      <c r="I212" s="11"/>
      <c r="J212" s="17" t="str">
        <f aca="false">IF(I212="","",IFERROR(INDEX(Cadastro!$B$5:$B$304,MATCH(I212,Cadastro!$A$5:$A$304,0)),"ID não encontrado"))</f>
        <v/>
      </c>
      <c r="K212" s="17" t="str">
        <f aca="false">IF(I212="","",IFERROR(INDEX(Cadastro!$E$5:$E$304,MATCH(I212,Cadastro!$A$5:$A$304,0)),""))</f>
        <v/>
      </c>
      <c r="L212" s="17" t="str">
        <f aca="false">IF(I212="","",IFERROR(INDEX(Cadastro!$F$5:$F$304,MATCH(I212,Cadastro!$A$5:$A$304,0)),""))</f>
        <v/>
      </c>
      <c r="M212" s="17" t="str">
        <f aca="false">IF(I212="","",IFERROR(INDEX(Cadastro!$I$5:$I$304,MATCH(I212,Cadastro!$A$5:$A$304,0)),""))</f>
        <v/>
      </c>
      <c r="N212" s="19"/>
      <c r="O212" s="13"/>
      <c r="P212" s="12" t="str">
        <f aca="false">IF(OR(B212="",O212=""),"",NETWORKDAYS(B212,O212)-1)</f>
        <v/>
      </c>
      <c r="Q212" s="13"/>
      <c r="R212" s="11"/>
      <c r="S212" s="13"/>
      <c r="T212" s="11"/>
      <c r="U212" s="11"/>
      <c r="V212" s="11"/>
      <c r="W212" s="11"/>
      <c r="X212" s="11"/>
    </row>
    <row r="213" customFormat="false" ht="15" hidden="false" customHeight="false" outlineLevel="0" collapsed="false">
      <c r="A213" s="11"/>
      <c r="B213" s="13"/>
      <c r="C213" s="11"/>
      <c r="D213" s="11"/>
      <c r="E213" s="11"/>
      <c r="F213" s="19"/>
      <c r="G213" s="12" t="str">
        <f aca="false">IF(F213="","",IF(F213&lt;=Parâmetros!$B$7,"Faixa 1",IF(F213&lt;=Parâmetros!$B$8,"Faixa 2","Faixa 3")))</f>
        <v/>
      </c>
      <c r="H213" s="12" t="str">
        <f aca="false">IF(G213="","",IF(G213="Faixa 1","Rodízio/Sorteio",IF(G213="Faixa 2","Cotação (≥3 propostas)","Chamada pública")))</f>
        <v/>
      </c>
      <c r="I213" s="11"/>
      <c r="J213" s="17" t="str">
        <f aca="false">IF(I213="","",IFERROR(INDEX(Cadastro!$B$5:$B$304,MATCH(I213,Cadastro!$A$5:$A$304,0)),"ID não encontrado"))</f>
        <v/>
      </c>
      <c r="K213" s="17" t="str">
        <f aca="false">IF(I213="","",IFERROR(INDEX(Cadastro!$E$5:$E$304,MATCH(I213,Cadastro!$A$5:$A$304,0)),""))</f>
        <v/>
      </c>
      <c r="L213" s="17" t="str">
        <f aca="false">IF(I213="","",IFERROR(INDEX(Cadastro!$F$5:$F$304,MATCH(I213,Cadastro!$A$5:$A$304,0)),""))</f>
        <v/>
      </c>
      <c r="M213" s="17" t="str">
        <f aca="false">IF(I213="","",IFERROR(INDEX(Cadastro!$I$5:$I$304,MATCH(I213,Cadastro!$A$5:$A$304,0)),""))</f>
        <v/>
      </c>
      <c r="N213" s="19"/>
      <c r="O213" s="13"/>
      <c r="P213" s="12" t="str">
        <f aca="false">IF(OR(B213="",O213=""),"",NETWORKDAYS(B213,O213)-1)</f>
        <v/>
      </c>
      <c r="Q213" s="13"/>
      <c r="R213" s="11"/>
      <c r="S213" s="13"/>
      <c r="T213" s="11"/>
      <c r="U213" s="11"/>
      <c r="V213" s="11"/>
      <c r="W213" s="11"/>
      <c r="X213" s="11"/>
    </row>
    <row r="214" customFormat="false" ht="15" hidden="false" customHeight="false" outlineLevel="0" collapsed="false">
      <c r="A214" s="11"/>
      <c r="B214" s="13"/>
      <c r="C214" s="11"/>
      <c r="D214" s="11"/>
      <c r="E214" s="11"/>
      <c r="F214" s="19"/>
      <c r="G214" s="12" t="str">
        <f aca="false">IF(F214="","",IF(F214&lt;=Parâmetros!$B$7,"Faixa 1",IF(F214&lt;=Parâmetros!$B$8,"Faixa 2","Faixa 3")))</f>
        <v/>
      </c>
      <c r="H214" s="12" t="str">
        <f aca="false">IF(G214="","",IF(G214="Faixa 1","Rodízio/Sorteio",IF(G214="Faixa 2","Cotação (≥3 propostas)","Chamada pública")))</f>
        <v/>
      </c>
      <c r="I214" s="11"/>
      <c r="J214" s="17" t="str">
        <f aca="false">IF(I214="","",IFERROR(INDEX(Cadastro!$B$5:$B$304,MATCH(I214,Cadastro!$A$5:$A$304,0)),"ID não encontrado"))</f>
        <v/>
      </c>
      <c r="K214" s="17" t="str">
        <f aca="false">IF(I214="","",IFERROR(INDEX(Cadastro!$E$5:$E$304,MATCH(I214,Cadastro!$A$5:$A$304,0)),""))</f>
        <v/>
      </c>
      <c r="L214" s="17" t="str">
        <f aca="false">IF(I214="","",IFERROR(INDEX(Cadastro!$F$5:$F$304,MATCH(I214,Cadastro!$A$5:$A$304,0)),""))</f>
        <v/>
      </c>
      <c r="M214" s="17" t="str">
        <f aca="false">IF(I214="","",IFERROR(INDEX(Cadastro!$I$5:$I$304,MATCH(I214,Cadastro!$A$5:$A$304,0)),""))</f>
        <v/>
      </c>
      <c r="N214" s="19"/>
      <c r="O214" s="13"/>
      <c r="P214" s="12" t="str">
        <f aca="false">IF(OR(B214="",O214=""),"",NETWORKDAYS(B214,O214)-1)</f>
        <v/>
      </c>
      <c r="Q214" s="13"/>
      <c r="R214" s="11"/>
      <c r="S214" s="13"/>
      <c r="T214" s="11"/>
      <c r="U214" s="11"/>
      <c r="V214" s="11"/>
      <c r="W214" s="11"/>
      <c r="X214" s="11"/>
    </row>
    <row r="215" customFormat="false" ht="15" hidden="false" customHeight="false" outlineLevel="0" collapsed="false">
      <c r="A215" s="11"/>
      <c r="B215" s="13"/>
      <c r="C215" s="11"/>
      <c r="D215" s="11"/>
      <c r="E215" s="11"/>
      <c r="F215" s="19"/>
      <c r="G215" s="12" t="str">
        <f aca="false">IF(F215="","",IF(F215&lt;=Parâmetros!$B$7,"Faixa 1",IF(F215&lt;=Parâmetros!$B$8,"Faixa 2","Faixa 3")))</f>
        <v/>
      </c>
      <c r="H215" s="12" t="str">
        <f aca="false">IF(G215="","",IF(G215="Faixa 1","Rodízio/Sorteio",IF(G215="Faixa 2","Cotação (≥3 propostas)","Chamada pública")))</f>
        <v/>
      </c>
      <c r="I215" s="11"/>
      <c r="J215" s="17" t="str">
        <f aca="false">IF(I215="","",IFERROR(INDEX(Cadastro!$B$5:$B$304,MATCH(I215,Cadastro!$A$5:$A$304,0)),"ID não encontrado"))</f>
        <v/>
      </c>
      <c r="K215" s="17" t="str">
        <f aca="false">IF(I215="","",IFERROR(INDEX(Cadastro!$E$5:$E$304,MATCH(I215,Cadastro!$A$5:$A$304,0)),""))</f>
        <v/>
      </c>
      <c r="L215" s="17" t="str">
        <f aca="false">IF(I215="","",IFERROR(INDEX(Cadastro!$F$5:$F$304,MATCH(I215,Cadastro!$A$5:$A$304,0)),""))</f>
        <v/>
      </c>
      <c r="M215" s="17" t="str">
        <f aca="false">IF(I215="","",IFERROR(INDEX(Cadastro!$I$5:$I$304,MATCH(I215,Cadastro!$A$5:$A$304,0)),""))</f>
        <v/>
      </c>
      <c r="N215" s="19"/>
      <c r="O215" s="13"/>
      <c r="P215" s="12" t="str">
        <f aca="false">IF(OR(B215="",O215=""),"",NETWORKDAYS(B215,O215)-1)</f>
        <v/>
      </c>
      <c r="Q215" s="13"/>
      <c r="R215" s="11"/>
      <c r="S215" s="13"/>
      <c r="T215" s="11"/>
      <c r="U215" s="11"/>
      <c r="V215" s="11"/>
      <c r="W215" s="11"/>
      <c r="X215" s="11"/>
    </row>
    <row r="216" customFormat="false" ht="15" hidden="false" customHeight="false" outlineLevel="0" collapsed="false">
      <c r="A216" s="11"/>
      <c r="B216" s="13"/>
      <c r="C216" s="11"/>
      <c r="D216" s="11"/>
      <c r="E216" s="11"/>
      <c r="F216" s="19"/>
      <c r="G216" s="12" t="str">
        <f aca="false">IF(F216="","",IF(F216&lt;=Parâmetros!$B$7,"Faixa 1",IF(F216&lt;=Parâmetros!$B$8,"Faixa 2","Faixa 3")))</f>
        <v/>
      </c>
      <c r="H216" s="12" t="str">
        <f aca="false">IF(G216="","",IF(G216="Faixa 1","Rodízio/Sorteio",IF(G216="Faixa 2","Cotação (≥3 propostas)","Chamada pública")))</f>
        <v/>
      </c>
      <c r="I216" s="11"/>
      <c r="J216" s="17" t="str">
        <f aca="false">IF(I216="","",IFERROR(INDEX(Cadastro!$B$5:$B$304,MATCH(I216,Cadastro!$A$5:$A$304,0)),"ID não encontrado"))</f>
        <v/>
      </c>
      <c r="K216" s="17" t="str">
        <f aca="false">IF(I216="","",IFERROR(INDEX(Cadastro!$E$5:$E$304,MATCH(I216,Cadastro!$A$5:$A$304,0)),""))</f>
        <v/>
      </c>
      <c r="L216" s="17" t="str">
        <f aca="false">IF(I216="","",IFERROR(INDEX(Cadastro!$F$5:$F$304,MATCH(I216,Cadastro!$A$5:$A$304,0)),""))</f>
        <v/>
      </c>
      <c r="M216" s="17" t="str">
        <f aca="false">IF(I216="","",IFERROR(INDEX(Cadastro!$I$5:$I$304,MATCH(I216,Cadastro!$A$5:$A$304,0)),""))</f>
        <v/>
      </c>
      <c r="N216" s="19"/>
      <c r="O216" s="13"/>
      <c r="P216" s="12" t="str">
        <f aca="false">IF(OR(B216="",O216=""),"",NETWORKDAYS(B216,O216)-1)</f>
        <v/>
      </c>
      <c r="Q216" s="13"/>
      <c r="R216" s="11"/>
      <c r="S216" s="13"/>
      <c r="T216" s="11"/>
      <c r="U216" s="11"/>
      <c r="V216" s="11"/>
      <c r="W216" s="11"/>
      <c r="X216" s="11"/>
    </row>
    <row r="217" customFormat="false" ht="15" hidden="false" customHeight="false" outlineLevel="0" collapsed="false">
      <c r="A217" s="11"/>
      <c r="B217" s="13"/>
      <c r="C217" s="11"/>
      <c r="D217" s="11"/>
      <c r="E217" s="11"/>
      <c r="F217" s="19"/>
      <c r="G217" s="12" t="str">
        <f aca="false">IF(F217="","",IF(F217&lt;=Parâmetros!$B$7,"Faixa 1",IF(F217&lt;=Parâmetros!$B$8,"Faixa 2","Faixa 3")))</f>
        <v/>
      </c>
      <c r="H217" s="12" t="str">
        <f aca="false">IF(G217="","",IF(G217="Faixa 1","Rodízio/Sorteio",IF(G217="Faixa 2","Cotação (≥3 propostas)","Chamada pública")))</f>
        <v/>
      </c>
      <c r="I217" s="11"/>
      <c r="J217" s="17" t="str">
        <f aca="false">IF(I217="","",IFERROR(INDEX(Cadastro!$B$5:$B$304,MATCH(I217,Cadastro!$A$5:$A$304,0)),"ID não encontrado"))</f>
        <v/>
      </c>
      <c r="K217" s="17" t="str">
        <f aca="false">IF(I217="","",IFERROR(INDEX(Cadastro!$E$5:$E$304,MATCH(I217,Cadastro!$A$5:$A$304,0)),""))</f>
        <v/>
      </c>
      <c r="L217" s="17" t="str">
        <f aca="false">IF(I217="","",IFERROR(INDEX(Cadastro!$F$5:$F$304,MATCH(I217,Cadastro!$A$5:$A$304,0)),""))</f>
        <v/>
      </c>
      <c r="M217" s="17" t="str">
        <f aca="false">IF(I217="","",IFERROR(INDEX(Cadastro!$I$5:$I$304,MATCH(I217,Cadastro!$A$5:$A$304,0)),""))</f>
        <v/>
      </c>
      <c r="N217" s="19"/>
      <c r="O217" s="13"/>
      <c r="P217" s="12" t="str">
        <f aca="false">IF(OR(B217="",O217=""),"",NETWORKDAYS(B217,O217)-1)</f>
        <v/>
      </c>
      <c r="Q217" s="13"/>
      <c r="R217" s="11"/>
      <c r="S217" s="13"/>
      <c r="T217" s="11"/>
      <c r="U217" s="11"/>
      <c r="V217" s="11"/>
      <c r="W217" s="11"/>
      <c r="X217" s="11"/>
    </row>
    <row r="218" customFormat="false" ht="15" hidden="false" customHeight="false" outlineLevel="0" collapsed="false">
      <c r="A218" s="11"/>
      <c r="B218" s="13"/>
      <c r="C218" s="11"/>
      <c r="D218" s="11"/>
      <c r="E218" s="11"/>
      <c r="F218" s="19"/>
      <c r="G218" s="12" t="str">
        <f aca="false">IF(F218="","",IF(F218&lt;=Parâmetros!$B$7,"Faixa 1",IF(F218&lt;=Parâmetros!$B$8,"Faixa 2","Faixa 3")))</f>
        <v/>
      </c>
      <c r="H218" s="12" t="str">
        <f aca="false">IF(G218="","",IF(G218="Faixa 1","Rodízio/Sorteio",IF(G218="Faixa 2","Cotação (≥3 propostas)","Chamada pública")))</f>
        <v/>
      </c>
      <c r="I218" s="11"/>
      <c r="J218" s="17" t="str">
        <f aca="false">IF(I218="","",IFERROR(INDEX(Cadastro!$B$5:$B$304,MATCH(I218,Cadastro!$A$5:$A$304,0)),"ID não encontrado"))</f>
        <v/>
      </c>
      <c r="K218" s="17" t="str">
        <f aca="false">IF(I218="","",IFERROR(INDEX(Cadastro!$E$5:$E$304,MATCH(I218,Cadastro!$A$5:$A$304,0)),""))</f>
        <v/>
      </c>
      <c r="L218" s="17" t="str">
        <f aca="false">IF(I218="","",IFERROR(INDEX(Cadastro!$F$5:$F$304,MATCH(I218,Cadastro!$A$5:$A$304,0)),""))</f>
        <v/>
      </c>
      <c r="M218" s="17" t="str">
        <f aca="false">IF(I218="","",IFERROR(INDEX(Cadastro!$I$5:$I$304,MATCH(I218,Cadastro!$A$5:$A$304,0)),""))</f>
        <v/>
      </c>
      <c r="N218" s="19"/>
      <c r="O218" s="13"/>
      <c r="P218" s="12" t="str">
        <f aca="false">IF(OR(B218="",O218=""),"",NETWORKDAYS(B218,O218)-1)</f>
        <v/>
      </c>
      <c r="Q218" s="13"/>
      <c r="R218" s="11"/>
      <c r="S218" s="13"/>
      <c r="T218" s="11"/>
      <c r="U218" s="11"/>
      <c r="V218" s="11"/>
      <c r="W218" s="11"/>
      <c r="X218" s="11"/>
    </row>
    <row r="219" customFormat="false" ht="15" hidden="false" customHeight="false" outlineLevel="0" collapsed="false">
      <c r="A219" s="11"/>
      <c r="B219" s="13"/>
      <c r="C219" s="11"/>
      <c r="D219" s="11"/>
      <c r="E219" s="11"/>
      <c r="F219" s="19"/>
      <c r="G219" s="12" t="str">
        <f aca="false">IF(F219="","",IF(F219&lt;=Parâmetros!$B$7,"Faixa 1",IF(F219&lt;=Parâmetros!$B$8,"Faixa 2","Faixa 3")))</f>
        <v/>
      </c>
      <c r="H219" s="12" t="str">
        <f aca="false">IF(G219="","",IF(G219="Faixa 1","Rodízio/Sorteio",IF(G219="Faixa 2","Cotação (≥3 propostas)","Chamada pública")))</f>
        <v/>
      </c>
      <c r="I219" s="11"/>
      <c r="J219" s="17" t="str">
        <f aca="false">IF(I219="","",IFERROR(INDEX(Cadastro!$B$5:$B$304,MATCH(I219,Cadastro!$A$5:$A$304,0)),"ID não encontrado"))</f>
        <v/>
      </c>
      <c r="K219" s="17" t="str">
        <f aca="false">IF(I219="","",IFERROR(INDEX(Cadastro!$E$5:$E$304,MATCH(I219,Cadastro!$A$5:$A$304,0)),""))</f>
        <v/>
      </c>
      <c r="L219" s="17" t="str">
        <f aca="false">IF(I219="","",IFERROR(INDEX(Cadastro!$F$5:$F$304,MATCH(I219,Cadastro!$A$5:$A$304,0)),""))</f>
        <v/>
      </c>
      <c r="M219" s="17" t="str">
        <f aca="false">IF(I219="","",IFERROR(INDEX(Cadastro!$I$5:$I$304,MATCH(I219,Cadastro!$A$5:$A$304,0)),""))</f>
        <v/>
      </c>
      <c r="N219" s="19"/>
      <c r="O219" s="13"/>
      <c r="P219" s="12" t="str">
        <f aca="false">IF(OR(B219="",O219=""),"",NETWORKDAYS(B219,O219)-1)</f>
        <v/>
      </c>
      <c r="Q219" s="13"/>
      <c r="R219" s="11"/>
      <c r="S219" s="13"/>
      <c r="T219" s="11"/>
      <c r="U219" s="11"/>
      <c r="V219" s="11"/>
      <c r="W219" s="11"/>
      <c r="X219" s="11"/>
    </row>
    <row r="220" customFormat="false" ht="15" hidden="false" customHeight="false" outlineLevel="0" collapsed="false">
      <c r="A220" s="11"/>
      <c r="B220" s="13"/>
      <c r="C220" s="11"/>
      <c r="D220" s="11"/>
      <c r="E220" s="11"/>
      <c r="F220" s="19"/>
      <c r="G220" s="12" t="str">
        <f aca="false">IF(F220="","",IF(F220&lt;=Parâmetros!$B$7,"Faixa 1",IF(F220&lt;=Parâmetros!$B$8,"Faixa 2","Faixa 3")))</f>
        <v/>
      </c>
      <c r="H220" s="12" t="str">
        <f aca="false">IF(G220="","",IF(G220="Faixa 1","Rodízio/Sorteio",IF(G220="Faixa 2","Cotação (≥3 propostas)","Chamada pública")))</f>
        <v/>
      </c>
      <c r="I220" s="11"/>
      <c r="J220" s="17" t="str">
        <f aca="false">IF(I220="","",IFERROR(INDEX(Cadastro!$B$5:$B$304,MATCH(I220,Cadastro!$A$5:$A$304,0)),"ID não encontrado"))</f>
        <v/>
      </c>
      <c r="K220" s="17" t="str">
        <f aca="false">IF(I220="","",IFERROR(INDEX(Cadastro!$E$5:$E$304,MATCH(I220,Cadastro!$A$5:$A$304,0)),""))</f>
        <v/>
      </c>
      <c r="L220" s="17" t="str">
        <f aca="false">IF(I220="","",IFERROR(INDEX(Cadastro!$F$5:$F$304,MATCH(I220,Cadastro!$A$5:$A$304,0)),""))</f>
        <v/>
      </c>
      <c r="M220" s="17" t="str">
        <f aca="false">IF(I220="","",IFERROR(INDEX(Cadastro!$I$5:$I$304,MATCH(I220,Cadastro!$A$5:$A$304,0)),""))</f>
        <v/>
      </c>
      <c r="N220" s="19"/>
      <c r="O220" s="13"/>
      <c r="P220" s="12" t="str">
        <f aca="false">IF(OR(B220="",O220=""),"",NETWORKDAYS(B220,O220)-1)</f>
        <v/>
      </c>
      <c r="Q220" s="13"/>
      <c r="R220" s="11"/>
      <c r="S220" s="13"/>
      <c r="T220" s="11"/>
      <c r="U220" s="11"/>
      <c r="V220" s="11"/>
      <c r="W220" s="11"/>
      <c r="X220" s="11"/>
    </row>
    <row r="221" customFormat="false" ht="15" hidden="false" customHeight="false" outlineLevel="0" collapsed="false">
      <c r="A221" s="11"/>
      <c r="B221" s="13"/>
      <c r="C221" s="11"/>
      <c r="D221" s="11"/>
      <c r="E221" s="11"/>
      <c r="F221" s="19"/>
      <c r="G221" s="12" t="str">
        <f aca="false">IF(F221="","",IF(F221&lt;=Parâmetros!$B$7,"Faixa 1",IF(F221&lt;=Parâmetros!$B$8,"Faixa 2","Faixa 3")))</f>
        <v/>
      </c>
      <c r="H221" s="12" t="str">
        <f aca="false">IF(G221="","",IF(G221="Faixa 1","Rodízio/Sorteio",IF(G221="Faixa 2","Cotação (≥3 propostas)","Chamada pública")))</f>
        <v/>
      </c>
      <c r="I221" s="11"/>
      <c r="J221" s="17" t="str">
        <f aca="false">IF(I221="","",IFERROR(INDEX(Cadastro!$B$5:$B$304,MATCH(I221,Cadastro!$A$5:$A$304,0)),"ID não encontrado"))</f>
        <v/>
      </c>
      <c r="K221" s="17" t="str">
        <f aca="false">IF(I221="","",IFERROR(INDEX(Cadastro!$E$5:$E$304,MATCH(I221,Cadastro!$A$5:$A$304,0)),""))</f>
        <v/>
      </c>
      <c r="L221" s="17" t="str">
        <f aca="false">IF(I221="","",IFERROR(INDEX(Cadastro!$F$5:$F$304,MATCH(I221,Cadastro!$A$5:$A$304,0)),""))</f>
        <v/>
      </c>
      <c r="M221" s="17" t="str">
        <f aca="false">IF(I221="","",IFERROR(INDEX(Cadastro!$I$5:$I$304,MATCH(I221,Cadastro!$A$5:$A$304,0)),""))</f>
        <v/>
      </c>
      <c r="N221" s="19"/>
      <c r="O221" s="13"/>
      <c r="P221" s="12" t="str">
        <f aca="false">IF(OR(B221="",O221=""),"",NETWORKDAYS(B221,O221)-1)</f>
        <v/>
      </c>
      <c r="Q221" s="13"/>
      <c r="R221" s="11"/>
      <c r="S221" s="13"/>
      <c r="T221" s="11"/>
      <c r="U221" s="11"/>
      <c r="V221" s="11"/>
      <c r="W221" s="11"/>
      <c r="X221" s="11"/>
    </row>
    <row r="222" customFormat="false" ht="15" hidden="false" customHeight="false" outlineLevel="0" collapsed="false">
      <c r="A222" s="11"/>
      <c r="B222" s="13"/>
      <c r="C222" s="11"/>
      <c r="D222" s="11"/>
      <c r="E222" s="11"/>
      <c r="F222" s="19"/>
      <c r="G222" s="12" t="str">
        <f aca="false">IF(F222="","",IF(F222&lt;=Parâmetros!$B$7,"Faixa 1",IF(F222&lt;=Parâmetros!$B$8,"Faixa 2","Faixa 3")))</f>
        <v/>
      </c>
      <c r="H222" s="12" t="str">
        <f aca="false">IF(G222="","",IF(G222="Faixa 1","Rodízio/Sorteio",IF(G222="Faixa 2","Cotação (≥3 propostas)","Chamada pública")))</f>
        <v/>
      </c>
      <c r="I222" s="11"/>
      <c r="J222" s="17" t="str">
        <f aca="false">IF(I222="","",IFERROR(INDEX(Cadastro!$B$5:$B$304,MATCH(I222,Cadastro!$A$5:$A$304,0)),"ID não encontrado"))</f>
        <v/>
      </c>
      <c r="K222" s="17" t="str">
        <f aca="false">IF(I222="","",IFERROR(INDEX(Cadastro!$E$5:$E$304,MATCH(I222,Cadastro!$A$5:$A$304,0)),""))</f>
        <v/>
      </c>
      <c r="L222" s="17" t="str">
        <f aca="false">IF(I222="","",IFERROR(INDEX(Cadastro!$F$5:$F$304,MATCH(I222,Cadastro!$A$5:$A$304,0)),""))</f>
        <v/>
      </c>
      <c r="M222" s="17" t="str">
        <f aca="false">IF(I222="","",IFERROR(INDEX(Cadastro!$I$5:$I$304,MATCH(I222,Cadastro!$A$5:$A$304,0)),""))</f>
        <v/>
      </c>
      <c r="N222" s="19"/>
      <c r="O222" s="13"/>
      <c r="P222" s="12" t="str">
        <f aca="false">IF(OR(B222="",O222=""),"",NETWORKDAYS(B222,O222)-1)</f>
        <v/>
      </c>
      <c r="Q222" s="13"/>
      <c r="R222" s="11"/>
      <c r="S222" s="13"/>
      <c r="T222" s="11"/>
      <c r="U222" s="11"/>
      <c r="V222" s="11"/>
      <c r="W222" s="11"/>
      <c r="X222" s="11"/>
    </row>
    <row r="223" customFormat="false" ht="15" hidden="false" customHeight="false" outlineLevel="0" collapsed="false">
      <c r="A223" s="11"/>
      <c r="B223" s="13"/>
      <c r="C223" s="11"/>
      <c r="D223" s="11"/>
      <c r="E223" s="11"/>
      <c r="F223" s="19"/>
      <c r="G223" s="12" t="str">
        <f aca="false">IF(F223="","",IF(F223&lt;=Parâmetros!$B$7,"Faixa 1",IF(F223&lt;=Parâmetros!$B$8,"Faixa 2","Faixa 3")))</f>
        <v/>
      </c>
      <c r="H223" s="12" t="str">
        <f aca="false">IF(G223="","",IF(G223="Faixa 1","Rodízio/Sorteio",IF(G223="Faixa 2","Cotação (≥3 propostas)","Chamada pública")))</f>
        <v/>
      </c>
      <c r="I223" s="11"/>
      <c r="J223" s="17" t="str">
        <f aca="false">IF(I223="","",IFERROR(INDEX(Cadastro!$B$5:$B$304,MATCH(I223,Cadastro!$A$5:$A$304,0)),"ID não encontrado"))</f>
        <v/>
      </c>
      <c r="K223" s="17" t="str">
        <f aca="false">IF(I223="","",IFERROR(INDEX(Cadastro!$E$5:$E$304,MATCH(I223,Cadastro!$A$5:$A$304,0)),""))</f>
        <v/>
      </c>
      <c r="L223" s="17" t="str">
        <f aca="false">IF(I223="","",IFERROR(INDEX(Cadastro!$F$5:$F$304,MATCH(I223,Cadastro!$A$5:$A$304,0)),""))</f>
        <v/>
      </c>
      <c r="M223" s="17" t="str">
        <f aca="false">IF(I223="","",IFERROR(INDEX(Cadastro!$I$5:$I$304,MATCH(I223,Cadastro!$A$5:$A$304,0)),""))</f>
        <v/>
      </c>
      <c r="N223" s="19"/>
      <c r="O223" s="13"/>
      <c r="P223" s="12" t="str">
        <f aca="false">IF(OR(B223="",O223=""),"",NETWORKDAYS(B223,O223)-1)</f>
        <v/>
      </c>
      <c r="Q223" s="13"/>
      <c r="R223" s="11"/>
      <c r="S223" s="13"/>
      <c r="T223" s="11"/>
      <c r="U223" s="11"/>
      <c r="V223" s="11"/>
      <c r="W223" s="11"/>
      <c r="X223" s="11"/>
    </row>
    <row r="224" customFormat="false" ht="15" hidden="false" customHeight="false" outlineLevel="0" collapsed="false">
      <c r="A224" s="11"/>
      <c r="B224" s="13"/>
      <c r="C224" s="11"/>
      <c r="D224" s="11"/>
      <c r="E224" s="11"/>
      <c r="F224" s="19"/>
      <c r="G224" s="12" t="str">
        <f aca="false">IF(F224="","",IF(F224&lt;=Parâmetros!$B$7,"Faixa 1",IF(F224&lt;=Parâmetros!$B$8,"Faixa 2","Faixa 3")))</f>
        <v/>
      </c>
      <c r="H224" s="12" t="str">
        <f aca="false">IF(G224="","",IF(G224="Faixa 1","Rodízio/Sorteio",IF(G224="Faixa 2","Cotação (≥3 propostas)","Chamada pública")))</f>
        <v/>
      </c>
      <c r="I224" s="11"/>
      <c r="J224" s="17" t="str">
        <f aca="false">IF(I224="","",IFERROR(INDEX(Cadastro!$B$5:$B$304,MATCH(I224,Cadastro!$A$5:$A$304,0)),"ID não encontrado"))</f>
        <v/>
      </c>
      <c r="K224" s="17" t="str">
        <f aca="false">IF(I224="","",IFERROR(INDEX(Cadastro!$E$5:$E$304,MATCH(I224,Cadastro!$A$5:$A$304,0)),""))</f>
        <v/>
      </c>
      <c r="L224" s="17" t="str">
        <f aca="false">IF(I224="","",IFERROR(INDEX(Cadastro!$F$5:$F$304,MATCH(I224,Cadastro!$A$5:$A$304,0)),""))</f>
        <v/>
      </c>
      <c r="M224" s="17" t="str">
        <f aca="false">IF(I224="","",IFERROR(INDEX(Cadastro!$I$5:$I$304,MATCH(I224,Cadastro!$A$5:$A$304,0)),""))</f>
        <v/>
      </c>
      <c r="N224" s="19"/>
      <c r="O224" s="13"/>
      <c r="P224" s="12" t="str">
        <f aca="false">IF(OR(B224="",O224=""),"",NETWORKDAYS(B224,O224)-1)</f>
        <v/>
      </c>
      <c r="Q224" s="13"/>
      <c r="R224" s="11"/>
      <c r="S224" s="13"/>
      <c r="T224" s="11"/>
      <c r="U224" s="11"/>
      <c r="V224" s="11"/>
      <c r="W224" s="11"/>
      <c r="X224" s="11"/>
    </row>
    <row r="225" customFormat="false" ht="15" hidden="false" customHeight="false" outlineLevel="0" collapsed="false">
      <c r="A225" s="11"/>
      <c r="B225" s="13"/>
      <c r="C225" s="11"/>
      <c r="D225" s="11"/>
      <c r="E225" s="11"/>
      <c r="F225" s="19"/>
      <c r="G225" s="12" t="str">
        <f aca="false">IF(F225="","",IF(F225&lt;=Parâmetros!$B$7,"Faixa 1",IF(F225&lt;=Parâmetros!$B$8,"Faixa 2","Faixa 3")))</f>
        <v/>
      </c>
      <c r="H225" s="12" t="str">
        <f aca="false">IF(G225="","",IF(G225="Faixa 1","Rodízio/Sorteio",IF(G225="Faixa 2","Cotação (≥3 propostas)","Chamada pública")))</f>
        <v/>
      </c>
      <c r="I225" s="11"/>
      <c r="J225" s="17" t="str">
        <f aca="false">IF(I225="","",IFERROR(INDEX(Cadastro!$B$5:$B$304,MATCH(I225,Cadastro!$A$5:$A$304,0)),"ID não encontrado"))</f>
        <v/>
      </c>
      <c r="K225" s="17" t="str">
        <f aca="false">IF(I225="","",IFERROR(INDEX(Cadastro!$E$5:$E$304,MATCH(I225,Cadastro!$A$5:$A$304,0)),""))</f>
        <v/>
      </c>
      <c r="L225" s="17" t="str">
        <f aca="false">IF(I225="","",IFERROR(INDEX(Cadastro!$F$5:$F$304,MATCH(I225,Cadastro!$A$5:$A$304,0)),""))</f>
        <v/>
      </c>
      <c r="M225" s="17" t="str">
        <f aca="false">IF(I225="","",IFERROR(INDEX(Cadastro!$I$5:$I$304,MATCH(I225,Cadastro!$A$5:$A$304,0)),""))</f>
        <v/>
      </c>
      <c r="N225" s="19"/>
      <c r="O225" s="13"/>
      <c r="P225" s="12" t="str">
        <f aca="false">IF(OR(B225="",O225=""),"",NETWORKDAYS(B225,O225)-1)</f>
        <v/>
      </c>
      <c r="Q225" s="13"/>
      <c r="R225" s="11"/>
      <c r="S225" s="13"/>
      <c r="T225" s="11"/>
      <c r="U225" s="11"/>
      <c r="V225" s="11"/>
      <c r="W225" s="11"/>
      <c r="X225" s="11"/>
    </row>
    <row r="226" customFormat="false" ht="15" hidden="false" customHeight="false" outlineLevel="0" collapsed="false">
      <c r="A226" s="11"/>
      <c r="B226" s="13"/>
      <c r="C226" s="11"/>
      <c r="D226" s="11"/>
      <c r="E226" s="11"/>
      <c r="F226" s="19"/>
      <c r="G226" s="12" t="str">
        <f aca="false">IF(F226="","",IF(F226&lt;=Parâmetros!$B$7,"Faixa 1",IF(F226&lt;=Parâmetros!$B$8,"Faixa 2","Faixa 3")))</f>
        <v/>
      </c>
      <c r="H226" s="12" t="str">
        <f aca="false">IF(G226="","",IF(G226="Faixa 1","Rodízio/Sorteio",IF(G226="Faixa 2","Cotação (≥3 propostas)","Chamada pública")))</f>
        <v/>
      </c>
      <c r="I226" s="11"/>
      <c r="J226" s="17" t="str">
        <f aca="false">IF(I226="","",IFERROR(INDEX(Cadastro!$B$5:$B$304,MATCH(I226,Cadastro!$A$5:$A$304,0)),"ID não encontrado"))</f>
        <v/>
      </c>
      <c r="K226" s="17" t="str">
        <f aca="false">IF(I226="","",IFERROR(INDEX(Cadastro!$E$5:$E$304,MATCH(I226,Cadastro!$A$5:$A$304,0)),""))</f>
        <v/>
      </c>
      <c r="L226" s="17" t="str">
        <f aca="false">IF(I226="","",IFERROR(INDEX(Cadastro!$F$5:$F$304,MATCH(I226,Cadastro!$A$5:$A$304,0)),""))</f>
        <v/>
      </c>
      <c r="M226" s="17" t="str">
        <f aca="false">IF(I226="","",IFERROR(INDEX(Cadastro!$I$5:$I$304,MATCH(I226,Cadastro!$A$5:$A$304,0)),""))</f>
        <v/>
      </c>
      <c r="N226" s="19"/>
      <c r="O226" s="13"/>
      <c r="P226" s="12" t="str">
        <f aca="false">IF(OR(B226="",O226=""),"",NETWORKDAYS(B226,O226)-1)</f>
        <v/>
      </c>
      <c r="Q226" s="13"/>
      <c r="R226" s="11"/>
      <c r="S226" s="13"/>
      <c r="T226" s="11"/>
      <c r="U226" s="11"/>
      <c r="V226" s="11"/>
      <c r="W226" s="11"/>
      <c r="X226" s="11"/>
    </row>
    <row r="227" customFormat="false" ht="15" hidden="false" customHeight="false" outlineLevel="0" collapsed="false">
      <c r="A227" s="11"/>
      <c r="B227" s="13"/>
      <c r="C227" s="11"/>
      <c r="D227" s="11"/>
      <c r="E227" s="11"/>
      <c r="F227" s="19"/>
      <c r="G227" s="12" t="str">
        <f aca="false">IF(F227="","",IF(F227&lt;=Parâmetros!$B$7,"Faixa 1",IF(F227&lt;=Parâmetros!$B$8,"Faixa 2","Faixa 3")))</f>
        <v/>
      </c>
      <c r="H227" s="12" t="str">
        <f aca="false">IF(G227="","",IF(G227="Faixa 1","Rodízio/Sorteio",IF(G227="Faixa 2","Cotação (≥3 propostas)","Chamada pública")))</f>
        <v/>
      </c>
      <c r="I227" s="11"/>
      <c r="J227" s="17" t="str">
        <f aca="false">IF(I227="","",IFERROR(INDEX(Cadastro!$B$5:$B$304,MATCH(I227,Cadastro!$A$5:$A$304,0)),"ID não encontrado"))</f>
        <v/>
      </c>
      <c r="K227" s="17" t="str">
        <f aca="false">IF(I227="","",IFERROR(INDEX(Cadastro!$E$5:$E$304,MATCH(I227,Cadastro!$A$5:$A$304,0)),""))</f>
        <v/>
      </c>
      <c r="L227" s="17" t="str">
        <f aca="false">IF(I227="","",IFERROR(INDEX(Cadastro!$F$5:$F$304,MATCH(I227,Cadastro!$A$5:$A$304,0)),""))</f>
        <v/>
      </c>
      <c r="M227" s="17" t="str">
        <f aca="false">IF(I227="","",IFERROR(INDEX(Cadastro!$I$5:$I$304,MATCH(I227,Cadastro!$A$5:$A$304,0)),""))</f>
        <v/>
      </c>
      <c r="N227" s="19"/>
      <c r="O227" s="13"/>
      <c r="P227" s="12" t="str">
        <f aca="false">IF(OR(B227="",O227=""),"",NETWORKDAYS(B227,O227)-1)</f>
        <v/>
      </c>
      <c r="Q227" s="13"/>
      <c r="R227" s="11"/>
      <c r="S227" s="13"/>
      <c r="T227" s="11"/>
      <c r="U227" s="11"/>
      <c r="V227" s="11"/>
      <c r="W227" s="11"/>
      <c r="X227" s="11"/>
    </row>
    <row r="228" customFormat="false" ht="15" hidden="false" customHeight="false" outlineLevel="0" collapsed="false">
      <c r="A228" s="11"/>
      <c r="B228" s="13"/>
      <c r="C228" s="11"/>
      <c r="D228" s="11"/>
      <c r="E228" s="11"/>
      <c r="F228" s="19"/>
      <c r="G228" s="12" t="str">
        <f aca="false">IF(F228="","",IF(F228&lt;=Parâmetros!$B$7,"Faixa 1",IF(F228&lt;=Parâmetros!$B$8,"Faixa 2","Faixa 3")))</f>
        <v/>
      </c>
      <c r="H228" s="12" t="str">
        <f aca="false">IF(G228="","",IF(G228="Faixa 1","Rodízio/Sorteio",IF(G228="Faixa 2","Cotação (≥3 propostas)","Chamada pública")))</f>
        <v/>
      </c>
      <c r="I228" s="11"/>
      <c r="J228" s="17" t="str">
        <f aca="false">IF(I228="","",IFERROR(INDEX(Cadastro!$B$5:$B$304,MATCH(I228,Cadastro!$A$5:$A$304,0)),"ID não encontrado"))</f>
        <v/>
      </c>
      <c r="K228" s="17" t="str">
        <f aca="false">IF(I228="","",IFERROR(INDEX(Cadastro!$E$5:$E$304,MATCH(I228,Cadastro!$A$5:$A$304,0)),""))</f>
        <v/>
      </c>
      <c r="L228" s="17" t="str">
        <f aca="false">IF(I228="","",IFERROR(INDEX(Cadastro!$F$5:$F$304,MATCH(I228,Cadastro!$A$5:$A$304,0)),""))</f>
        <v/>
      </c>
      <c r="M228" s="17" t="str">
        <f aca="false">IF(I228="","",IFERROR(INDEX(Cadastro!$I$5:$I$304,MATCH(I228,Cadastro!$A$5:$A$304,0)),""))</f>
        <v/>
      </c>
      <c r="N228" s="19"/>
      <c r="O228" s="13"/>
      <c r="P228" s="12" t="str">
        <f aca="false">IF(OR(B228="",O228=""),"",NETWORKDAYS(B228,O228)-1)</f>
        <v/>
      </c>
      <c r="Q228" s="13"/>
      <c r="R228" s="11"/>
      <c r="S228" s="13"/>
      <c r="T228" s="11"/>
      <c r="U228" s="11"/>
      <c r="V228" s="11"/>
      <c r="W228" s="11"/>
      <c r="X228" s="11"/>
    </row>
    <row r="229" customFormat="false" ht="15" hidden="false" customHeight="false" outlineLevel="0" collapsed="false">
      <c r="A229" s="11"/>
      <c r="B229" s="13"/>
      <c r="C229" s="11"/>
      <c r="D229" s="11"/>
      <c r="E229" s="11"/>
      <c r="F229" s="19"/>
      <c r="G229" s="12" t="str">
        <f aca="false">IF(F229="","",IF(F229&lt;=Parâmetros!$B$7,"Faixa 1",IF(F229&lt;=Parâmetros!$B$8,"Faixa 2","Faixa 3")))</f>
        <v/>
      </c>
      <c r="H229" s="12" t="str">
        <f aca="false">IF(G229="","",IF(G229="Faixa 1","Rodízio/Sorteio",IF(G229="Faixa 2","Cotação (≥3 propostas)","Chamada pública")))</f>
        <v/>
      </c>
      <c r="I229" s="11"/>
      <c r="J229" s="17" t="str">
        <f aca="false">IF(I229="","",IFERROR(INDEX(Cadastro!$B$5:$B$304,MATCH(I229,Cadastro!$A$5:$A$304,0)),"ID não encontrado"))</f>
        <v/>
      </c>
      <c r="K229" s="17" t="str">
        <f aca="false">IF(I229="","",IFERROR(INDEX(Cadastro!$E$5:$E$304,MATCH(I229,Cadastro!$A$5:$A$304,0)),""))</f>
        <v/>
      </c>
      <c r="L229" s="17" t="str">
        <f aca="false">IF(I229="","",IFERROR(INDEX(Cadastro!$F$5:$F$304,MATCH(I229,Cadastro!$A$5:$A$304,0)),""))</f>
        <v/>
      </c>
      <c r="M229" s="17" t="str">
        <f aca="false">IF(I229="","",IFERROR(INDEX(Cadastro!$I$5:$I$304,MATCH(I229,Cadastro!$A$5:$A$304,0)),""))</f>
        <v/>
      </c>
      <c r="N229" s="19"/>
      <c r="O229" s="13"/>
      <c r="P229" s="12" t="str">
        <f aca="false">IF(OR(B229="",O229=""),"",NETWORKDAYS(B229,O229)-1)</f>
        <v/>
      </c>
      <c r="Q229" s="13"/>
      <c r="R229" s="11"/>
      <c r="S229" s="13"/>
      <c r="T229" s="11"/>
      <c r="U229" s="11"/>
      <c r="V229" s="11"/>
      <c r="W229" s="11"/>
      <c r="X229" s="11"/>
    </row>
    <row r="230" customFormat="false" ht="15" hidden="false" customHeight="false" outlineLevel="0" collapsed="false">
      <c r="A230" s="11"/>
      <c r="B230" s="13"/>
      <c r="C230" s="11"/>
      <c r="D230" s="11"/>
      <c r="E230" s="11"/>
      <c r="F230" s="19"/>
      <c r="G230" s="12" t="str">
        <f aca="false">IF(F230="","",IF(F230&lt;=Parâmetros!$B$7,"Faixa 1",IF(F230&lt;=Parâmetros!$B$8,"Faixa 2","Faixa 3")))</f>
        <v/>
      </c>
      <c r="H230" s="12" t="str">
        <f aca="false">IF(G230="","",IF(G230="Faixa 1","Rodízio/Sorteio",IF(G230="Faixa 2","Cotação (≥3 propostas)","Chamada pública")))</f>
        <v/>
      </c>
      <c r="I230" s="11"/>
      <c r="J230" s="17" t="str">
        <f aca="false">IF(I230="","",IFERROR(INDEX(Cadastro!$B$5:$B$304,MATCH(I230,Cadastro!$A$5:$A$304,0)),"ID não encontrado"))</f>
        <v/>
      </c>
      <c r="K230" s="17" t="str">
        <f aca="false">IF(I230="","",IFERROR(INDEX(Cadastro!$E$5:$E$304,MATCH(I230,Cadastro!$A$5:$A$304,0)),""))</f>
        <v/>
      </c>
      <c r="L230" s="17" t="str">
        <f aca="false">IF(I230="","",IFERROR(INDEX(Cadastro!$F$5:$F$304,MATCH(I230,Cadastro!$A$5:$A$304,0)),""))</f>
        <v/>
      </c>
      <c r="M230" s="17" t="str">
        <f aca="false">IF(I230="","",IFERROR(INDEX(Cadastro!$I$5:$I$304,MATCH(I230,Cadastro!$A$5:$A$304,0)),""))</f>
        <v/>
      </c>
      <c r="N230" s="19"/>
      <c r="O230" s="13"/>
      <c r="P230" s="12" t="str">
        <f aca="false">IF(OR(B230="",O230=""),"",NETWORKDAYS(B230,O230)-1)</f>
        <v/>
      </c>
      <c r="Q230" s="13"/>
      <c r="R230" s="11"/>
      <c r="S230" s="13"/>
      <c r="T230" s="11"/>
      <c r="U230" s="11"/>
      <c r="V230" s="11"/>
      <c r="W230" s="11"/>
      <c r="X230" s="11"/>
    </row>
    <row r="231" customFormat="false" ht="15" hidden="false" customHeight="false" outlineLevel="0" collapsed="false">
      <c r="A231" s="11"/>
      <c r="B231" s="13"/>
      <c r="C231" s="11"/>
      <c r="D231" s="11"/>
      <c r="E231" s="11"/>
      <c r="F231" s="19"/>
      <c r="G231" s="12" t="str">
        <f aca="false">IF(F231="","",IF(F231&lt;=Parâmetros!$B$7,"Faixa 1",IF(F231&lt;=Parâmetros!$B$8,"Faixa 2","Faixa 3")))</f>
        <v/>
      </c>
      <c r="H231" s="12" t="str">
        <f aca="false">IF(G231="","",IF(G231="Faixa 1","Rodízio/Sorteio",IF(G231="Faixa 2","Cotação (≥3 propostas)","Chamada pública")))</f>
        <v/>
      </c>
      <c r="I231" s="11"/>
      <c r="J231" s="17" t="str">
        <f aca="false">IF(I231="","",IFERROR(INDEX(Cadastro!$B$5:$B$304,MATCH(I231,Cadastro!$A$5:$A$304,0)),"ID não encontrado"))</f>
        <v/>
      </c>
      <c r="K231" s="17" t="str">
        <f aca="false">IF(I231="","",IFERROR(INDEX(Cadastro!$E$5:$E$304,MATCH(I231,Cadastro!$A$5:$A$304,0)),""))</f>
        <v/>
      </c>
      <c r="L231" s="17" t="str">
        <f aca="false">IF(I231="","",IFERROR(INDEX(Cadastro!$F$5:$F$304,MATCH(I231,Cadastro!$A$5:$A$304,0)),""))</f>
        <v/>
      </c>
      <c r="M231" s="17" t="str">
        <f aca="false">IF(I231="","",IFERROR(INDEX(Cadastro!$I$5:$I$304,MATCH(I231,Cadastro!$A$5:$A$304,0)),""))</f>
        <v/>
      </c>
      <c r="N231" s="19"/>
      <c r="O231" s="13"/>
      <c r="P231" s="12" t="str">
        <f aca="false">IF(OR(B231="",O231=""),"",NETWORKDAYS(B231,O231)-1)</f>
        <v/>
      </c>
      <c r="Q231" s="13"/>
      <c r="R231" s="11"/>
      <c r="S231" s="13"/>
      <c r="T231" s="11"/>
      <c r="U231" s="11"/>
      <c r="V231" s="11"/>
      <c r="W231" s="11"/>
      <c r="X231" s="11"/>
    </row>
    <row r="232" customFormat="false" ht="15" hidden="false" customHeight="false" outlineLevel="0" collapsed="false">
      <c r="A232" s="11"/>
      <c r="B232" s="13"/>
      <c r="C232" s="11"/>
      <c r="D232" s="11"/>
      <c r="E232" s="11"/>
      <c r="F232" s="19"/>
      <c r="G232" s="12" t="str">
        <f aca="false">IF(F232="","",IF(F232&lt;=Parâmetros!$B$7,"Faixa 1",IF(F232&lt;=Parâmetros!$B$8,"Faixa 2","Faixa 3")))</f>
        <v/>
      </c>
      <c r="H232" s="12" t="str">
        <f aca="false">IF(G232="","",IF(G232="Faixa 1","Rodízio/Sorteio",IF(G232="Faixa 2","Cotação (≥3 propostas)","Chamada pública")))</f>
        <v/>
      </c>
      <c r="I232" s="11"/>
      <c r="J232" s="17" t="str">
        <f aca="false">IF(I232="","",IFERROR(INDEX(Cadastro!$B$5:$B$304,MATCH(I232,Cadastro!$A$5:$A$304,0)),"ID não encontrado"))</f>
        <v/>
      </c>
      <c r="K232" s="17" t="str">
        <f aca="false">IF(I232="","",IFERROR(INDEX(Cadastro!$E$5:$E$304,MATCH(I232,Cadastro!$A$5:$A$304,0)),""))</f>
        <v/>
      </c>
      <c r="L232" s="17" t="str">
        <f aca="false">IF(I232="","",IFERROR(INDEX(Cadastro!$F$5:$F$304,MATCH(I232,Cadastro!$A$5:$A$304,0)),""))</f>
        <v/>
      </c>
      <c r="M232" s="17" t="str">
        <f aca="false">IF(I232="","",IFERROR(INDEX(Cadastro!$I$5:$I$304,MATCH(I232,Cadastro!$A$5:$A$304,0)),""))</f>
        <v/>
      </c>
      <c r="N232" s="19"/>
      <c r="O232" s="13"/>
      <c r="P232" s="12" t="str">
        <f aca="false">IF(OR(B232="",O232=""),"",NETWORKDAYS(B232,O232)-1)</f>
        <v/>
      </c>
      <c r="Q232" s="13"/>
      <c r="R232" s="11"/>
      <c r="S232" s="13"/>
      <c r="T232" s="11"/>
      <c r="U232" s="11"/>
      <c r="V232" s="11"/>
      <c r="W232" s="11"/>
      <c r="X232" s="11"/>
    </row>
    <row r="233" customFormat="false" ht="15" hidden="false" customHeight="false" outlineLevel="0" collapsed="false">
      <c r="A233" s="11"/>
      <c r="B233" s="13"/>
      <c r="C233" s="11"/>
      <c r="D233" s="11"/>
      <c r="E233" s="11"/>
      <c r="F233" s="19"/>
      <c r="G233" s="12" t="str">
        <f aca="false">IF(F233="","",IF(F233&lt;=Parâmetros!$B$7,"Faixa 1",IF(F233&lt;=Parâmetros!$B$8,"Faixa 2","Faixa 3")))</f>
        <v/>
      </c>
      <c r="H233" s="12" t="str">
        <f aca="false">IF(G233="","",IF(G233="Faixa 1","Rodízio/Sorteio",IF(G233="Faixa 2","Cotação (≥3 propostas)","Chamada pública")))</f>
        <v/>
      </c>
      <c r="I233" s="11"/>
      <c r="J233" s="17" t="str">
        <f aca="false">IF(I233="","",IFERROR(INDEX(Cadastro!$B$5:$B$304,MATCH(I233,Cadastro!$A$5:$A$304,0)),"ID não encontrado"))</f>
        <v/>
      </c>
      <c r="K233" s="17" t="str">
        <f aca="false">IF(I233="","",IFERROR(INDEX(Cadastro!$E$5:$E$304,MATCH(I233,Cadastro!$A$5:$A$304,0)),""))</f>
        <v/>
      </c>
      <c r="L233" s="17" t="str">
        <f aca="false">IF(I233="","",IFERROR(INDEX(Cadastro!$F$5:$F$304,MATCH(I233,Cadastro!$A$5:$A$304,0)),""))</f>
        <v/>
      </c>
      <c r="M233" s="17" t="str">
        <f aca="false">IF(I233="","",IFERROR(INDEX(Cadastro!$I$5:$I$304,MATCH(I233,Cadastro!$A$5:$A$304,0)),""))</f>
        <v/>
      </c>
      <c r="N233" s="19"/>
      <c r="O233" s="13"/>
      <c r="P233" s="12" t="str">
        <f aca="false">IF(OR(B233="",O233=""),"",NETWORKDAYS(B233,O233)-1)</f>
        <v/>
      </c>
      <c r="Q233" s="13"/>
      <c r="R233" s="11"/>
      <c r="S233" s="13"/>
      <c r="T233" s="11"/>
      <c r="U233" s="11"/>
      <c r="V233" s="11"/>
      <c r="W233" s="11"/>
      <c r="X233" s="11"/>
    </row>
    <row r="234" customFormat="false" ht="15" hidden="false" customHeight="false" outlineLevel="0" collapsed="false">
      <c r="A234" s="11"/>
      <c r="B234" s="13"/>
      <c r="C234" s="11"/>
      <c r="D234" s="11"/>
      <c r="E234" s="11"/>
      <c r="F234" s="19"/>
      <c r="G234" s="12" t="str">
        <f aca="false">IF(F234="","",IF(F234&lt;=Parâmetros!$B$7,"Faixa 1",IF(F234&lt;=Parâmetros!$B$8,"Faixa 2","Faixa 3")))</f>
        <v/>
      </c>
      <c r="H234" s="12" t="str">
        <f aca="false">IF(G234="","",IF(G234="Faixa 1","Rodízio/Sorteio",IF(G234="Faixa 2","Cotação (≥3 propostas)","Chamada pública")))</f>
        <v/>
      </c>
      <c r="I234" s="11"/>
      <c r="J234" s="17" t="str">
        <f aca="false">IF(I234="","",IFERROR(INDEX(Cadastro!$B$5:$B$304,MATCH(I234,Cadastro!$A$5:$A$304,0)),"ID não encontrado"))</f>
        <v/>
      </c>
      <c r="K234" s="17" t="str">
        <f aca="false">IF(I234="","",IFERROR(INDEX(Cadastro!$E$5:$E$304,MATCH(I234,Cadastro!$A$5:$A$304,0)),""))</f>
        <v/>
      </c>
      <c r="L234" s="17" t="str">
        <f aca="false">IF(I234="","",IFERROR(INDEX(Cadastro!$F$5:$F$304,MATCH(I234,Cadastro!$A$5:$A$304,0)),""))</f>
        <v/>
      </c>
      <c r="M234" s="17" t="str">
        <f aca="false">IF(I234="","",IFERROR(INDEX(Cadastro!$I$5:$I$304,MATCH(I234,Cadastro!$A$5:$A$304,0)),""))</f>
        <v/>
      </c>
      <c r="N234" s="19"/>
      <c r="O234" s="13"/>
      <c r="P234" s="12" t="str">
        <f aca="false">IF(OR(B234="",O234=""),"",NETWORKDAYS(B234,O234)-1)</f>
        <v/>
      </c>
      <c r="Q234" s="13"/>
      <c r="R234" s="11"/>
      <c r="S234" s="13"/>
      <c r="T234" s="11"/>
      <c r="U234" s="11"/>
      <c r="V234" s="11"/>
      <c r="W234" s="11"/>
      <c r="X234" s="11"/>
    </row>
    <row r="235" customFormat="false" ht="15" hidden="false" customHeight="false" outlineLevel="0" collapsed="false">
      <c r="A235" s="11"/>
      <c r="B235" s="13"/>
      <c r="C235" s="11"/>
      <c r="D235" s="11"/>
      <c r="E235" s="11"/>
      <c r="F235" s="19"/>
      <c r="G235" s="12" t="str">
        <f aca="false">IF(F235="","",IF(F235&lt;=Parâmetros!$B$7,"Faixa 1",IF(F235&lt;=Parâmetros!$B$8,"Faixa 2","Faixa 3")))</f>
        <v/>
      </c>
      <c r="H235" s="12" t="str">
        <f aca="false">IF(G235="","",IF(G235="Faixa 1","Rodízio/Sorteio",IF(G235="Faixa 2","Cotação (≥3 propostas)","Chamada pública")))</f>
        <v/>
      </c>
      <c r="I235" s="11"/>
      <c r="J235" s="17" t="str">
        <f aca="false">IF(I235="","",IFERROR(INDEX(Cadastro!$B$5:$B$304,MATCH(I235,Cadastro!$A$5:$A$304,0)),"ID não encontrado"))</f>
        <v/>
      </c>
      <c r="K235" s="17" t="str">
        <f aca="false">IF(I235="","",IFERROR(INDEX(Cadastro!$E$5:$E$304,MATCH(I235,Cadastro!$A$5:$A$304,0)),""))</f>
        <v/>
      </c>
      <c r="L235" s="17" t="str">
        <f aca="false">IF(I235="","",IFERROR(INDEX(Cadastro!$F$5:$F$304,MATCH(I235,Cadastro!$A$5:$A$304,0)),""))</f>
        <v/>
      </c>
      <c r="M235" s="17" t="str">
        <f aca="false">IF(I235="","",IFERROR(INDEX(Cadastro!$I$5:$I$304,MATCH(I235,Cadastro!$A$5:$A$304,0)),""))</f>
        <v/>
      </c>
      <c r="N235" s="19"/>
      <c r="O235" s="13"/>
      <c r="P235" s="12" t="str">
        <f aca="false">IF(OR(B235="",O235=""),"",NETWORKDAYS(B235,O235)-1)</f>
        <v/>
      </c>
      <c r="Q235" s="13"/>
      <c r="R235" s="11"/>
      <c r="S235" s="13"/>
      <c r="T235" s="11"/>
      <c r="U235" s="11"/>
      <c r="V235" s="11"/>
      <c r="W235" s="11"/>
      <c r="X235" s="11"/>
    </row>
    <row r="236" customFormat="false" ht="15" hidden="false" customHeight="false" outlineLevel="0" collapsed="false">
      <c r="A236" s="11"/>
      <c r="B236" s="13"/>
      <c r="C236" s="11"/>
      <c r="D236" s="11"/>
      <c r="E236" s="11"/>
      <c r="F236" s="19"/>
      <c r="G236" s="12" t="str">
        <f aca="false">IF(F236="","",IF(F236&lt;=Parâmetros!$B$7,"Faixa 1",IF(F236&lt;=Parâmetros!$B$8,"Faixa 2","Faixa 3")))</f>
        <v/>
      </c>
      <c r="H236" s="12" t="str">
        <f aca="false">IF(G236="","",IF(G236="Faixa 1","Rodízio/Sorteio",IF(G236="Faixa 2","Cotação (≥3 propostas)","Chamada pública")))</f>
        <v/>
      </c>
      <c r="I236" s="11"/>
      <c r="J236" s="17" t="str">
        <f aca="false">IF(I236="","",IFERROR(INDEX(Cadastro!$B$5:$B$304,MATCH(I236,Cadastro!$A$5:$A$304,0)),"ID não encontrado"))</f>
        <v/>
      </c>
      <c r="K236" s="17" t="str">
        <f aca="false">IF(I236="","",IFERROR(INDEX(Cadastro!$E$5:$E$304,MATCH(I236,Cadastro!$A$5:$A$304,0)),""))</f>
        <v/>
      </c>
      <c r="L236" s="17" t="str">
        <f aca="false">IF(I236="","",IFERROR(INDEX(Cadastro!$F$5:$F$304,MATCH(I236,Cadastro!$A$5:$A$304,0)),""))</f>
        <v/>
      </c>
      <c r="M236" s="17" t="str">
        <f aca="false">IF(I236="","",IFERROR(INDEX(Cadastro!$I$5:$I$304,MATCH(I236,Cadastro!$A$5:$A$304,0)),""))</f>
        <v/>
      </c>
      <c r="N236" s="19"/>
      <c r="O236" s="13"/>
      <c r="P236" s="12" t="str">
        <f aca="false">IF(OR(B236="",O236=""),"",NETWORKDAYS(B236,O236)-1)</f>
        <v/>
      </c>
      <c r="Q236" s="13"/>
      <c r="R236" s="11"/>
      <c r="S236" s="13"/>
      <c r="T236" s="11"/>
      <c r="U236" s="11"/>
      <c r="V236" s="11"/>
      <c r="W236" s="11"/>
      <c r="X236" s="11"/>
    </row>
    <row r="237" customFormat="false" ht="15" hidden="false" customHeight="false" outlineLevel="0" collapsed="false">
      <c r="A237" s="11"/>
      <c r="B237" s="13"/>
      <c r="C237" s="11"/>
      <c r="D237" s="11"/>
      <c r="E237" s="11"/>
      <c r="F237" s="19"/>
      <c r="G237" s="12" t="str">
        <f aca="false">IF(F237="","",IF(F237&lt;=Parâmetros!$B$7,"Faixa 1",IF(F237&lt;=Parâmetros!$B$8,"Faixa 2","Faixa 3")))</f>
        <v/>
      </c>
      <c r="H237" s="12" t="str">
        <f aca="false">IF(G237="","",IF(G237="Faixa 1","Rodízio/Sorteio",IF(G237="Faixa 2","Cotação (≥3 propostas)","Chamada pública")))</f>
        <v/>
      </c>
      <c r="I237" s="11"/>
      <c r="J237" s="17" t="str">
        <f aca="false">IF(I237="","",IFERROR(INDEX(Cadastro!$B$5:$B$304,MATCH(I237,Cadastro!$A$5:$A$304,0)),"ID não encontrado"))</f>
        <v/>
      </c>
      <c r="K237" s="17" t="str">
        <f aca="false">IF(I237="","",IFERROR(INDEX(Cadastro!$E$5:$E$304,MATCH(I237,Cadastro!$A$5:$A$304,0)),""))</f>
        <v/>
      </c>
      <c r="L237" s="17" t="str">
        <f aca="false">IF(I237="","",IFERROR(INDEX(Cadastro!$F$5:$F$304,MATCH(I237,Cadastro!$A$5:$A$304,0)),""))</f>
        <v/>
      </c>
      <c r="M237" s="17" t="str">
        <f aca="false">IF(I237="","",IFERROR(INDEX(Cadastro!$I$5:$I$304,MATCH(I237,Cadastro!$A$5:$A$304,0)),""))</f>
        <v/>
      </c>
      <c r="N237" s="19"/>
      <c r="O237" s="13"/>
      <c r="P237" s="12" t="str">
        <f aca="false">IF(OR(B237="",O237=""),"",NETWORKDAYS(B237,O237)-1)</f>
        <v/>
      </c>
      <c r="Q237" s="13"/>
      <c r="R237" s="11"/>
      <c r="S237" s="13"/>
      <c r="T237" s="11"/>
      <c r="U237" s="11"/>
      <c r="V237" s="11"/>
      <c r="W237" s="11"/>
      <c r="X237" s="11"/>
    </row>
    <row r="238" customFormat="false" ht="15" hidden="false" customHeight="false" outlineLevel="0" collapsed="false">
      <c r="A238" s="11"/>
      <c r="B238" s="13"/>
      <c r="C238" s="11"/>
      <c r="D238" s="11"/>
      <c r="E238" s="11"/>
      <c r="F238" s="19"/>
      <c r="G238" s="12" t="str">
        <f aca="false">IF(F238="","",IF(F238&lt;=Parâmetros!$B$7,"Faixa 1",IF(F238&lt;=Parâmetros!$B$8,"Faixa 2","Faixa 3")))</f>
        <v/>
      </c>
      <c r="H238" s="12" t="str">
        <f aca="false">IF(G238="","",IF(G238="Faixa 1","Rodízio/Sorteio",IF(G238="Faixa 2","Cotação (≥3 propostas)","Chamada pública")))</f>
        <v/>
      </c>
      <c r="I238" s="11"/>
      <c r="J238" s="17" t="str">
        <f aca="false">IF(I238="","",IFERROR(INDEX(Cadastro!$B$5:$B$304,MATCH(I238,Cadastro!$A$5:$A$304,0)),"ID não encontrado"))</f>
        <v/>
      </c>
      <c r="K238" s="17" t="str">
        <f aca="false">IF(I238="","",IFERROR(INDEX(Cadastro!$E$5:$E$304,MATCH(I238,Cadastro!$A$5:$A$304,0)),""))</f>
        <v/>
      </c>
      <c r="L238" s="17" t="str">
        <f aca="false">IF(I238="","",IFERROR(INDEX(Cadastro!$F$5:$F$304,MATCH(I238,Cadastro!$A$5:$A$304,0)),""))</f>
        <v/>
      </c>
      <c r="M238" s="17" t="str">
        <f aca="false">IF(I238="","",IFERROR(INDEX(Cadastro!$I$5:$I$304,MATCH(I238,Cadastro!$A$5:$A$304,0)),""))</f>
        <v/>
      </c>
      <c r="N238" s="19"/>
      <c r="O238" s="13"/>
      <c r="P238" s="12" t="str">
        <f aca="false">IF(OR(B238="",O238=""),"",NETWORKDAYS(B238,O238)-1)</f>
        <v/>
      </c>
      <c r="Q238" s="13"/>
      <c r="R238" s="11"/>
      <c r="S238" s="13"/>
      <c r="T238" s="11"/>
      <c r="U238" s="11"/>
      <c r="V238" s="11"/>
      <c r="W238" s="11"/>
      <c r="X238" s="11"/>
    </row>
    <row r="239" customFormat="false" ht="15" hidden="false" customHeight="false" outlineLevel="0" collapsed="false">
      <c r="A239" s="11"/>
      <c r="B239" s="13"/>
      <c r="C239" s="11"/>
      <c r="D239" s="11"/>
      <c r="E239" s="11"/>
      <c r="F239" s="19"/>
      <c r="G239" s="12" t="str">
        <f aca="false">IF(F239="","",IF(F239&lt;=Parâmetros!$B$7,"Faixa 1",IF(F239&lt;=Parâmetros!$B$8,"Faixa 2","Faixa 3")))</f>
        <v/>
      </c>
      <c r="H239" s="12" t="str">
        <f aca="false">IF(G239="","",IF(G239="Faixa 1","Rodízio/Sorteio",IF(G239="Faixa 2","Cotação (≥3 propostas)","Chamada pública")))</f>
        <v/>
      </c>
      <c r="I239" s="11"/>
      <c r="J239" s="17" t="str">
        <f aca="false">IF(I239="","",IFERROR(INDEX(Cadastro!$B$5:$B$304,MATCH(I239,Cadastro!$A$5:$A$304,0)),"ID não encontrado"))</f>
        <v/>
      </c>
      <c r="K239" s="17" t="str">
        <f aca="false">IF(I239="","",IFERROR(INDEX(Cadastro!$E$5:$E$304,MATCH(I239,Cadastro!$A$5:$A$304,0)),""))</f>
        <v/>
      </c>
      <c r="L239" s="17" t="str">
        <f aca="false">IF(I239="","",IFERROR(INDEX(Cadastro!$F$5:$F$304,MATCH(I239,Cadastro!$A$5:$A$304,0)),""))</f>
        <v/>
      </c>
      <c r="M239" s="17" t="str">
        <f aca="false">IF(I239="","",IFERROR(INDEX(Cadastro!$I$5:$I$304,MATCH(I239,Cadastro!$A$5:$A$304,0)),""))</f>
        <v/>
      </c>
      <c r="N239" s="19"/>
      <c r="O239" s="13"/>
      <c r="P239" s="12" t="str">
        <f aca="false">IF(OR(B239="",O239=""),"",NETWORKDAYS(B239,O239)-1)</f>
        <v/>
      </c>
      <c r="Q239" s="13"/>
      <c r="R239" s="11"/>
      <c r="S239" s="13"/>
      <c r="T239" s="11"/>
      <c r="U239" s="11"/>
      <c r="V239" s="11"/>
      <c r="W239" s="11"/>
      <c r="X239" s="11"/>
    </row>
    <row r="240" customFormat="false" ht="15" hidden="false" customHeight="false" outlineLevel="0" collapsed="false">
      <c r="A240" s="11"/>
      <c r="B240" s="13"/>
      <c r="C240" s="11"/>
      <c r="D240" s="11"/>
      <c r="E240" s="11"/>
      <c r="F240" s="19"/>
      <c r="G240" s="12" t="str">
        <f aca="false">IF(F240="","",IF(F240&lt;=Parâmetros!$B$7,"Faixa 1",IF(F240&lt;=Parâmetros!$B$8,"Faixa 2","Faixa 3")))</f>
        <v/>
      </c>
      <c r="H240" s="12" t="str">
        <f aca="false">IF(G240="","",IF(G240="Faixa 1","Rodízio/Sorteio",IF(G240="Faixa 2","Cotação (≥3 propostas)","Chamada pública")))</f>
        <v/>
      </c>
      <c r="I240" s="11"/>
      <c r="J240" s="17" t="str">
        <f aca="false">IF(I240="","",IFERROR(INDEX(Cadastro!$B$5:$B$304,MATCH(I240,Cadastro!$A$5:$A$304,0)),"ID não encontrado"))</f>
        <v/>
      </c>
      <c r="K240" s="17" t="str">
        <f aca="false">IF(I240="","",IFERROR(INDEX(Cadastro!$E$5:$E$304,MATCH(I240,Cadastro!$A$5:$A$304,0)),""))</f>
        <v/>
      </c>
      <c r="L240" s="17" t="str">
        <f aca="false">IF(I240="","",IFERROR(INDEX(Cadastro!$F$5:$F$304,MATCH(I240,Cadastro!$A$5:$A$304,0)),""))</f>
        <v/>
      </c>
      <c r="M240" s="17" t="str">
        <f aca="false">IF(I240="","",IFERROR(INDEX(Cadastro!$I$5:$I$304,MATCH(I240,Cadastro!$A$5:$A$304,0)),""))</f>
        <v/>
      </c>
      <c r="N240" s="19"/>
      <c r="O240" s="13"/>
      <c r="P240" s="12" t="str">
        <f aca="false">IF(OR(B240="",O240=""),"",NETWORKDAYS(B240,O240)-1)</f>
        <v/>
      </c>
      <c r="Q240" s="13"/>
      <c r="R240" s="11"/>
      <c r="S240" s="13"/>
      <c r="T240" s="11"/>
      <c r="U240" s="11"/>
      <c r="V240" s="11"/>
      <c r="W240" s="11"/>
      <c r="X240" s="11"/>
    </row>
    <row r="241" customFormat="false" ht="15" hidden="false" customHeight="false" outlineLevel="0" collapsed="false">
      <c r="A241" s="11"/>
      <c r="B241" s="13"/>
      <c r="C241" s="11"/>
      <c r="D241" s="11"/>
      <c r="E241" s="11"/>
      <c r="F241" s="19"/>
      <c r="G241" s="12" t="str">
        <f aca="false">IF(F241="","",IF(F241&lt;=Parâmetros!$B$7,"Faixa 1",IF(F241&lt;=Parâmetros!$B$8,"Faixa 2","Faixa 3")))</f>
        <v/>
      </c>
      <c r="H241" s="12" t="str">
        <f aca="false">IF(G241="","",IF(G241="Faixa 1","Rodízio/Sorteio",IF(G241="Faixa 2","Cotação (≥3 propostas)","Chamada pública")))</f>
        <v/>
      </c>
      <c r="I241" s="11"/>
      <c r="J241" s="17" t="str">
        <f aca="false">IF(I241="","",IFERROR(INDEX(Cadastro!$B$5:$B$304,MATCH(I241,Cadastro!$A$5:$A$304,0)),"ID não encontrado"))</f>
        <v/>
      </c>
      <c r="K241" s="17" t="str">
        <f aca="false">IF(I241="","",IFERROR(INDEX(Cadastro!$E$5:$E$304,MATCH(I241,Cadastro!$A$5:$A$304,0)),""))</f>
        <v/>
      </c>
      <c r="L241" s="17" t="str">
        <f aca="false">IF(I241="","",IFERROR(INDEX(Cadastro!$F$5:$F$304,MATCH(I241,Cadastro!$A$5:$A$304,0)),""))</f>
        <v/>
      </c>
      <c r="M241" s="17" t="str">
        <f aca="false">IF(I241="","",IFERROR(INDEX(Cadastro!$I$5:$I$304,MATCH(I241,Cadastro!$A$5:$A$304,0)),""))</f>
        <v/>
      </c>
      <c r="N241" s="19"/>
      <c r="O241" s="13"/>
      <c r="P241" s="12" t="str">
        <f aca="false">IF(OR(B241="",O241=""),"",NETWORKDAYS(B241,O241)-1)</f>
        <v/>
      </c>
      <c r="Q241" s="13"/>
      <c r="R241" s="11"/>
      <c r="S241" s="13"/>
      <c r="T241" s="11"/>
      <c r="U241" s="11"/>
      <c r="V241" s="11"/>
      <c r="W241" s="11"/>
      <c r="X241" s="11"/>
    </row>
    <row r="242" customFormat="false" ht="15" hidden="false" customHeight="false" outlineLevel="0" collapsed="false">
      <c r="A242" s="11"/>
      <c r="B242" s="13"/>
      <c r="C242" s="11"/>
      <c r="D242" s="11"/>
      <c r="E242" s="11"/>
      <c r="F242" s="19"/>
      <c r="G242" s="12" t="str">
        <f aca="false">IF(F242="","",IF(F242&lt;=Parâmetros!$B$7,"Faixa 1",IF(F242&lt;=Parâmetros!$B$8,"Faixa 2","Faixa 3")))</f>
        <v/>
      </c>
      <c r="H242" s="12" t="str">
        <f aca="false">IF(G242="","",IF(G242="Faixa 1","Rodízio/Sorteio",IF(G242="Faixa 2","Cotação (≥3 propostas)","Chamada pública")))</f>
        <v/>
      </c>
      <c r="I242" s="11"/>
      <c r="J242" s="17" t="str">
        <f aca="false">IF(I242="","",IFERROR(INDEX(Cadastro!$B$5:$B$304,MATCH(I242,Cadastro!$A$5:$A$304,0)),"ID não encontrado"))</f>
        <v/>
      </c>
      <c r="K242" s="17" t="str">
        <f aca="false">IF(I242="","",IFERROR(INDEX(Cadastro!$E$5:$E$304,MATCH(I242,Cadastro!$A$5:$A$304,0)),""))</f>
        <v/>
      </c>
      <c r="L242" s="17" t="str">
        <f aca="false">IF(I242="","",IFERROR(INDEX(Cadastro!$F$5:$F$304,MATCH(I242,Cadastro!$A$5:$A$304,0)),""))</f>
        <v/>
      </c>
      <c r="M242" s="17" t="str">
        <f aca="false">IF(I242="","",IFERROR(INDEX(Cadastro!$I$5:$I$304,MATCH(I242,Cadastro!$A$5:$A$304,0)),""))</f>
        <v/>
      </c>
      <c r="N242" s="19"/>
      <c r="O242" s="13"/>
      <c r="P242" s="12" t="str">
        <f aca="false">IF(OR(B242="",O242=""),"",NETWORKDAYS(B242,O242)-1)</f>
        <v/>
      </c>
      <c r="Q242" s="13"/>
      <c r="R242" s="11"/>
      <c r="S242" s="13"/>
      <c r="T242" s="11"/>
      <c r="U242" s="11"/>
      <c r="V242" s="11"/>
      <c r="W242" s="11"/>
      <c r="X242" s="11"/>
    </row>
    <row r="243" customFormat="false" ht="15" hidden="false" customHeight="false" outlineLevel="0" collapsed="false">
      <c r="A243" s="11"/>
      <c r="B243" s="13"/>
      <c r="C243" s="11"/>
      <c r="D243" s="11"/>
      <c r="E243" s="11"/>
      <c r="F243" s="19"/>
      <c r="G243" s="12" t="str">
        <f aca="false">IF(F243="","",IF(F243&lt;=Parâmetros!$B$7,"Faixa 1",IF(F243&lt;=Parâmetros!$B$8,"Faixa 2","Faixa 3")))</f>
        <v/>
      </c>
      <c r="H243" s="12" t="str">
        <f aca="false">IF(G243="","",IF(G243="Faixa 1","Rodízio/Sorteio",IF(G243="Faixa 2","Cotação (≥3 propostas)","Chamada pública")))</f>
        <v/>
      </c>
      <c r="I243" s="11"/>
      <c r="J243" s="17" t="str">
        <f aca="false">IF(I243="","",IFERROR(INDEX(Cadastro!$B$5:$B$304,MATCH(I243,Cadastro!$A$5:$A$304,0)),"ID não encontrado"))</f>
        <v/>
      </c>
      <c r="K243" s="17" t="str">
        <f aca="false">IF(I243="","",IFERROR(INDEX(Cadastro!$E$5:$E$304,MATCH(I243,Cadastro!$A$5:$A$304,0)),""))</f>
        <v/>
      </c>
      <c r="L243" s="17" t="str">
        <f aca="false">IF(I243="","",IFERROR(INDEX(Cadastro!$F$5:$F$304,MATCH(I243,Cadastro!$A$5:$A$304,0)),""))</f>
        <v/>
      </c>
      <c r="M243" s="17" t="str">
        <f aca="false">IF(I243="","",IFERROR(INDEX(Cadastro!$I$5:$I$304,MATCH(I243,Cadastro!$A$5:$A$304,0)),""))</f>
        <v/>
      </c>
      <c r="N243" s="19"/>
      <c r="O243" s="13"/>
      <c r="P243" s="12" t="str">
        <f aca="false">IF(OR(B243="",O243=""),"",NETWORKDAYS(B243,O243)-1)</f>
        <v/>
      </c>
      <c r="Q243" s="13"/>
      <c r="R243" s="11"/>
      <c r="S243" s="13"/>
      <c r="T243" s="11"/>
      <c r="U243" s="11"/>
      <c r="V243" s="11"/>
      <c r="W243" s="11"/>
      <c r="X243" s="11"/>
    </row>
    <row r="244" customFormat="false" ht="15" hidden="false" customHeight="false" outlineLevel="0" collapsed="false">
      <c r="A244" s="11"/>
      <c r="B244" s="13"/>
      <c r="C244" s="11"/>
      <c r="D244" s="11"/>
      <c r="E244" s="11"/>
      <c r="F244" s="19"/>
      <c r="G244" s="12" t="str">
        <f aca="false">IF(F244="","",IF(F244&lt;=Parâmetros!$B$7,"Faixa 1",IF(F244&lt;=Parâmetros!$B$8,"Faixa 2","Faixa 3")))</f>
        <v/>
      </c>
      <c r="H244" s="12" t="str">
        <f aca="false">IF(G244="","",IF(G244="Faixa 1","Rodízio/Sorteio",IF(G244="Faixa 2","Cotação (≥3 propostas)","Chamada pública")))</f>
        <v/>
      </c>
      <c r="I244" s="11"/>
      <c r="J244" s="17" t="str">
        <f aca="false">IF(I244="","",IFERROR(INDEX(Cadastro!$B$5:$B$304,MATCH(I244,Cadastro!$A$5:$A$304,0)),"ID não encontrado"))</f>
        <v/>
      </c>
      <c r="K244" s="17" t="str">
        <f aca="false">IF(I244="","",IFERROR(INDEX(Cadastro!$E$5:$E$304,MATCH(I244,Cadastro!$A$5:$A$304,0)),""))</f>
        <v/>
      </c>
      <c r="L244" s="17" t="str">
        <f aca="false">IF(I244="","",IFERROR(INDEX(Cadastro!$F$5:$F$304,MATCH(I244,Cadastro!$A$5:$A$304,0)),""))</f>
        <v/>
      </c>
      <c r="M244" s="17" t="str">
        <f aca="false">IF(I244="","",IFERROR(INDEX(Cadastro!$I$5:$I$304,MATCH(I244,Cadastro!$A$5:$A$304,0)),""))</f>
        <v/>
      </c>
      <c r="N244" s="19"/>
      <c r="O244" s="13"/>
      <c r="P244" s="12" t="str">
        <f aca="false">IF(OR(B244="",O244=""),"",NETWORKDAYS(B244,O244)-1)</f>
        <v/>
      </c>
      <c r="Q244" s="13"/>
      <c r="R244" s="11"/>
      <c r="S244" s="13"/>
      <c r="T244" s="11"/>
      <c r="U244" s="11"/>
      <c r="V244" s="11"/>
      <c r="W244" s="11"/>
      <c r="X244" s="11"/>
    </row>
    <row r="245" customFormat="false" ht="15" hidden="false" customHeight="false" outlineLevel="0" collapsed="false">
      <c r="A245" s="11"/>
      <c r="B245" s="13"/>
      <c r="C245" s="11"/>
      <c r="D245" s="11"/>
      <c r="E245" s="11"/>
      <c r="F245" s="19"/>
      <c r="G245" s="12" t="str">
        <f aca="false">IF(F245="","",IF(F245&lt;=Parâmetros!$B$7,"Faixa 1",IF(F245&lt;=Parâmetros!$B$8,"Faixa 2","Faixa 3")))</f>
        <v/>
      </c>
      <c r="H245" s="12" t="str">
        <f aca="false">IF(G245="","",IF(G245="Faixa 1","Rodízio/Sorteio",IF(G245="Faixa 2","Cotação (≥3 propostas)","Chamada pública")))</f>
        <v/>
      </c>
      <c r="I245" s="11"/>
      <c r="J245" s="17" t="str">
        <f aca="false">IF(I245="","",IFERROR(INDEX(Cadastro!$B$5:$B$304,MATCH(I245,Cadastro!$A$5:$A$304,0)),"ID não encontrado"))</f>
        <v/>
      </c>
      <c r="K245" s="17" t="str">
        <f aca="false">IF(I245="","",IFERROR(INDEX(Cadastro!$E$5:$E$304,MATCH(I245,Cadastro!$A$5:$A$304,0)),""))</f>
        <v/>
      </c>
      <c r="L245" s="17" t="str">
        <f aca="false">IF(I245="","",IFERROR(INDEX(Cadastro!$F$5:$F$304,MATCH(I245,Cadastro!$A$5:$A$304,0)),""))</f>
        <v/>
      </c>
      <c r="M245" s="17" t="str">
        <f aca="false">IF(I245="","",IFERROR(INDEX(Cadastro!$I$5:$I$304,MATCH(I245,Cadastro!$A$5:$A$304,0)),""))</f>
        <v/>
      </c>
      <c r="N245" s="19"/>
      <c r="O245" s="13"/>
      <c r="P245" s="12" t="str">
        <f aca="false">IF(OR(B245="",O245=""),"",NETWORKDAYS(B245,O245)-1)</f>
        <v/>
      </c>
      <c r="Q245" s="13"/>
      <c r="R245" s="11"/>
      <c r="S245" s="13"/>
      <c r="T245" s="11"/>
      <c r="U245" s="11"/>
      <c r="V245" s="11"/>
      <c r="W245" s="11"/>
      <c r="X245" s="11"/>
    </row>
    <row r="246" customFormat="false" ht="15" hidden="false" customHeight="false" outlineLevel="0" collapsed="false">
      <c r="A246" s="11"/>
      <c r="B246" s="13"/>
      <c r="C246" s="11"/>
      <c r="D246" s="11"/>
      <c r="E246" s="11"/>
      <c r="F246" s="19"/>
      <c r="G246" s="12" t="str">
        <f aca="false">IF(F246="","",IF(F246&lt;=Parâmetros!$B$7,"Faixa 1",IF(F246&lt;=Parâmetros!$B$8,"Faixa 2","Faixa 3")))</f>
        <v/>
      </c>
      <c r="H246" s="12" t="str">
        <f aca="false">IF(G246="","",IF(G246="Faixa 1","Rodízio/Sorteio",IF(G246="Faixa 2","Cotação (≥3 propostas)","Chamada pública")))</f>
        <v/>
      </c>
      <c r="I246" s="11"/>
      <c r="J246" s="17" t="str">
        <f aca="false">IF(I246="","",IFERROR(INDEX(Cadastro!$B$5:$B$304,MATCH(I246,Cadastro!$A$5:$A$304,0)),"ID não encontrado"))</f>
        <v/>
      </c>
      <c r="K246" s="17" t="str">
        <f aca="false">IF(I246="","",IFERROR(INDEX(Cadastro!$E$5:$E$304,MATCH(I246,Cadastro!$A$5:$A$304,0)),""))</f>
        <v/>
      </c>
      <c r="L246" s="17" t="str">
        <f aca="false">IF(I246="","",IFERROR(INDEX(Cadastro!$F$5:$F$304,MATCH(I246,Cadastro!$A$5:$A$304,0)),""))</f>
        <v/>
      </c>
      <c r="M246" s="17" t="str">
        <f aca="false">IF(I246="","",IFERROR(INDEX(Cadastro!$I$5:$I$304,MATCH(I246,Cadastro!$A$5:$A$304,0)),""))</f>
        <v/>
      </c>
      <c r="N246" s="19"/>
      <c r="O246" s="13"/>
      <c r="P246" s="12" t="str">
        <f aca="false">IF(OR(B246="",O246=""),"",NETWORKDAYS(B246,O246)-1)</f>
        <v/>
      </c>
      <c r="Q246" s="13"/>
      <c r="R246" s="11"/>
      <c r="S246" s="13"/>
      <c r="T246" s="11"/>
      <c r="U246" s="11"/>
      <c r="V246" s="11"/>
      <c r="W246" s="11"/>
      <c r="X246" s="11"/>
    </row>
    <row r="247" customFormat="false" ht="15" hidden="false" customHeight="false" outlineLevel="0" collapsed="false">
      <c r="A247" s="11"/>
      <c r="B247" s="13"/>
      <c r="C247" s="11"/>
      <c r="D247" s="11"/>
      <c r="E247" s="11"/>
      <c r="F247" s="19"/>
      <c r="G247" s="12" t="str">
        <f aca="false">IF(F247="","",IF(F247&lt;=Parâmetros!$B$7,"Faixa 1",IF(F247&lt;=Parâmetros!$B$8,"Faixa 2","Faixa 3")))</f>
        <v/>
      </c>
      <c r="H247" s="12" t="str">
        <f aca="false">IF(G247="","",IF(G247="Faixa 1","Rodízio/Sorteio",IF(G247="Faixa 2","Cotação (≥3 propostas)","Chamada pública")))</f>
        <v/>
      </c>
      <c r="I247" s="11"/>
      <c r="J247" s="17" t="str">
        <f aca="false">IF(I247="","",IFERROR(INDEX(Cadastro!$B$5:$B$304,MATCH(I247,Cadastro!$A$5:$A$304,0)),"ID não encontrado"))</f>
        <v/>
      </c>
      <c r="K247" s="17" t="str">
        <f aca="false">IF(I247="","",IFERROR(INDEX(Cadastro!$E$5:$E$304,MATCH(I247,Cadastro!$A$5:$A$304,0)),""))</f>
        <v/>
      </c>
      <c r="L247" s="17" t="str">
        <f aca="false">IF(I247="","",IFERROR(INDEX(Cadastro!$F$5:$F$304,MATCH(I247,Cadastro!$A$5:$A$304,0)),""))</f>
        <v/>
      </c>
      <c r="M247" s="17" t="str">
        <f aca="false">IF(I247="","",IFERROR(INDEX(Cadastro!$I$5:$I$304,MATCH(I247,Cadastro!$A$5:$A$304,0)),""))</f>
        <v/>
      </c>
      <c r="N247" s="19"/>
      <c r="O247" s="13"/>
      <c r="P247" s="12" t="str">
        <f aca="false">IF(OR(B247="",O247=""),"",NETWORKDAYS(B247,O247)-1)</f>
        <v/>
      </c>
      <c r="Q247" s="13"/>
      <c r="R247" s="11"/>
      <c r="S247" s="13"/>
      <c r="T247" s="11"/>
      <c r="U247" s="11"/>
      <c r="V247" s="11"/>
      <c r="W247" s="11"/>
      <c r="X247" s="11"/>
    </row>
    <row r="248" customFormat="false" ht="15" hidden="false" customHeight="false" outlineLevel="0" collapsed="false">
      <c r="A248" s="11"/>
      <c r="B248" s="13"/>
      <c r="C248" s="11"/>
      <c r="D248" s="11"/>
      <c r="E248" s="11"/>
      <c r="F248" s="19"/>
      <c r="G248" s="12" t="str">
        <f aca="false">IF(F248="","",IF(F248&lt;=Parâmetros!$B$7,"Faixa 1",IF(F248&lt;=Parâmetros!$B$8,"Faixa 2","Faixa 3")))</f>
        <v/>
      </c>
      <c r="H248" s="12" t="str">
        <f aca="false">IF(G248="","",IF(G248="Faixa 1","Rodízio/Sorteio",IF(G248="Faixa 2","Cotação (≥3 propostas)","Chamada pública")))</f>
        <v/>
      </c>
      <c r="I248" s="11"/>
      <c r="J248" s="17" t="str">
        <f aca="false">IF(I248="","",IFERROR(INDEX(Cadastro!$B$5:$B$304,MATCH(I248,Cadastro!$A$5:$A$304,0)),"ID não encontrado"))</f>
        <v/>
      </c>
      <c r="K248" s="17" t="str">
        <f aca="false">IF(I248="","",IFERROR(INDEX(Cadastro!$E$5:$E$304,MATCH(I248,Cadastro!$A$5:$A$304,0)),""))</f>
        <v/>
      </c>
      <c r="L248" s="17" t="str">
        <f aca="false">IF(I248="","",IFERROR(INDEX(Cadastro!$F$5:$F$304,MATCH(I248,Cadastro!$A$5:$A$304,0)),""))</f>
        <v/>
      </c>
      <c r="M248" s="17" t="str">
        <f aca="false">IF(I248="","",IFERROR(INDEX(Cadastro!$I$5:$I$304,MATCH(I248,Cadastro!$A$5:$A$304,0)),""))</f>
        <v/>
      </c>
      <c r="N248" s="19"/>
      <c r="O248" s="13"/>
      <c r="P248" s="12" t="str">
        <f aca="false">IF(OR(B248="",O248=""),"",NETWORKDAYS(B248,O248)-1)</f>
        <v/>
      </c>
      <c r="Q248" s="13"/>
      <c r="R248" s="11"/>
      <c r="S248" s="13"/>
      <c r="T248" s="11"/>
      <c r="U248" s="11"/>
      <c r="V248" s="11"/>
      <c r="W248" s="11"/>
      <c r="X248" s="11"/>
    </row>
    <row r="249" customFormat="false" ht="15" hidden="false" customHeight="false" outlineLevel="0" collapsed="false">
      <c r="A249" s="11"/>
      <c r="B249" s="13"/>
      <c r="C249" s="11"/>
      <c r="D249" s="11"/>
      <c r="E249" s="11"/>
      <c r="F249" s="19"/>
      <c r="G249" s="12" t="str">
        <f aca="false">IF(F249="","",IF(F249&lt;=Parâmetros!$B$7,"Faixa 1",IF(F249&lt;=Parâmetros!$B$8,"Faixa 2","Faixa 3")))</f>
        <v/>
      </c>
      <c r="H249" s="12" t="str">
        <f aca="false">IF(G249="","",IF(G249="Faixa 1","Rodízio/Sorteio",IF(G249="Faixa 2","Cotação (≥3 propostas)","Chamada pública")))</f>
        <v/>
      </c>
      <c r="I249" s="11"/>
      <c r="J249" s="17" t="str">
        <f aca="false">IF(I249="","",IFERROR(INDEX(Cadastro!$B$5:$B$304,MATCH(I249,Cadastro!$A$5:$A$304,0)),"ID não encontrado"))</f>
        <v/>
      </c>
      <c r="K249" s="17" t="str">
        <f aca="false">IF(I249="","",IFERROR(INDEX(Cadastro!$E$5:$E$304,MATCH(I249,Cadastro!$A$5:$A$304,0)),""))</f>
        <v/>
      </c>
      <c r="L249" s="17" t="str">
        <f aca="false">IF(I249="","",IFERROR(INDEX(Cadastro!$F$5:$F$304,MATCH(I249,Cadastro!$A$5:$A$304,0)),""))</f>
        <v/>
      </c>
      <c r="M249" s="17" t="str">
        <f aca="false">IF(I249="","",IFERROR(INDEX(Cadastro!$I$5:$I$304,MATCH(I249,Cadastro!$A$5:$A$304,0)),""))</f>
        <v/>
      </c>
      <c r="N249" s="19"/>
      <c r="O249" s="13"/>
      <c r="P249" s="12" t="str">
        <f aca="false">IF(OR(B249="",O249=""),"",NETWORKDAYS(B249,O249)-1)</f>
        <v/>
      </c>
      <c r="Q249" s="13"/>
      <c r="R249" s="11"/>
      <c r="S249" s="13"/>
      <c r="T249" s="11"/>
      <c r="U249" s="11"/>
      <c r="V249" s="11"/>
      <c r="W249" s="11"/>
      <c r="X249" s="11"/>
    </row>
    <row r="250" customFormat="false" ht="15" hidden="false" customHeight="false" outlineLevel="0" collapsed="false">
      <c r="A250" s="11"/>
      <c r="B250" s="13"/>
      <c r="C250" s="11"/>
      <c r="D250" s="11"/>
      <c r="E250" s="11"/>
      <c r="F250" s="19"/>
      <c r="G250" s="12" t="str">
        <f aca="false">IF(F250="","",IF(F250&lt;=Parâmetros!$B$7,"Faixa 1",IF(F250&lt;=Parâmetros!$B$8,"Faixa 2","Faixa 3")))</f>
        <v/>
      </c>
      <c r="H250" s="12" t="str">
        <f aca="false">IF(G250="","",IF(G250="Faixa 1","Rodízio/Sorteio",IF(G250="Faixa 2","Cotação (≥3 propostas)","Chamada pública")))</f>
        <v/>
      </c>
      <c r="I250" s="11"/>
      <c r="J250" s="17" t="str">
        <f aca="false">IF(I250="","",IFERROR(INDEX(Cadastro!$B$5:$B$304,MATCH(I250,Cadastro!$A$5:$A$304,0)),"ID não encontrado"))</f>
        <v/>
      </c>
      <c r="K250" s="17" t="str">
        <f aca="false">IF(I250="","",IFERROR(INDEX(Cadastro!$E$5:$E$304,MATCH(I250,Cadastro!$A$5:$A$304,0)),""))</f>
        <v/>
      </c>
      <c r="L250" s="17" t="str">
        <f aca="false">IF(I250="","",IFERROR(INDEX(Cadastro!$F$5:$F$304,MATCH(I250,Cadastro!$A$5:$A$304,0)),""))</f>
        <v/>
      </c>
      <c r="M250" s="17" t="str">
        <f aca="false">IF(I250="","",IFERROR(INDEX(Cadastro!$I$5:$I$304,MATCH(I250,Cadastro!$A$5:$A$304,0)),""))</f>
        <v/>
      </c>
      <c r="N250" s="19"/>
      <c r="O250" s="13"/>
      <c r="P250" s="12" t="str">
        <f aca="false">IF(OR(B250="",O250=""),"",NETWORKDAYS(B250,O250)-1)</f>
        <v/>
      </c>
      <c r="Q250" s="13"/>
      <c r="R250" s="11"/>
      <c r="S250" s="13"/>
      <c r="T250" s="11"/>
      <c r="U250" s="11"/>
      <c r="V250" s="11"/>
      <c r="W250" s="11"/>
      <c r="X250" s="11"/>
    </row>
    <row r="251" customFormat="false" ht="15" hidden="false" customHeight="false" outlineLevel="0" collapsed="false">
      <c r="A251" s="11"/>
      <c r="B251" s="13"/>
      <c r="C251" s="11"/>
      <c r="D251" s="11"/>
      <c r="E251" s="11"/>
      <c r="F251" s="19"/>
      <c r="G251" s="12" t="str">
        <f aca="false">IF(F251="","",IF(F251&lt;=Parâmetros!$B$7,"Faixa 1",IF(F251&lt;=Parâmetros!$B$8,"Faixa 2","Faixa 3")))</f>
        <v/>
      </c>
      <c r="H251" s="12" t="str">
        <f aca="false">IF(G251="","",IF(G251="Faixa 1","Rodízio/Sorteio",IF(G251="Faixa 2","Cotação (≥3 propostas)","Chamada pública")))</f>
        <v/>
      </c>
      <c r="I251" s="11"/>
      <c r="J251" s="17" t="str">
        <f aca="false">IF(I251="","",IFERROR(INDEX(Cadastro!$B$5:$B$304,MATCH(I251,Cadastro!$A$5:$A$304,0)),"ID não encontrado"))</f>
        <v/>
      </c>
      <c r="K251" s="17" t="str">
        <f aca="false">IF(I251="","",IFERROR(INDEX(Cadastro!$E$5:$E$304,MATCH(I251,Cadastro!$A$5:$A$304,0)),""))</f>
        <v/>
      </c>
      <c r="L251" s="17" t="str">
        <f aca="false">IF(I251="","",IFERROR(INDEX(Cadastro!$F$5:$F$304,MATCH(I251,Cadastro!$A$5:$A$304,0)),""))</f>
        <v/>
      </c>
      <c r="M251" s="17" t="str">
        <f aca="false">IF(I251="","",IFERROR(INDEX(Cadastro!$I$5:$I$304,MATCH(I251,Cadastro!$A$5:$A$304,0)),""))</f>
        <v/>
      </c>
      <c r="N251" s="19"/>
      <c r="O251" s="13"/>
      <c r="P251" s="12" t="str">
        <f aca="false">IF(OR(B251="",O251=""),"",NETWORKDAYS(B251,O251)-1)</f>
        <v/>
      </c>
      <c r="Q251" s="13"/>
      <c r="R251" s="11"/>
      <c r="S251" s="13"/>
      <c r="T251" s="11"/>
      <c r="U251" s="11"/>
      <c r="V251" s="11"/>
      <c r="W251" s="11"/>
      <c r="X251" s="11"/>
    </row>
    <row r="252" customFormat="false" ht="15" hidden="false" customHeight="false" outlineLevel="0" collapsed="false">
      <c r="A252" s="11"/>
      <c r="B252" s="13"/>
      <c r="C252" s="11"/>
      <c r="D252" s="11"/>
      <c r="E252" s="11"/>
      <c r="F252" s="19"/>
      <c r="G252" s="12" t="str">
        <f aca="false">IF(F252="","",IF(F252&lt;=Parâmetros!$B$7,"Faixa 1",IF(F252&lt;=Parâmetros!$B$8,"Faixa 2","Faixa 3")))</f>
        <v/>
      </c>
      <c r="H252" s="12" t="str">
        <f aca="false">IF(G252="","",IF(G252="Faixa 1","Rodízio/Sorteio",IF(G252="Faixa 2","Cotação (≥3 propostas)","Chamada pública")))</f>
        <v/>
      </c>
      <c r="I252" s="11"/>
      <c r="J252" s="17" t="str">
        <f aca="false">IF(I252="","",IFERROR(INDEX(Cadastro!$B$5:$B$304,MATCH(I252,Cadastro!$A$5:$A$304,0)),"ID não encontrado"))</f>
        <v/>
      </c>
      <c r="K252" s="17" t="str">
        <f aca="false">IF(I252="","",IFERROR(INDEX(Cadastro!$E$5:$E$304,MATCH(I252,Cadastro!$A$5:$A$304,0)),""))</f>
        <v/>
      </c>
      <c r="L252" s="17" t="str">
        <f aca="false">IF(I252="","",IFERROR(INDEX(Cadastro!$F$5:$F$304,MATCH(I252,Cadastro!$A$5:$A$304,0)),""))</f>
        <v/>
      </c>
      <c r="M252" s="17" t="str">
        <f aca="false">IF(I252="","",IFERROR(INDEX(Cadastro!$I$5:$I$304,MATCH(I252,Cadastro!$A$5:$A$304,0)),""))</f>
        <v/>
      </c>
      <c r="N252" s="19"/>
      <c r="O252" s="13"/>
      <c r="P252" s="12" t="str">
        <f aca="false">IF(OR(B252="",O252=""),"",NETWORKDAYS(B252,O252)-1)</f>
        <v/>
      </c>
      <c r="Q252" s="13"/>
      <c r="R252" s="11"/>
      <c r="S252" s="13"/>
      <c r="T252" s="11"/>
      <c r="U252" s="11"/>
      <c r="V252" s="11"/>
      <c r="W252" s="11"/>
      <c r="X252" s="11"/>
    </row>
    <row r="253" customFormat="false" ht="15" hidden="false" customHeight="false" outlineLevel="0" collapsed="false">
      <c r="A253" s="11"/>
      <c r="B253" s="13"/>
      <c r="C253" s="11"/>
      <c r="D253" s="11"/>
      <c r="E253" s="11"/>
      <c r="F253" s="19"/>
      <c r="G253" s="12" t="str">
        <f aca="false">IF(F253="","",IF(F253&lt;=Parâmetros!$B$7,"Faixa 1",IF(F253&lt;=Parâmetros!$B$8,"Faixa 2","Faixa 3")))</f>
        <v/>
      </c>
      <c r="H253" s="12" t="str">
        <f aca="false">IF(G253="","",IF(G253="Faixa 1","Rodízio/Sorteio",IF(G253="Faixa 2","Cotação (≥3 propostas)","Chamada pública")))</f>
        <v/>
      </c>
      <c r="I253" s="11"/>
      <c r="J253" s="17" t="str">
        <f aca="false">IF(I253="","",IFERROR(INDEX(Cadastro!$B$5:$B$304,MATCH(I253,Cadastro!$A$5:$A$304,0)),"ID não encontrado"))</f>
        <v/>
      </c>
      <c r="K253" s="17" t="str">
        <f aca="false">IF(I253="","",IFERROR(INDEX(Cadastro!$E$5:$E$304,MATCH(I253,Cadastro!$A$5:$A$304,0)),""))</f>
        <v/>
      </c>
      <c r="L253" s="17" t="str">
        <f aca="false">IF(I253="","",IFERROR(INDEX(Cadastro!$F$5:$F$304,MATCH(I253,Cadastro!$A$5:$A$304,0)),""))</f>
        <v/>
      </c>
      <c r="M253" s="17" t="str">
        <f aca="false">IF(I253="","",IFERROR(INDEX(Cadastro!$I$5:$I$304,MATCH(I253,Cadastro!$A$5:$A$304,0)),""))</f>
        <v/>
      </c>
      <c r="N253" s="19"/>
      <c r="O253" s="13"/>
      <c r="P253" s="12" t="str">
        <f aca="false">IF(OR(B253="",O253=""),"",NETWORKDAYS(B253,O253)-1)</f>
        <v/>
      </c>
      <c r="Q253" s="13"/>
      <c r="R253" s="11"/>
      <c r="S253" s="13"/>
      <c r="T253" s="11"/>
      <c r="U253" s="11"/>
      <c r="V253" s="11"/>
      <c r="W253" s="11"/>
      <c r="X253" s="11"/>
    </row>
    <row r="254" customFormat="false" ht="15" hidden="false" customHeight="false" outlineLevel="0" collapsed="false">
      <c r="A254" s="11"/>
      <c r="B254" s="13"/>
      <c r="C254" s="11"/>
      <c r="D254" s="11"/>
      <c r="E254" s="11"/>
      <c r="F254" s="19"/>
      <c r="G254" s="12" t="str">
        <f aca="false">IF(F254="","",IF(F254&lt;=Parâmetros!$B$7,"Faixa 1",IF(F254&lt;=Parâmetros!$B$8,"Faixa 2","Faixa 3")))</f>
        <v/>
      </c>
      <c r="H254" s="12" t="str">
        <f aca="false">IF(G254="","",IF(G254="Faixa 1","Rodízio/Sorteio",IF(G254="Faixa 2","Cotação (≥3 propostas)","Chamada pública")))</f>
        <v/>
      </c>
      <c r="I254" s="11"/>
      <c r="J254" s="17" t="str">
        <f aca="false">IF(I254="","",IFERROR(INDEX(Cadastro!$B$5:$B$304,MATCH(I254,Cadastro!$A$5:$A$304,0)),"ID não encontrado"))</f>
        <v/>
      </c>
      <c r="K254" s="17" t="str">
        <f aca="false">IF(I254="","",IFERROR(INDEX(Cadastro!$E$5:$E$304,MATCH(I254,Cadastro!$A$5:$A$304,0)),""))</f>
        <v/>
      </c>
      <c r="L254" s="17" t="str">
        <f aca="false">IF(I254="","",IFERROR(INDEX(Cadastro!$F$5:$F$304,MATCH(I254,Cadastro!$A$5:$A$304,0)),""))</f>
        <v/>
      </c>
      <c r="M254" s="17" t="str">
        <f aca="false">IF(I254="","",IFERROR(INDEX(Cadastro!$I$5:$I$304,MATCH(I254,Cadastro!$A$5:$A$304,0)),""))</f>
        <v/>
      </c>
      <c r="N254" s="19"/>
      <c r="O254" s="13"/>
      <c r="P254" s="12" t="str">
        <f aca="false">IF(OR(B254="",O254=""),"",NETWORKDAYS(B254,O254)-1)</f>
        <v/>
      </c>
      <c r="Q254" s="13"/>
      <c r="R254" s="11"/>
      <c r="S254" s="13"/>
      <c r="T254" s="11"/>
      <c r="U254" s="11"/>
      <c r="V254" s="11"/>
      <c r="W254" s="11"/>
      <c r="X254" s="11"/>
    </row>
    <row r="255" customFormat="false" ht="15" hidden="false" customHeight="false" outlineLevel="0" collapsed="false">
      <c r="A255" s="11"/>
      <c r="B255" s="13"/>
      <c r="C255" s="11"/>
      <c r="D255" s="11"/>
      <c r="E255" s="11"/>
      <c r="F255" s="19"/>
      <c r="G255" s="12" t="str">
        <f aca="false">IF(F255="","",IF(F255&lt;=Parâmetros!$B$7,"Faixa 1",IF(F255&lt;=Parâmetros!$B$8,"Faixa 2","Faixa 3")))</f>
        <v/>
      </c>
      <c r="H255" s="12" t="str">
        <f aca="false">IF(G255="","",IF(G255="Faixa 1","Rodízio/Sorteio",IF(G255="Faixa 2","Cotação (≥3 propostas)","Chamada pública")))</f>
        <v/>
      </c>
      <c r="I255" s="11"/>
      <c r="J255" s="17" t="str">
        <f aca="false">IF(I255="","",IFERROR(INDEX(Cadastro!$B$5:$B$304,MATCH(I255,Cadastro!$A$5:$A$304,0)),"ID não encontrado"))</f>
        <v/>
      </c>
      <c r="K255" s="17" t="str">
        <f aca="false">IF(I255="","",IFERROR(INDEX(Cadastro!$E$5:$E$304,MATCH(I255,Cadastro!$A$5:$A$304,0)),""))</f>
        <v/>
      </c>
      <c r="L255" s="17" t="str">
        <f aca="false">IF(I255="","",IFERROR(INDEX(Cadastro!$F$5:$F$304,MATCH(I255,Cadastro!$A$5:$A$304,0)),""))</f>
        <v/>
      </c>
      <c r="M255" s="17" t="str">
        <f aca="false">IF(I255="","",IFERROR(INDEX(Cadastro!$I$5:$I$304,MATCH(I255,Cadastro!$A$5:$A$304,0)),""))</f>
        <v/>
      </c>
      <c r="N255" s="19"/>
      <c r="O255" s="13"/>
      <c r="P255" s="12" t="str">
        <f aca="false">IF(OR(B255="",O255=""),"",NETWORKDAYS(B255,O255)-1)</f>
        <v/>
      </c>
      <c r="Q255" s="13"/>
      <c r="R255" s="11"/>
      <c r="S255" s="13"/>
      <c r="T255" s="11"/>
      <c r="U255" s="11"/>
      <c r="V255" s="11"/>
      <c r="W255" s="11"/>
      <c r="X255" s="11"/>
    </row>
    <row r="256" customFormat="false" ht="15" hidden="false" customHeight="false" outlineLevel="0" collapsed="false">
      <c r="A256" s="11"/>
      <c r="B256" s="13"/>
      <c r="C256" s="11"/>
      <c r="D256" s="11"/>
      <c r="E256" s="11"/>
      <c r="F256" s="19"/>
      <c r="G256" s="12" t="str">
        <f aca="false">IF(F256="","",IF(F256&lt;=Parâmetros!$B$7,"Faixa 1",IF(F256&lt;=Parâmetros!$B$8,"Faixa 2","Faixa 3")))</f>
        <v/>
      </c>
      <c r="H256" s="12" t="str">
        <f aca="false">IF(G256="","",IF(G256="Faixa 1","Rodízio/Sorteio",IF(G256="Faixa 2","Cotação (≥3 propostas)","Chamada pública")))</f>
        <v/>
      </c>
      <c r="I256" s="11"/>
      <c r="J256" s="17" t="str">
        <f aca="false">IF(I256="","",IFERROR(INDEX(Cadastro!$B$5:$B$304,MATCH(I256,Cadastro!$A$5:$A$304,0)),"ID não encontrado"))</f>
        <v/>
      </c>
      <c r="K256" s="17" t="str">
        <f aca="false">IF(I256="","",IFERROR(INDEX(Cadastro!$E$5:$E$304,MATCH(I256,Cadastro!$A$5:$A$304,0)),""))</f>
        <v/>
      </c>
      <c r="L256" s="17" t="str">
        <f aca="false">IF(I256="","",IFERROR(INDEX(Cadastro!$F$5:$F$304,MATCH(I256,Cadastro!$A$5:$A$304,0)),""))</f>
        <v/>
      </c>
      <c r="M256" s="17" t="str">
        <f aca="false">IF(I256="","",IFERROR(INDEX(Cadastro!$I$5:$I$304,MATCH(I256,Cadastro!$A$5:$A$304,0)),""))</f>
        <v/>
      </c>
      <c r="N256" s="19"/>
      <c r="O256" s="13"/>
      <c r="P256" s="12" t="str">
        <f aca="false">IF(OR(B256="",O256=""),"",NETWORKDAYS(B256,O256)-1)</f>
        <v/>
      </c>
      <c r="Q256" s="13"/>
      <c r="R256" s="11"/>
      <c r="S256" s="13"/>
      <c r="T256" s="11"/>
      <c r="U256" s="11"/>
      <c r="V256" s="11"/>
      <c r="W256" s="11"/>
      <c r="X256" s="11"/>
    </row>
    <row r="257" customFormat="false" ht="15" hidden="false" customHeight="false" outlineLevel="0" collapsed="false">
      <c r="A257" s="11"/>
      <c r="B257" s="13"/>
      <c r="C257" s="11"/>
      <c r="D257" s="11"/>
      <c r="E257" s="11"/>
      <c r="F257" s="19"/>
      <c r="G257" s="12" t="str">
        <f aca="false">IF(F257="","",IF(F257&lt;=Parâmetros!$B$7,"Faixa 1",IF(F257&lt;=Parâmetros!$B$8,"Faixa 2","Faixa 3")))</f>
        <v/>
      </c>
      <c r="H257" s="12" t="str">
        <f aca="false">IF(G257="","",IF(G257="Faixa 1","Rodízio/Sorteio",IF(G257="Faixa 2","Cotação (≥3 propostas)","Chamada pública")))</f>
        <v/>
      </c>
      <c r="I257" s="11"/>
      <c r="J257" s="17" t="str">
        <f aca="false">IF(I257="","",IFERROR(INDEX(Cadastro!$B$5:$B$304,MATCH(I257,Cadastro!$A$5:$A$304,0)),"ID não encontrado"))</f>
        <v/>
      </c>
      <c r="K257" s="17" t="str">
        <f aca="false">IF(I257="","",IFERROR(INDEX(Cadastro!$E$5:$E$304,MATCH(I257,Cadastro!$A$5:$A$304,0)),""))</f>
        <v/>
      </c>
      <c r="L257" s="17" t="str">
        <f aca="false">IF(I257="","",IFERROR(INDEX(Cadastro!$F$5:$F$304,MATCH(I257,Cadastro!$A$5:$A$304,0)),""))</f>
        <v/>
      </c>
      <c r="M257" s="17" t="str">
        <f aca="false">IF(I257="","",IFERROR(INDEX(Cadastro!$I$5:$I$304,MATCH(I257,Cadastro!$A$5:$A$304,0)),""))</f>
        <v/>
      </c>
      <c r="N257" s="19"/>
      <c r="O257" s="13"/>
      <c r="P257" s="12" t="str">
        <f aca="false">IF(OR(B257="",O257=""),"",NETWORKDAYS(B257,O257)-1)</f>
        <v/>
      </c>
      <c r="Q257" s="13"/>
      <c r="R257" s="11"/>
      <c r="S257" s="13"/>
      <c r="T257" s="11"/>
      <c r="U257" s="11"/>
      <c r="V257" s="11"/>
      <c r="W257" s="11"/>
      <c r="X257" s="11"/>
    </row>
    <row r="258" customFormat="false" ht="15" hidden="false" customHeight="false" outlineLevel="0" collapsed="false">
      <c r="A258" s="11"/>
      <c r="B258" s="13"/>
      <c r="C258" s="11"/>
      <c r="D258" s="11"/>
      <c r="E258" s="11"/>
      <c r="F258" s="19"/>
      <c r="G258" s="12" t="str">
        <f aca="false">IF(F258="","",IF(F258&lt;=Parâmetros!$B$7,"Faixa 1",IF(F258&lt;=Parâmetros!$B$8,"Faixa 2","Faixa 3")))</f>
        <v/>
      </c>
      <c r="H258" s="12" t="str">
        <f aca="false">IF(G258="","",IF(G258="Faixa 1","Rodízio/Sorteio",IF(G258="Faixa 2","Cotação (≥3 propostas)","Chamada pública")))</f>
        <v/>
      </c>
      <c r="I258" s="11"/>
      <c r="J258" s="17" t="str">
        <f aca="false">IF(I258="","",IFERROR(INDEX(Cadastro!$B$5:$B$304,MATCH(I258,Cadastro!$A$5:$A$304,0)),"ID não encontrado"))</f>
        <v/>
      </c>
      <c r="K258" s="17" t="str">
        <f aca="false">IF(I258="","",IFERROR(INDEX(Cadastro!$E$5:$E$304,MATCH(I258,Cadastro!$A$5:$A$304,0)),""))</f>
        <v/>
      </c>
      <c r="L258" s="17" t="str">
        <f aca="false">IF(I258="","",IFERROR(INDEX(Cadastro!$F$5:$F$304,MATCH(I258,Cadastro!$A$5:$A$304,0)),""))</f>
        <v/>
      </c>
      <c r="M258" s="17" t="str">
        <f aca="false">IF(I258="","",IFERROR(INDEX(Cadastro!$I$5:$I$304,MATCH(I258,Cadastro!$A$5:$A$304,0)),""))</f>
        <v/>
      </c>
      <c r="N258" s="19"/>
      <c r="O258" s="13"/>
      <c r="P258" s="12" t="str">
        <f aca="false">IF(OR(B258="",O258=""),"",NETWORKDAYS(B258,O258)-1)</f>
        <v/>
      </c>
      <c r="Q258" s="13"/>
      <c r="R258" s="11"/>
      <c r="S258" s="13"/>
      <c r="T258" s="11"/>
      <c r="U258" s="11"/>
      <c r="V258" s="11"/>
      <c r="W258" s="11"/>
      <c r="X258" s="11"/>
    </row>
    <row r="259" customFormat="false" ht="15" hidden="false" customHeight="false" outlineLevel="0" collapsed="false">
      <c r="A259" s="11"/>
      <c r="B259" s="13"/>
      <c r="C259" s="11"/>
      <c r="D259" s="11"/>
      <c r="E259" s="11"/>
      <c r="F259" s="19"/>
      <c r="G259" s="12" t="str">
        <f aca="false">IF(F259="","",IF(F259&lt;=Parâmetros!$B$7,"Faixa 1",IF(F259&lt;=Parâmetros!$B$8,"Faixa 2","Faixa 3")))</f>
        <v/>
      </c>
      <c r="H259" s="12" t="str">
        <f aca="false">IF(G259="","",IF(G259="Faixa 1","Rodízio/Sorteio",IF(G259="Faixa 2","Cotação (≥3 propostas)","Chamada pública")))</f>
        <v/>
      </c>
      <c r="I259" s="11"/>
      <c r="J259" s="17" t="str">
        <f aca="false">IF(I259="","",IFERROR(INDEX(Cadastro!$B$5:$B$304,MATCH(I259,Cadastro!$A$5:$A$304,0)),"ID não encontrado"))</f>
        <v/>
      </c>
      <c r="K259" s="17" t="str">
        <f aca="false">IF(I259="","",IFERROR(INDEX(Cadastro!$E$5:$E$304,MATCH(I259,Cadastro!$A$5:$A$304,0)),""))</f>
        <v/>
      </c>
      <c r="L259" s="17" t="str">
        <f aca="false">IF(I259="","",IFERROR(INDEX(Cadastro!$F$5:$F$304,MATCH(I259,Cadastro!$A$5:$A$304,0)),""))</f>
        <v/>
      </c>
      <c r="M259" s="17" t="str">
        <f aca="false">IF(I259="","",IFERROR(INDEX(Cadastro!$I$5:$I$304,MATCH(I259,Cadastro!$A$5:$A$304,0)),""))</f>
        <v/>
      </c>
      <c r="N259" s="19"/>
      <c r="O259" s="13"/>
      <c r="P259" s="12" t="str">
        <f aca="false">IF(OR(B259="",O259=""),"",NETWORKDAYS(B259,O259)-1)</f>
        <v/>
      </c>
      <c r="Q259" s="13"/>
      <c r="R259" s="11"/>
      <c r="S259" s="13"/>
      <c r="T259" s="11"/>
      <c r="U259" s="11"/>
      <c r="V259" s="11"/>
      <c r="W259" s="11"/>
      <c r="X259" s="11"/>
    </row>
    <row r="260" customFormat="false" ht="15" hidden="false" customHeight="false" outlineLevel="0" collapsed="false">
      <c r="A260" s="11"/>
      <c r="B260" s="13"/>
      <c r="C260" s="11"/>
      <c r="D260" s="11"/>
      <c r="E260" s="11"/>
      <c r="F260" s="19"/>
      <c r="G260" s="12" t="str">
        <f aca="false">IF(F260="","",IF(F260&lt;=Parâmetros!$B$7,"Faixa 1",IF(F260&lt;=Parâmetros!$B$8,"Faixa 2","Faixa 3")))</f>
        <v/>
      </c>
      <c r="H260" s="12" t="str">
        <f aca="false">IF(G260="","",IF(G260="Faixa 1","Rodízio/Sorteio",IF(G260="Faixa 2","Cotação (≥3 propostas)","Chamada pública")))</f>
        <v/>
      </c>
      <c r="I260" s="11"/>
      <c r="J260" s="17" t="str">
        <f aca="false">IF(I260="","",IFERROR(INDEX(Cadastro!$B$5:$B$304,MATCH(I260,Cadastro!$A$5:$A$304,0)),"ID não encontrado"))</f>
        <v/>
      </c>
      <c r="K260" s="17" t="str">
        <f aca="false">IF(I260="","",IFERROR(INDEX(Cadastro!$E$5:$E$304,MATCH(I260,Cadastro!$A$5:$A$304,0)),""))</f>
        <v/>
      </c>
      <c r="L260" s="17" t="str">
        <f aca="false">IF(I260="","",IFERROR(INDEX(Cadastro!$F$5:$F$304,MATCH(I260,Cadastro!$A$5:$A$304,0)),""))</f>
        <v/>
      </c>
      <c r="M260" s="17" t="str">
        <f aca="false">IF(I260="","",IFERROR(INDEX(Cadastro!$I$5:$I$304,MATCH(I260,Cadastro!$A$5:$A$304,0)),""))</f>
        <v/>
      </c>
      <c r="N260" s="19"/>
      <c r="O260" s="13"/>
      <c r="P260" s="12" t="str">
        <f aca="false">IF(OR(B260="",O260=""),"",NETWORKDAYS(B260,O260)-1)</f>
        <v/>
      </c>
      <c r="Q260" s="13"/>
      <c r="R260" s="11"/>
      <c r="S260" s="13"/>
      <c r="T260" s="11"/>
      <c r="U260" s="11"/>
      <c r="V260" s="11"/>
      <c r="W260" s="11"/>
      <c r="X260" s="11"/>
    </row>
    <row r="261" customFormat="false" ht="15" hidden="false" customHeight="false" outlineLevel="0" collapsed="false">
      <c r="A261" s="11"/>
      <c r="B261" s="13"/>
      <c r="C261" s="11"/>
      <c r="D261" s="11"/>
      <c r="E261" s="11"/>
      <c r="F261" s="19"/>
      <c r="G261" s="12" t="str">
        <f aca="false">IF(F261="","",IF(F261&lt;=Parâmetros!$B$7,"Faixa 1",IF(F261&lt;=Parâmetros!$B$8,"Faixa 2","Faixa 3")))</f>
        <v/>
      </c>
      <c r="H261" s="12" t="str">
        <f aca="false">IF(G261="","",IF(G261="Faixa 1","Rodízio/Sorteio",IF(G261="Faixa 2","Cotação (≥3 propostas)","Chamada pública")))</f>
        <v/>
      </c>
      <c r="I261" s="11"/>
      <c r="J261" s="17" t="str">
        <f aca="false">IF(I261="","",IFERROR(INDEX(Cadastro!$B$5:$B$304,MATCH(I261,Cadastro!$A$5:$A$304,0)),"ID não encontrado"))</f>
        <v/>
      </c>
      <c r="K261" s="17" t="str">
        <f aca="false">IF(I261="","",IFERROR(INDEX(Cadastro!$E$5:$E$304,MATCH(I261,Cadastro!$A$5:$A$304,0)),""))</f>
        <v/>
      </c>
      <c r="L261" s="17" t="str">
        <f aca="false">IF(I261="","",IFERROR(INDEX(Cadastro!$F$5:$F$304,MATCH(I261,Cadastro!$A$5:$A$304,0)),""))</f>
        <v/>
      </c>
      <c r="M261" s="17" t="str">
        <f aca="false">IF(I261="","",IFERROR(INDEX(Cadastro!$I$5:$I$304,MATCH(I261,Cadastro!$A$5:$A$304,0)),""))</f>
        <v/>
      </c>
      <c r="N261" s="19"/>
      <c r="O261" s="13"/>
      <c r="P261" s="12" t="str">
        <f aca="false">IF(OR(B261="",O261=""),"",NETWORKDAYS(B261,O261)-1)</f>
        <v/>
      </c>
      <c r="Q261" s="13"/>
      <c r="R261" s="11"/>
      <c r="S261" s="13"/>
      <c r="T261" s="11"/>
      <c r="U261" s="11"/>
      <c r="V261" s="11"/>
      <c r="W261" s="11"/>
      <c r="X261" s="11"/>
    </row>
    <row r="262" customFormat="false" ht="15" hidden="false" customHeight="false" outlineLevel="0" collapsed="false">
      <c r="A262" s="11"/>
      <c r="B262" s="13"/>
      <c r="C262" s="11"/>
      <c r="D262" s="11"/>
      <c r="E262" s="11"/>
      <c r="F262" s="19"/>
      <c r="G262" s="12" t="str">
        <f aca="false">IF(F262="","",IF(F262&lt;=Parâmetros!$B$7,"Faixa 1",IF(F262&lt;=Parâmetros!$B$8,"Faixa 2","Faixa 3")))</f>
        <v/>
      </c>
      <c r="H262" s="12" t="str">
        <f aca="false">IF(G262="","",IF(G262="Faixa 1","Rodízio/Sorteio",IF(G262="Faixa 2","Cotação (≥3 propostas)","Chamada pública")))</f>
        <v/>
      </c>
      <c r="I262" s="11"/>
      <c r="J262" s="17" t="str">
        <f aca="false">IF(I262="","",IFERROR(INDEX(Cadastro!$B$5:$B$304,MATCH(I262,Cadastro!$A$5:$A$304,0)),"ID não encontrado"))</f>
        <v/>
      </c>
      <c r="K262" s="17" t="str">
        <f aca="false">IF(I262="","",IFERROR(INDEX(Cadastro!$E$5:$E$304,MATCH(I262,Cadastro!$A$5:$A$304,0)),""))</f>
        <v/>
      </c>
      <c r="L262" s="17" t="str">
        <f aca="false">IF(I262="","",IFERROR(INDEX(Cadastro!$F$5:$F$304,MATCH(I262,Cadastro!$A$5:$A$304,0)),""))</f>
        <v/>
      </c>
      <c r="M262" s="17" t="str">
        <f aca="false">IF(I262="","",IFERROR(INDEX(Cadastro!$I$5:$I$304,MATCH(I262,Cadastro!$A$5:$A$304,0)),""))</f>
        <v/>
      </c>
      <c r="N262" s="19"/>
      <c r="O262" s="13"/>
      <c r="P262" s="12" t="str">
        <f aca="false">IF(OR(B262="",O262=""),"",NETWORKDAYS(B262,O262)-1)</f>
        <v/>
      </c>
      <c r="Q262" s="13"/>
      <c r="R262" s="11"/>
      <c r="S262" s="13"/>
      <c r="T262" s="11"/>
      <c r="U262" s="11"/>
      <c r="V262" s="11"/>
      <c r="W262" s="11"/>
      <c r="X262" s="11"/>
    </row>
    <row r="263" customFormat="false" ht="15" hidden="false" customHeight="false" outlineLevel="0" collapsed="false">
      <c r="A263" s="11"/>
      <c r="B263" s="13"/>
      <c r="C263" s="11"/>
      <c r="D263" s="11"/>
      <c r="E263" s="11"/>
      <c r="F263" s="19"/>
      <c r="G263" s="12" t="str">
        <f aca="false">IF(F263="","",IF(F263&lt;=Parâmetros!$B$7,"Faixa 1",IF(F263&lt;=Parâmetros!$B$8,"Faixa 2","Faixa 3")))</f>
        <v/>
      </c>
      <c r="H263" s="12" t="str">
        <f aca="false">IF(G263="","",IF(G263="Faixa 1","Rodízio/Sorteio",IF(G263="Faixa 2","Cotação (≥3 propostas)","Chamada pública")))</f>
        <v/>
      </c>
      <c r="I263" s="11"/>
      <c r="J263" s="17" t="str">
        <f aca="false">IF(I263="","",IFERROR(INDEX(Cadastro!$B$5:$B$304,MATCH(I263,Cadastro!$A$5:$A$304,0)),"ID não encontrado"))</f>
        <v/>
      </c>
      <c r="K263" s="17" t="str">
        <f aca="false">IF(I263="","",IFERROR(INDEX(Cadastro!$E$5:$E$304,MATCH(I263,Cadastro!$A$5:$A$304,0)),""))</f>
        <v/>
      </c>
      <c r="L263" s="17" t="str">
        <f aca="false">IF(I263="","",IFERROR(INDEX(Cadastro!$F$5:$F$304,MATCH(I263,Cadastro!$A$5:$A$304,0)),""))</f>
        <v/>
      </c>
      <c r="M263" s="17" t="str">
        <f aca="false">IF(I263="","",IFERROR(INDEX(Cadastro!$I$5:$I$304,MATCH(I263,Cadastro!$A$5:$A$304,0)),""))</f>
        <v/>
      </c>
      <c r="N263" s="19"/>
      <c r="O263" s="13"/>
      <c r="P263" s="12" t="str">
        <f aca="false">IF(OR(B263="",O263=""),"",NETWORKDAYS(B263,O263)-1)</f>
        <v/>
      </c>
      <c r="Q263" s="13"/>
      <c r="R263" s="11"/>
      <c r="S263" s="13"/>
      <c r="T263" s="11"/>
      <c r="U263" s="11"/>
      <c r="V263" s="11"/>
      <c r="W263" s="11"/>
      <c r="X263" s="11"/>
    </row>
    <row r="264" customFormat="false" ht="15" hidden="false" customHeight="false" outlineLevel="0" collapsed="false">
      <c r="A264" s="11"/>
      <c r="B264" s="13"/>
      <c r="C264" s="11"/>
      <c r="D264" s="11"/>
      <c r="E264" s="11"/>
      <c r="F264" s="19"/>
      <c r="G264" s="12" t="str">
        <f aca="false">IF(F264="","",IF(F264&lt;=Parâmetros!$B$7,"Faixa 1",IF(F264&lt;=Parâmetros!$B$8,"Faixa 2","Faixa 3")))</f>
        <v/>
      </c>
      <c r="H264" s="12" t="str">
        <f aca="false">IF(G264="","",IF(G264="Faixa 1","Rodízio/Sorteio",IF(G264="Faixa 2","Cotação (≥3 propostas)","Chamada pública")))</f>
        <v/>
      </c>
      <c r="I264" s="11"/>
      <c r="J264" s="17" t="str">
        <f aca="false">IF(I264="","",IFERROR(INDEX(Cadastro!$B$5:$B$304,MATCH(I264,Cadastro!$A$5:$A$304,0)),"ID não encontrado"))</f>
        <v/>
      </c>
      <c r="K264" s="17" t="str">
        <f aca="false">IF(I264="","",IFERROR(INDEX(Cadastro!$E$5:$E$304,MATCH(I264,Cadastro!$A$5:$A$304,0)),""))</f>
        <v/>
      </c>
      <c r="L264" s="17" t="str">
        <f aca="false">IF(I264="","",IFERROR(INDEX(Cadastro!$F$5:$F$304,MATCH(I264,Cadastro!$A$5:$A$304,0)),""))</f>
        <v/>
      </c>
      <c r="M264" s="17" t="str">
        <f aca="false">IF(I264="","",IFERROR(INDEX(Cadastro!$I$5:$I$304,MATCH(I264,Cadastro!$A$5:$A$304,0)),""))</f>
        <v/>
      </c>
      <c r="N264" s="19"/>
      <c r="O264" s="13"/>
      <c r="P264" s="12" t="str">
        <f aca="false">IF(OR(B264="",O264=""),"",NETWORKDAYS(B264,O264)-1)</f>
        <v/>
      </c>
      <c r="Q264" s="13"/>
      <c r="R264" s="11"/>
      <c r="S264" s="13"/>
      <c r="T264" s="11"/>
      <c r="U264" s="11"/>
      <c r="V264" s="11"/>
      <c r="W264" s="11"/>
      <c r="X264" s="11"/>
    </row>
    <row r="265" customFormat="false" ht="15" hidden="false" customHeight="false" outlineLevel="0" collapsed="false">
      <c r="A265" s="11"/>
      <c r="B265" s="13"/>
      <c r="C265" s="11"/>
      <c r="D265" s="11"/>
      <c r="E265" s="11"/>
      <c r="F265" s="19"/>
      <c r="G265" s="12" t="str">
        <f aca="false">IF(F265="","",IF(F265&lt;=Parâmetros!$B$7,"Faixa 1",IF(F265&lt;=Parâmetros!$B$8,"Faixa 2","Faixa 3")))</f>
        <v/>
      </c>
      <c r="H265" s="12" t="str">
        <f aca="false">IF(G265="","",IF(G265="Faixa 1","Rodízio/Sorteio",IF(G265="Faixa 2","Cotação (≥3 propostas)","Chamada pública")))</f>
        <v/>
      </c>
      <c r="I265" s="11"/>
      <c r="J265" s="17" t="str">
        <f aca="false">IF(I265="","",IFERROR(INDEX(Cadastro!$B$5:$B$304,MATCH(I265,Cadastro!$A$5:$A$304,0)),"ID não encontrado"))</f>
        <v/>
      </c>
      <c r="K265" s="17" t="str">
        <f aca="false">IF(I265="","",IFERROR(INDEX(Cadastro!$E$5:$E$304,MATCH(I265,Cadastro!$A$5:$A$304,0)),""))</f>
        <v/>
      </c>
      <c r="L265" s="17" t="str">
        <f aca="false">IF(I265="","",IFERROR(INDEX(Cadastro!$F$5:$F$304,MATCH(I265,Cadastro!$A$5:$A$304,0)),""))</f>
        <v/>
      </c>
      <c r="M265" s="17" t="str">
        <f aca="false">IF(I265="","",IFERROR(INDEX(Cadastro!$I$5:$I$304,MATCH(I265,Cadastro!$A$5:$A$304,0)),""))</f>
        <v/>
      </c>
      <c r="N265" s="19"/>
      <c r="O265" s="13"/>
      <c r="P265" s="12" t="str">
        <f aca="false">IF(OR(B265="",O265=""),"",NETWORKDAYS(B265,O265)-1)</f>
        <v/>
      </c>
      <c r="Q265" s="13"/>
      <c r="R265" s="11"/>
      <c r="S265" s="13"/>
      <c r="T265" s="11"/>
      <c r="U265" s="11"/>
      <c r="V265" s="11"/>
      <c r="W265" s="11"/>
      <c r="X265" s="11"/>
    </row>
    <row r="266" customFormat="false" ht="15" hidden="false" customHeight="false" outlineLevel="0" collapsed="false">
      <c r="A266" s="11"/>
      <c r="B266" s="13"/>
      <c r="C266" s="11"/>
      <c r="D266" s="11"/>
      <c r="E266" s="11"/>
      <c r="F266" s="19"/>
      <c r="G266" s="12" t="str">
        <f aca="false">IF(F266="","",IF(F266&lt;=Parâmetros!$B$7,"Faixa 1",IF(F266&lt;=Parâmetros!$B$8,"Faixa 2","Faixa 3")))</f>
        <v/>
      </c>
      <c r="H266" s="12" t="str">
        <f aca="false">IF(G266="","",IF(G266="Faixa 1","Rodízio/Sorteio",IF(G266="Faixa 2","Cotação (≥3 propostas)","Chamada pública")))</f>
        <v/>
      </c>
      <c r="I266" s="11"/>
      <c r="J266" s="17" t="str">
        <f aca="false">IF(I266="","",IFERROR(INDEX(Cadastro!$B$5:$B$304,MATCH(I266,Cadastro!$A$5:$A$304,0)),"ID não encontrado"))</f>
        <v/>
      </c>
      <c r="K266" s="17" t="str">
        <f aca="false">IF(I266="","",IFERROR(INDEX(Cadastro!$E$5:$E$304,MATCH(I266,Cadastro!$A$5:$A$304,0)),""))</f>
        <v/>
      </c>
      <c r="L266" s="17" t="str">
        <f aca="false">IF(I266="","",IFERROR(INDEX(Cadastro!$F$5:$F$304,MATCH(I266,Cadastro!$A$5:$A$304,0)),""))</f>
        <v/>
      </c>
      <c r="M266" s="17" t="str">
        <f aca="false">IF(I266="","",IFERROR(INDEX(Cadastro!$I$5:$I$304,MATCH(I266,Cadastro!$A$5:$A$304,0)),""))</f>
        <v/>
      </c>
      <c r="N266" s="19"/>
      <c r="O266" s="13"/>
      <c r="P266" s="12" t="str">
        <f aca="false">IF(OR(B266="",O266=""),"",NETWORKDAYS(B266,O266)-1)</f>
        <v/>
      </c>
      <c r="Q266" s="13"/>
      <c r="R266" s="11"/>
      <c r="S266" s="13"/>
      <c r="T266" s="11"/>
      <c r="U266" s="11"/>
      <c r="V266" s="11"/>
      <c r="W266" s="11"/>
      <c r="X266" s="11"/>
    </row>
    <row r="267" customFormat="false" ht="15" hidden="false" customHeight="false" outlineLevel="0" collapsed="false">
      <c r="A267" s="11"/>
      <c r="B267" s="13"/>
      <c r="C267" s="11"/>
      <c r="D267" s="11"/>
      <c r="E267" s="11"/>
      <c r="F267" s="19"/>
      <c r="G267" s="12" t="str">
        <f aca="false">IF(F267="","",IF(F267&lt;=Parâmetros!$B$7,"Faixa 1",IF(F267&lt;=Parâmetros!$B$8,"Faixa 2","Faixa 3")))</f>
        <v/>
      </c>
      <c r="H267" s="12" t="str">
        <f aca="false">IF(G267="","",IF(G267="Faixa 1","Rodízio/Sorteio",IF(G267="Faixa 2","Cotação (≥3 propostas)","Chamada pública")))</f>
        <v/>
      </c>
      <c r="I267" s="11"/>
      <c r="J267" s="17" t="str">
        <f aca="false">IF(I267="","",IFERROR(INDEX(Cadastro!$B$5:$B$304,MATCH(I267,Cadastro!$A$5:$A$304,0)),"ID não encontrado"))</f>
        <v/>
      </c>
      <c r="K267" s="17" t="str">
        <f aca="false">IF(I267="","",IFERROR(INDEX(Cadastro!$E$5:$E$304,MATCH(I267,Cadastro!$A$5:$A$304,0)),""))</f>
        <v/>
      </c>
      <c r="L267" s="17" t="str">
        <f aca="false">IF(I267="","",IFERROR(INDEX(Cadastro!$F$5:$F$304,MATCH(I267,Cadastro!$A$5:$A$304,0)),""))</f>
        <v/>
      </c>
      <c r="M267" s="17" t="str">
        <f aca="false">IF(I267="","",IFERROR(INDEX(Cadastro!$I$5:$I$304,MATCH(I267,Cadastro!$A$5:$A$304,0)),""))</f>
        <v/>
      </c>
      <c r="N267" s="19"/>
      <c r="O267" s="13"/>
      <c r="P267" s="12" t="str">
        <f aca="false">IF(OR(B267="",O267=""),"",NETWORKDAYS(B267,O267)-1)</f>
        <v/>
      </c>
      <c r="Q267" s="13"/>
      <c r="R267" s="11"/>
      <c r="S267" s="13"/>
      <c r="T267" s="11"/>
      <c r="U267" s="11"/>
      <c r="V267" s="11"/>
      <c r="W267" s="11"/>
      <c r="X267" s="11"/>
    </row>
    <row r="268" customFormat="false" ht="15" hidden="false" customHeight="false" outlineLevel="0" collapsed="false">
      <c r="A268" s="11"/>
      <c r="B268" s="13"/>
      <c r="C268" s="11"/>
      <c r="D268" s="11"/>
      <c r="E268" s="11"/>
      <c r="F268" s="19"/>
      <c r="G268" s="12" t="str">
        <f aca="false">IF(F268="","",IF(F268&lt;=Parâmetros!$B$7,"Faixa 1",IF(F268&lt;=Parâmetros!$B$8,"Faixa 2","Faixa 3")))</f>
        <v/>
      </c>
      <c r="H268" s="12" t="str">
        <f aca="false">IF(G268="","",IF(G268="Faixa 1","Rodízio/Sorteio",IF(G268="Faixa 2","Cotação (≥3 propostas)","Chamada pública")))</f>
        <v/>
      </c>
      <c r="I268" s="11"/>
      <c r="J268" s="17" t="str">
        <f aca="false">IF(I268="","",IFERROR(INDEX(Cadastro!$B$5:$B$304,MATCH(I268,Cadastro!$A$5:$A$304,0)),"ID não encontrado"))</f>
        <v/>
      </c>
      <c r="K268" s="17" t="str">
        <f aca="false">IF(I268="","",IFERROR(INDEX(Cadastro!$E$5:$E$304,MATCH(I268,Cadastro!$A$5:$A$304,0)),""))</f>
        <v/>
      </c>
      <c r="L268" s="17" t="str">
        <f aca="false">IF(I268="","",IFERROR(INDEX(Cadastro!$F$5:$F$304,MATCH(I268,Cadastro!$A$5:$A$304,0)),""))</f>
        <v/>
      </c>
      <c r="M268" s="17" t="str">
        <f aca="false">IF(I268="","",IFERROR(INDEX(Cadastro!$I$5:$I$304,MATCH(I268,Cadastro!$A$5:$A$304,0)),""))</f>
        <v/>
      </c>
      <c r="N268" s="19"/>
      <c r="O268" s="13"/>
      <c r="P268" s="12" t="str">
        <f aca="false">IF(OR(B268="",O268=""),"",NETWORKDAYS(B268,O268)-1)</f>
        <v/>
      </c>
      <c r="Q268" s="13"/>
      <c r="R268" s="11"/>
      <c r="S268" s="13"/>
      <c r="T268" s="11"/>
      <c r="U268" s="11"/>
      <c r="V268" s="11"/>
      <c r="W268" s="11"/>
      <c r="X268" s="11"/>
    </row>
    <row r="269" customFormat="false" ht="15" hidden="false" customHeight="false" outlineLevel="0" collapsed="false">
      <c r="A269" s="11"/>
      <c r="B269" s="13"/>
      <c r="C269" s="11"/>
      <c r="D269" s="11"/>
      <c r="E269" s="11"/>
      <c r="F269" s="19"/>
      <c r="G269" s="12" t="str">
        <f aca="false">IF(F269="","",IF(F269&lt;=Parâmetros!$B$7,"Faixa 1",IF(F269&lt;=Parâmetros!$B$8,"Faixa 2","Faixa 3")))</f>
        <v/>
      </c>
      <c r="H269" s="12" t="str">
        <f aca="false">IF(G269="","",IF(G269="Faixa 1","Rodízio/Sorteio",IF(G269="Faixa 2","Cotação (≥3 propostas)","Chamada pública")))</f>
        <v/>
      </c>
      <c r="I269" s="11"/>
      <c r="J269" s="17" t="str">
        <f aca="false">IF(I269="","",IFERROR(INDEX(Cadastro!$B$5:$B$304,MATCH(I269,Cadastro!$A$5:$A$304,0)),"ID não encontrado"))</f>
        <v/>
      </c>
      <c r="K269" s="17" t="str">
        <f aca="false">IF(I269="","",IFERROR(INDEX(Cadastro!$E$5:$E$304,MATCH(I269,Cadastro!$A$5:$A$304,0)),""))</f>
        <v/>
      </c>
      <c r="L269" s="17" t="str">
        <f aca="false">IF(I269="","",IFERROR(INDEX(Cadastro!$F$5:$F$304,MATCH(I269,Cadastro!$A$5:$A$304,0)),""))</f>
        <v/>
      </c>
      <c r="M269" s="17" t="str">
        <f aca="false">IF(I269="","",IFERROR(INDEX(Cadastro!$I$5:$I$304,MATCH(I269,Cadastro!$A$5:$A$304,0)),""))</f>
        <v/>
      </c>
      <c r="N269" s="19"/>
      <c r="O269" s="13"/>
      <c r="P269" s="12" t="str">
        <f aca="false">IF(OR(B269="",O269=""),"",NETWORKDAYS(B269,O269)-1)</f>
        <v/>
      </c>
      <c r="Q269" s="13"/>
      <c r="R269" s="11"/>
      <c r="S269" s="13"/>
      <c r="T269" s="11"/>
      <c r="U269" s="11"/>
      <c r="V269" s="11"/>
      <c r="W269" s="11"/>
      <c r="X269" s="11"/>
    </row>
    <row r="270" customFormat="false" ht="15" hidden="false" customHeight="false" outlineLevel="0" collapsed="false">
      <c r="A270" s="11"/>
      <c r="B270" s="13"/>
      <c r="C270" s="11"/>
      <c r="D270" s="11"/>
      <c r="E270" s="11"/>
      <c r="F270" s="19"/>
      <c r="G270" s="12" t="str">
        <f aca="false">IF(F270="","",IF(F270&lt;=Parâmetros!$B$7,"Faixa 1",IF(F270&lt;=Parâmetros!$B$8,"Faixa 2","Faixa 3")))</f>
        <v/>
      </c>
      <c r="H270" s="12" t="str">
        <f aca="false">IF(G270="","",IF(G270="Faixa 1","Rodízio/Sorteio",IF(G270="Faixa 2","Cotação (≥3 propostas)","Chamada pública")))</f>
        <v/>
      </c>
      <c r="I270" s="11"/>
      <c r="J270" s="17" t="str">
        <f aca="false">IF(I270="","",IFERROR(INDEX(Cadastro!$B$5:$B$304,MATCH(I270,Cadastro!$A$5:$A$304,0)),"ID não encontrado"))</f>
        <v/>
      </c>
      <c r="K270" s="17" t="str">
        <f aca="false">IF(I270="","",IFERROR(INDEX(Cadastro!$E$5:$E$304,MATCH(I270,Cadastro!$A$5:$A$304,0)),""))</f>
        <v/>
      </c>
      <c r="L270" s="17" t="str">
        <f aca="false">IF(I270="","",IFERROR(INDEX(Cadastro!$F$5:$F$304,MATCH(I270,Cadastro!$A$5:$A$304,0)),""))</f>
        <v/>
      </c>
      <c r="M270" s="17" t="str">
        <f aca="false">IF(I270="","",IFERROR(INDEX(Cadastro!$I$5:$I$304,MATCH(I270,Cadastro!$A$5:$A$304,0)),""))</f>
        <v/>
      </c>
      <c r="N270" s="19"/>
      <c r="O270" s="13"/>
      <c r="P270" s="12" t="str">
        <f aca="false">IF(OR(B270="",O270=""),"",NETWORKDAYS(B270,O270)-1)</f>
        <v/>
      </c>
      <c r="Q270" s="13"/>
      <c r="R270" s="11"/>
      <c r="S270" s="13"/>
      <c r="T270" s="11"/>
      <c r="U270" s="11"/>
      <c r="V270" s="11"/>
      <c r="W270" s="11"/>
      <c r="X270" s="11"/>
    </row>
    <row r="271" customFormat="false" ht="15" hidden="false" customHeight="false" outlineLevel="0" collapsed="false">
      <c r="A271" s="11"/>
      <c r="B271" s="13"/>
      <c r="C271" s="11"/>
      <c r="D271" s="11"/>
      <c r="E271" s="11"/>
      <c r="F271" s="19"/>
      <c r="G271" s="12" t="str">
        <f aca="false">IF(F271="","",IF(F271&lt;=Parâmetros!$B$7,"Faixa 1",IF(F271&lt;=Parâmetros!$B$8,"Faixa 2","Faixa 3")))</f>
        <v/>
      </c>
      <c r="H271" s="12" t="str">
        <f aca="false">IF(G271="","",IF(G271="Faixa 1","Rodízio/Sorteio",IF(G271="Faixa 2","Cotação (≥3 propostas)","Chamada pública")))</f>
        <v/>
      </c>
      <c r="I271" s="11"/>
      <c r="J271" s="17" t="str">
        <f aca="false">IF(I271="","",IFERROR(INDEX(Cadastro!$B$5:$B$304,MATCH(I271,Cadastro!$A$5:$A$304,0)),"ID não encontrado"))</f>
        <v/>
      </c>
      <c r="K271" s="17" t="str">
        <f aca="false">IF(I271="","",IFERROR(INDEX(Cadastro!$E$5:$E$304,MATCH(I271,Cadastro!$A$5:$A$304,0)),""))</f>
        <v/>
      </c>
      <c r="L271" s="17" t="str">
        <f aca="false">IF(I271="","",IFERROR(INDEX(Cadastro!$F$5:$F$304,MATCH(I271,Cadastro!$A$5:$A$304,0)),""))</f>
        <v/>
      </c>
      <c r="M271" s="17" t="str">
        <f aca="false">IF(I271="","",IFERROR(INDEX(Cadastro!$I$5:$I$304,MATCH(I271,Cadastro!$A$5:$A$304,0)),""))</f>
        <v/>
      </c>
      <c r="N271" s="19"/>
      <c r="O271" s="13"/>
      <c r="P271" s="12" t="str">
        <f aca="false">IF(OR(B271="",O271=""),"",NETWORKDAYS(B271,O271)-1)</f>
        <v/>
      </c>
      <c r="Q271" s="13"/>
      <c r="R271" s="11"/>
      <c r="S271" s="13"/>
      <c r="T271" s="11"/>
      <c r="U271" s="11"/>
      <c r="V271" s="11"/>
      <c r="W271" s="11"/>
      <c r="X271" s="11"/>
    </row>
    <row r="272" customFormat="false" ht="15" hidden="false" customHeight="false" outlineLevel="0" collapsed="false">
      <c r="A272" s="11"/>
      <c r="B272" s="13"/>
      <c r="C272" s="11"/>
      <c r="D272" s="11"/>
      <c r="E272" s="11"/>
      <c r="F272" s="19"/>
      <c r="G272" s="12" t="str">
        <f aca="false">IF(F272="","",IF(F272&lt;=Parâmetros!$B$7,"Faixa 1",IF(F272&lt;=Parâmetros!$B$8,"Faixa 2","Faixa 3")))</f>
        <v/>
      </c>
      <c r="H272" s="12" t="str">
        <f aca="false">IF(G272="","",IF(G272="Faixa 1","Rodízio/Sorteio",IF(G272="Faixa 2","Cotação (≥3 propostas)","Chamada pública")))</f>
        <v/>
      </c>
      <c r="I272" s="11"/>
      <c r="J272" s="17" t="str">
        <f aca="false">IF(I272="","",IFERROR(INDEX(Cadastro!$B$5:$B$304,MATCH(I272,Cadastro!$A$5:$A$304,0)),"ID não encontrado"))</f>
        <v/>
      </c>
      <c r="K272" s="17" t="str">
        <f aca="false">IF(I272="","",IFERROR(INDEX(Cadastro!$E$5:$E$304,MATCH(I272,Cadastro!$A$5:$A$304,0)),""))</f>
        <v/>
      </c>
      <c r="L272" s="17" t="str">
        <f aca="false">IF(I272="","",IFERROR(INDEX(Cadastro!$F$5:$F$304,MATCH(I272,Cadastro!$A$5:$A$304,0)),""))</f>
        <v/>
      </c>
      <c r="M272" s="17" t="str">
        <f aca="false">IF(I272="","",IFERROR(INDEX(Cadastro!$I$5:$I$304,MATCH(I272,Cadastro!$A$5:$A$304,0)),""))</f>
        <v/>
      </c>
      <c r="N272" s="19"/>
      <c r="O272" s="13"/>
      <c r="P272" s="12" t="str">
        <f aca="false">IF(OR(B272="",O272=""),"",NETWORKDAYS(B272,O272)-1)</f>
        <v/>
      </c>
      <c r="Q272" s="13"/>
      <c r="R272" s="11"/>
      <c r="S272" s="13"/>
      <c r="T272" s="11"/>
      <c r="U272" s="11"/>
      <c r="V272" s="11"/>
      <c r="W272" s="11"/>
      <c r="X272" s="11"/>
    </row>
    <row r="273" customFormat="false" ht="15" hidden="false" customHeight="false" outlineLevel="0" collapsed="false">
      <c r="A273" s="11"/>
      <c r="B273" s="13"/>
      <c r="C273" s="11"/>
      <c r="D273" s="11"/>
      <c r="E273" s="11"/>
      <c r="F273" s="19"/>
      <c r="G273" s="12" t="str">
        <f aca="false">IF(F273="","",IF(F273&lt;=Parâmetros!$B$7,"Faixa 1",IF(F273&lt;=Parâmetros!$B$8,"Faixa 2","Faixa 3")))</f>
        <v/>
      </c>
      <c r="H273" s="12" t="str">
        <f aca="false">IF(G273="","",IF(G273="Faixa 1","Rodízio/Sorteio",IF(G273="Faixa 2","Cotação (≥3 propostas)","Chamada pública")))</f>
        <v/>
      </c>
      <c r="I273" s="11"/>
      <c r="J273" s="17" t="str">
        <f aca="false">IF(I273="","",IFERROR(INDEX(Cadastro!$B$5:$B$304,MATCH(I273,Cadastro!$A$5:$A$304,0)),"ID não encontrado"))</f>
        <v/>
      </c>
      <c r="K273" s="17" t="str">
        <f aca="false">IF(I273="","",IFERROR(INDEX(Cadastro!$E$5:$E$304,MATCH(I273,Cadastro!$A$5:$A$304,0)),""))</f>
        <v/>
      </c>
      <c r="L273" s="17" t="str">
        <f aca="false">IF(I273="","",IFERROR(INDEX(Cadastro!$F$5:$F$304,MATCH(I273,Cadastro!$A$5:$A$304,0)),""))</f>
        <v/>
      </c>
      <c r="M273" s="17" t="str">
        <f aca="false">IF(I273="","",IFERROR(INDEX(Cadastro!$I$5:$I$304,MATCH(I273,Cadastro!$A$5:$A$304,0)),""))</f>
        <v/>
      </c>
      <c r="N273" s="19"/>
      <c r="O273" s="13"/>
      <c r="P273" s="12" t="str">
        <f aca="false">IF(OR(B273="",O273=""),"",NETWORKDAYS(B273,O273)-1)</f>
        <v/>
      </c>
      <c r="Q273" s="13"/>
      <c r="R273" s="11"/>
      <c r="S273" s="13"/>
      <c r="T273" s="11"/>
      <c r="U273" s="11"/>
      <c r="V273" s="11"/>
      <c r="W273" s="11"/>
      <c r="X273" s="11"/>
    </row>
    <row r="274" customFormat="false" ht="15" hidden="false" customHeight="false" outlineLevel="0" collapsed="false">
      <c r="A274" s="11"/>
      <c r="B274" s="13"/>
      <c r="C274" s="11"/>
      <c r="D274" s="11"/>
      <c r="E274" s="11"/>
      <c r="F274" s="19"/>
      <c r="G274" s="12" t="str">
        <f aca="false">IF(F274="","",IF(F274&lt;=Parâmetros!$B$7,"Faixa 1",IF(F274&lt;=Parâmetros!$B$8,"Faixa 2","Faixa 3")))</f>
        <v/>
      </c>
      <c r="H274" s="12" t="str">
        <f aca="false">IF(G274="","",IF(G274="Faixa 1","Rodízio/Sorteio",IF(G274="Faixa 2","Cotação (≥3 propostas)","Chamada pública")))</f>
        <v/>
      </c>
      <c r="I274" s="11"/>
      <c r="J274" s="17" t="str">
        <f aca="false">IF(I274="","",IFERROR(INDEX(Cadastro!$B$5:$B$304,MATCH(I274,Cadastro!$A$5:$A$304,0)),"ID não encontrado"))</f>
        <v/>
      </c>
      <c r="K274" s="17" t="str">
        <f aca="false">IF(I274="","",IFERROR(INDEX(Cadastro!$E$5:$E$304,MATCH(I274,Cadastro!$A$5:$A$304,0)),""))</f>
        <v/>
      </c>
      <c r="L274" s="17" t="str">
        <f aca="false">IF(I274="","",IFERROR(INDEX(Cadastro!$F$5:$F$304,MATCH(I274,Cadastro!$A$5:$A$304,0)),""))</f>
        <v/>
      </c>
      <c r="M274" s="17" t="str">
        <f aca="false">IF(I274="","",IFERROR(INDEX(Cadastro!$I$5:$I$304,MATCH(I274,Cadastro!$A$5:$A$304,0)),""))</f>
        <v/>
      </c>
      <c r="N274" s="19"/>
      <c r="O274" s="13"/>
      <c r="P274" s="12" t="str">
        <f aca="false">IF(OR(B274="",O274=""),"",NETWORKDAYS(B274,O274)-1)</f>
        <v/>
      </c>
      <c r="Q274" s="13"/>
      <c r="R274" s="11"/>
      <c r="S274" s="13"/>
      <c r="T274" s="11"/>
      <c r="U274" s="11"/>
      <c r="V274" s="11"/>
      <c r="W274" s="11"/>
      <c r="X274" s="11"/>
    </row>
    <row r="275" customFormat="false" ht="15" hidden="false" customHeight="false" outlineLevel="0" collapsed="false">
      <c r="A275" s="11"/>
      <c r="B275" s="13"/>
      <c r="C275" s="11"/>
      <c r="D275" s="11"/>
      <c r="E275" s="11"/>
      <c r="F275" s="19"/>
      <c r="G275" s="12" t="str">
        <f aca="false">IF(F275="","",IF(F275&lt;=Parâmetros!$B$7,"Faixa 1",IF(F275&lt;=Parâmetros!$B$8,"Faixa 2","Faixa 3")))</f>
        <v/>
      </c>
      <c r="H275" s="12" t="str">
        <f aca="false">IF(G275="","",IF(G275="Faixa 1","Rodízio/Sorteio",IF(G275="Faixa 2","Cotação (≥3 propostas)","Chamada pública")))</f>
        <v/>
      </c>
      <c r="I275" s="11"/>
      <c r="J275" s="17" t="str">
        <f aca="false">IF(I275="","",IFERROR(INDEX(Cadastro!$B$5:$B$304,MATCH(I275,Cadastro!$A$5:$A$304,0)),"ID não encontrado"))</f>
        <v/>
      </c>
      <c r="K275" s="17" t="str">
        <f aca="false">IF(I275="","",IFERROR(INDEX(Cadastro!$E$5:$E$304,MATCH(I275,Cadastro!$A$5:$A$304,0)),""))</f>
        <v/>
      </c>
      <c r="L275" s="17" t="str">
        <f aca="false">IF(I275="","",IFERROR(INDEX(Cadastro!$F$5:$F$304,MATCH(I275,Cadastro!$A$5:$A$304,0)),""))</f>
        <v/>
      </c>
      <c r="M275" s="17" t="str">
        <f aca="false">IF(I275="","",IFERROR(INDEX(Cadastro!$I$5:$I$304,MATCH(I275,Cadastro!$A$5:$A$304,0)),""))</f>
        <v/>
      </c>
      <c r="N275" s="19"/>
      <c r="O275" s="13"/>
      <c r="P275" s="12" t="str">
        <f aca="false">IF(OR(B275="",O275=""),"",NETWORKDAYS(B275,O275)-1)</f>
        <v/>
      </c>
      <c r="Q275" s="13"/>
      <c r="R275" s="11"/>
      <c r="S275" s="13"/>
      <c r="T275" s="11"/>
      <c r="U275" s="11"/>
      <c r="V275" s="11"/>
      <c r="W275" s="11"/>
      <c r="X275" s="11"/>
    </row>
    <row r="276" customFormat="false" ht="15" hidden="false" customHeight="false" outlineLevel="0" collapsed="false">
      <c r="A276" s="11"/>
      <c r="B276" s="13"/>
      <c r="C276" s="11"/>
      <c r="D276" s="11"/>
      <c r="E276" s="11"/>
      <c r="F276" s="19"/>
      <c r="G276" s="12" t="str">
        <f aca="false">IF(F276="","",IF(F276&lt;=Parâmetros!$B$7,"Faixa 1",IF(F276&lt;=Parâmetros!$B$8,"Faixa 2","Faixa 3")))</f>
        <v/>
      </c>
      <c r="H276" s="12" t="str">
        <f aca="false">IF(G276="","",IF(G276="Faixa 1","Rodízio/Sorteio",IF(G276="Faixa 2","Cotação (≥3 propostas)","Chamada pública")))</f>
        <v/>
      </c>
      <c r="I276" s="11"/>
      <c r="J276" s="17" t="str">
        <f aca="false">IF(I276="","",IFERROR(INDEX(Cadastro!$B$5:$B$304,MATCH(I276,Cadastro!$A$5:$A$304,0)),"ID não encontrado"))</f>
        <v/>
      </c>
      <c r="K276" s="17" t="str">
        <f aca="false">IF(I276="","",IFERROR(INDEX(Cadastro!$E$5:$E$304,MATCH(I276,Cadastro!$A$5:$A$304,0)),""))</f>
        <v/>
      </c>
      <c r="L276" s="17" t="str">
        <f aca="false">IF(I276="","",IFERROR(INDEX(Cadastro!$F$5:$F$304,MATCH(I276,Cadastro!$A$5:$A$304,0)),""))</f>
        <v/>
      </c>
      <c r="M276" s="17" t="str">
        <f aca="false">IF(I276="","",IFERROR(INDEX(Cadastro!$I$5:$I$304,MATCH(I276,Cadastro!$A$5:$A$304,0)),""))</f>
        <v/>
      </c>
      <c r="N276" s="19"/>
      <c r="O276" s="13"/>
      <c r="P276" s="12" t="str">
        <f aca="false">IF(OR(B276="",O276=""),"",NETWORKDAYS(B276,O276)-1)</f>
        <v/>
      </c>
      <c r="Q276" s="13"/>
      <c r="R276" s="11"/>
      <c r="S276" s="13"/>
      <c r="T276" s="11"/>
      <c r="U276" s="11"/>
      <c r="V276" s="11"/>
      <c r="W276" s="11"/>
      <c r="X276" s="11"/>
    </row>
    <row r="277" customFormat="false" ht="15" hidden="false" customHeight="false" outlineLevel="0" collapsed="false">
      <c r="A277" s="11"/>
      <c r="B277" s="13"/>
      <c r="C277" s="11"/>
      <c r="D277" s="11"/>
      <c r="E277" s="11"/>
      <c r="F277" s="19"/>
      <c r="G277" s="12" t="str">
        <f aca="false">IF(F277="","",IF(F277&lt;=Parâmetros!$B$7,"Faixa 1",IF(F277&lt;=Parâmetros!$B$8,"Faixa 2","Faixa 3")))</f>
        <v/>
      </c>
      <c r="H277" s="12" t="str">
        <f aca="false">IF(G277="","",IF(G277="Faixa 1","Rodízio/Sorteio",IF(G277="Faixa 2","Cotação (≥3 propostas)","Chamada pública")))</f>
        <v/>
      </c>
      <c r="I277" s="11"/>
      <c r="J277" s="17" t="str">
        <f aca="false">IF(I277="","",IFERROR(INDEX(Cadastro!$B$5:$B$304,MATCH(I277,Cadastro!$A$5:$A$304,0)),"ID não encontrado"))</f>
        <v/>
      </c>
      <c r="K277" s="17" t="str">
        <f aca="false">IF(I277="","",IFERROR(INDEX(Cadastro!$E$5:$E$304,MATCH(I277,Cadastro!$A$5:$A$304,0)),""))</f>
        <v/>
      </c>
      <c r="L277" s="17" t="str">
        <f aca="false">IF(I277="","",IFERROR(INDEX(Cadastro!$F$5:$F$304,MATCH(I277,Cadastro!$A$5:$A$304,0)),""))</f>
        <v/>
      </c>
      <c r="M277" s="17" t="str">
        <f aca="false">IF(I277="","",IFERROR(INDEX(Cadastro!$I$5:$I$304,MATCH(I277,Cadastro!$A$5:$A$304,0)),""))</f>
        <v/>
      </c>
      <c r="N277" s="19"/>
      <c r="O277" s="13"/>
      <c r="P277" s="12" t="str">
        <f aca="false">IF(OR(B277="",O277=""),"",NETWORKDAYS(B277,O277)-1)</f>
        <v/>
      </c>
      <c r="Q277" s="13"/>
      <c r="R277" s="11"/>
      <c r="S277" s="13"/>
      <c r="T277" s="11"/>
      <c r="U277" s="11"/>
      <c r="V277" s="11"/>
      <c r="W277" s="11"/>
      <c r="X277" s="11"/>
    </row>
    <row r="278" customFormat="false" ht="15" hidden="false" customHeight="false" outlineLevel="0" collapsed="false">
      <c r="A278" s="11"/>
      <c r="B278" s="13"/>
      <c r="C278" s="11"/>
      <c r="D278" s="11"/>
      <c r="E278" s="11"/>
      <c r="F278" s="19"/>
      <c r="G278" s="12" t="str">
        <f aca="false">IF(F278="","",IF(F278&lt;=Parâmetros!$B$7,"Faixa 1",IF(F278&lt;=Parâmetros!$B$8,"Faixa 2","Faixa 3")))</f>
        <v/>
      </c>
      <c r="H278" s="12" t="str">
        <f aca="false">IF(G278="","",IF(G278="Faixa 1","Rodízio/Sorteio",IF(G278="Faixa 2","Cotação (≥3 propostas)","Chamada pública")))</f>
        <v/>
      </c>
      <c r="I278" s="11"/>
      <c r="J278" s="17" t="str">
        <f aca="false">IF(I278="","",IFERROR(INDEX(Cadastro!$B$5:$B$304,MATCH(I278,Cadastro!$A$5:$A$304,0)),"ID não encontrado"))</f>
        <v/>
      </c>
      <c r="K278" s="17" t="str">
        <f aca="false">IF(I278="","",IFERROR(INDEX(Cadastro!$E$5:$E$304,MATCH(I278,Cadastro!$A$5:$A$304,0)),""))</f>
        <v/>
      </c>
      <c r="L278" s="17" t="str">
        <f aca="false">IF(I278="","",IFERROR(INDEX(Cadastro!$F$5:$F$304,MATCH(I278,Cadastro!$A$5:$A$304,0)),""))</f>
        <v/>
      </c>
      <c r="M278" s="17" t="str">
        <f aca="false">IF(I278="","",IFERROR(INDEX(Cadastro!$I$5:$I$304,MATCH(I278,Cadastro!$A$5:$A$304,0)),""))</f>
        <v/>
      </c>
      <c r="N278" s="19"/>
      <c r="O278" s="13"/>
      <c r="P278" s="12" t="str">
        <f aca="false">IF(OR(B278="",O278=""),"",NETWORKDAYS(B278,O278)-1)</f>
        <v/>
      </c>
      <c r="Q278" s="13"/>
      <c r="R278" s="11"/>
      <c r="S278" s="13"/>
      <c r="T278" s="11"/>
      <c r="U278" s="11"/>
      <c r="V278" s="11"/>
      <c r="W278" s="11"/>
      <c r="X278" s="11"/>
    </row>
    <row r="279" customFormat="false" ht="15" hidden="false" customHeight="false" outlineLevel="0" collapsed="false">
      <c r="A279" s="11"/>
      <c r="B279" s="13"/>
      <c r="C279" s="11"/>
      <c r="D279" s="11"/>
      <c r="E279" s="11"/>
      <c r="F279" s="19"/>
      <c r="G279" s="12" t="str">
        <f aca="false">IF(F279="","",IF(F279&lt;=Parâmetros!$B$7,"Faixa 1",IF(F279&lt;=Parâmetros!$B$8,"Faixa 2","Faixa 3")))</f>
        <v/>
      </c>
      <c r="H279" s="12" t="str">
        <f aca="false">IF(G279="","",IF(G279="Faixa 1","Rodízio/Sorteio",IF(G279="Faixa 2","Cotação (≥3 propostas)","Chamada pública")))</f>
        <v/>
      </c>
      <c r="I279" s="11"/>
      <c r="J279" s="17" t="str">
        <f aca="false">IF(I279="","",IFERROR(INDEX(Cadastro!$B$5:$B$304,MATCH(I279,Cadastro!$A$5:$A$304,0)),"ID não encontrado"))</f>
        <v/>
      </c>
      <c r="K279" s="17" t="str">
        <f aca="false">IF(I279="","",IFERROR(INDEX(Cadastro!$E$5:$E$304,MATCH(I279,Cadastro!$A$5:$A$304,0)),""))</f>
        <v/>
      </c>
      <c r="L279" s="17" t="str">
        <f aca="false">IF(I279="","",IFERROR(INDEX(Cadastro!$F$5:$F$304,MATCH(I279,Cadastro!$A$5:$A$304,0)),""))</f>
        <v/>
      </c>
      <c r="M279" s="17" t="str">
        <f aca="false">IF(I279="","",IFERROR(INDEX(Cadastro!$I$5:$I$304,MATCH(I279,Cadastro!$A$5:$A$304,0)),""))</f>
        <v/>
      </c>
      <c r="N279" s="19"/>
      <c r="O279" s="13"/>
      <c r="P279" s="12" t="str">
        <f aca="false">IF(OR(B279="",O279=""),"",NETWORKDAYS(B279,O279)-1)</f>
        <v/>
      </c>
      <c r="Q279" s="13"/>
      <c r="R279" s="11"/>
      <c r="S279" s="13"/>
      <c r="T279" s="11"/>
      <c r="U279" s="11"/>
      <c r="V279" s="11"/>
      <c r="W279" s="11"/>
      <c r="X279" s="11"/>
    </row>
    <row r="280" customFormat="false" ht="15" hidden="false" customHeight="false" outlineLevel="0" collapsed="false">
      <c r="A280" s="11"/>
      <c r="B280" s="13"/>
      <c r="C280" s="11"/>
      <c r="D280" s="11"/>
      <c r="E280" s="11"/>
      <c r="F280" s="19"/>
      <c r="G280" s="12" t="str">
        <f aca="false">IF(F280="","",IF(F280&lt;=Parâmetros!$B$7,"Faixa 1",IF(F280&lt;=Parâmetros!$B$8,"Faixa 2","Faixa 3")))</f>
        <v/>
      </c>
      <c r="H280" s="12" t="str">
        <f aca="false">IF(G280="","",IF(G280="Faixa 1","Rodízio/Sorteio",IF(G280="Faixa 2","Cotação (≥3 propostas)","Chamada pública")))</f>
        <v/>
      </c>
      <c r="I280" s="11"/>
      <c r="J280" s="17" t="str">
        <f aca="false">IF(I280="","",IFERROR(INDEX(Cadastro!$B$5:$B$304,MATCH(I280,Cadastro!$A$5:$A$304,0)),"ID não encontrado"))</f>
        <v/>
      </c>
      <c r="K280" s="17" t="str">
        <f aca="false">IF(I280="","",IFERROR(INDEX(Cadastro!$E$5:$E$304,MATCH(I280,Cadastro!$A$5:$A$304,0)),""))</f>
        <v/>
      </c>
      <c r="L280" s="17" t="str">
        <f aca="false">IF(I280="","",IFERROR(INDEX(Cadastro!$F$5:$F$304,MATCH(I280,Cadastro!$A$5:$A$304,0)),""))</f>
        <v/>
      </c>
      <c r="M280" s="17" t="str">
        <f aca="false">IF(I280="","",IFERROR(INDEX(Cadastro!$I$5:$I$304,MATCH(I280,Cadastro!$A$5:$A$304,0)),""))</f>
        <v/>
      </c>
      <c r="N280" s="19"/>
      <c r="O280" s="13"/>
      <c r="P280" s="12" t="str">
        <f aca="false">IF(OR(B280="",O280=""),"",NETWORKDAYS(B280,O280)-1)</f>
        <v/>
      </c>
      <c r="Q280" s="13"/>
      <c r="R280" s="11"/>
      <c r="S280" s="13"/>
      <c r="T280" s="11"/>
      <c r="U280" s="11"/>
      <c r="V280" s="11"/>
      <c r="W280" s="11"/>
      <c r="X280" s="11"/>
    </row>
    <row r="281" customFormat="false" ht="15" hidden="false" customHeight="false" outlineLevel="0" collapsed="false">
      <c r="A281" s="11"/>
      <c r="B281" s="13"/>
      <c r="C281" s="11"/>
      <c r="D281" s="11"/>
      <c r="E281" s="11"/>
      <c r="F281" s="19"/>
      <c r="G281" s="12" t="str">
        <f aca="false">IF(F281="","",IF(F281&lt;=Parâmetros!$B$7,"Faixa 1",IF(F281&lt;=Parâmetros!$B$8,"Faixa 2","Faixa 3")))</f>
        <v/>
      </c>
      <c r="H281" s="12" t="str">
        <f aca="false">IF(G281="","",IF(G281="Faixa 1","Rodízio/Sorteio",IF(G281="Faixa 2","Cotação (≥3 propostas)","Chamada pública")))</f>
        <v/>
      </c>
      <c r="I281" s="11"/>
      <c r="J281" s="17" t="str">
        <f aca="false">IF(I281="","",IFERROR(INDEX(Cadastro!$B$5:$B$304,MATCH(I281,Cadastro!$A$5:$A$304,0)),"ID não encontrado"))</f>
        <v/>
      </c>
      <c r="K281" s="17" t="str">
        <f aca="false">IF(I281="","",IFERROR(INDEX(Cadastro!$E$5:$E$304,MATCH(I281,Cadastro!$A$5:$A$304,0)),""))</f>
        <v/>
      </c>
      <c r="L281" s="17" t="str">
        <f aca="false">IF(I281="","",IFERROR(INDEX(Cadastro!$F$5:$F$304,MATCH(I281,Cadastro!$A$5:$A$304,0)),""))</f>
        <v/>
      </c>
      <c r="M281" s="17" t="str">
        <f aca="false">IF(I281="","",IFERROR(INDEX(Cadastro!$I$5:$I$304,MATCH(I281,Cadastro!$A$5:$A$304,0)),""))</f>
        <v/>
      </c>
      <c r="N281" s="19"/>
      <c r="O281" s="13"/>
      <c r="P281" s="12" t="str">
        <f aca="false">IF(OR(B281="",O281=""),"",NETWORKDAYS(B281,O281)-1)</f>
        <v/>
      </c>
      <c r="Q281" s="13"/>
      <c r="R281" s="11"/>
      <c r="S281" s="13"/>
      <c r="T281" s="11"/>
      <c r="U281" s="11"/>
      <c r="V281" s="11"/>
      <c r="W281" s="11"/>
      <c r="X281" s="11"/>
    </row>
    <row r="282" customFormat="false" ht="15" hidden="false" customHeight="false" outlineLevel="0" collapsed="false">
      <c r="A282" s="11"/>
      <c r="B282" s="13"/>
      <c r="C282" s="11"/>
      <c r="D282" s="11"/>
      <c r="E282" s="11"/>
      <c r="F282" s="19"/>
      <c r="G282" s="12" t="str">
        <f aca="false">IF(F282="","",IF(F282&lt;=Parâmetros!$B$7,"Faixa 1",IF(F282&lt;=Parâmetros!$B$8,"Faixa 2","Faixa 3")))</f>
        <v/>
      </c>
      <c r="H282" s="12" t="str">
        <f aca="false">IF(G282="","",IF(G282="Faixa 1","Rodízio/Sorteio",IF(G282="Faixa 2","Cotação (≥3 propostas)","Chamada pública")))</f>
        <v/>
      </c>
      <c r="I282" s="11"/>
      <c r="J282" s="17" t="str">
        <f aca="false">IF(I282="","",IFERROR(INDEX(Cadastro!$B$5:$B$304,MATCH(I282,Cadastro!$A$5:$A$304,0)),"ID não encontrado"))</f>
        <v/>
      </c>
      <c r="K282" s="17" t="str">
        <f aca="false">IF(I282="","",IFERROR(INDEX(Cadastro!$E$5:$E$304,MATCH(I282,Cadastro!$A$5:$A$304,0)),""))</f>
        <v/>
      </c>
      <c r="L282" s="17" t="str">
        <f aca="false">IF(I282="","",IFERROR(INDEX(Cadastro!$F$5:$F$304,MATCH(I282,Cadastro!$A$5:$A$304,0)),""))</f>
        <v/>
      </c>
      <c r="M282" s="17" t="str">
        <f aca="false">IF(I282="","",IFERROR(INDEX(Cadastro!$I$5:$I$304,MATCH(I282,Cadastro!$A$5:$A$304,0)),""))</f>
        <v/>
      </c>
      <c r="N282" s="19"/>
      <c r="O282" s="13"/>
      <c r="P282" s="12" t="str">
        <f aca="false">IF(OR(B282="",O282=""),"",NETWORKDAYS(B282,O282)-1)</f>
        <v/>
      </c>
      <c r="Q282" s="13"/>
      <c r="R282" s="11"/>
      <c r="S282" s="13"/>
      <c r="T282" s="11"/>
      <c r="U282" s="11"/>
      <c r="V282" s="11"/>
      <c r="W282" s="11"/>
      <c r="X282" s="11"/>
    </row>
    <row r="283" customFormat="false" ht="15" hidden="false" customHeight="false" outlineLevel="0" collapsed="false">
      <c r="A283" s="11"/>
      <c r="B283" s="13"/>
      <c r="C283" s="11"/>
      <c r="D283" s="11"/>
      <c r="E283" s="11"/>
      <c r="F283" s="19"/>
      <c r="G283" s="12" t="str">
        <f aca="false">IF(F283="","",IF(F283&lt;=Parâmetros!$B$7,"Faixa 1",IF(F283&lt;=Parâmetros!$B$8,"Faixa 2","Faixa 3")))</f>
        <v/>
      </c>
      <c r="H283" s="12" t="str">
        <f aca="false">IF(G283="","",IF(G283="Faixa 1","Rodízio/Sorteio",IF(G283="Faixa 2","Cotação (≥3 propostas)","Chamada pública")))</f>
        <v/>
      </c>
      <c r="I283" s="11"/>
      <c r="J283" s="17" t="str">
        <f aca="false">IF(I283="","",IFERROR(INDEX(Cadastro!$B$5:$B$304,MATCH(I283,Cadastro!$A$5:$A$304,0)),"ID não encontrado"))</f>
        <v/>
      </c>
      <c r="K283" s="17" t="str">
        <f aca="false">IF(I283="","",IFERROR(INDEX(Cadastro!$E$5:$E$304,MATCH(I283,Cadastro!$A$5:$A$304,0)),""))</f>
        <v/>
      </c>
      <c r="L283" s="17" t="str">
        <f aca="false">IF(I283="","",IFERROR(INDEX(Cadastro!$F$5:$F$304,MATCH(I283,Cadastro!$A$5:$A$304,0)),""))</f>
        <v/>
      </c>
      <c r="M283" s="17" t="str">
        <f aca="false">IF(I283="","",IFERROR(INDEX(Cadastro!$I$5:$I$304,MATCH(I283,Cadastro!$A$5:$A$304,0)),""))</f>
        <v/>
      </c>
      <c r="N283" s="19"/>
      <c r="O283" s="13"/>
      <c r="P283" s="12" t="str">
        <f aca="false">IF(OR(B283="",O283=""),"",NETWORKDAYS(B283,O283)-1)</f>
        <v/>
      </c>
      <c r="Q283" s="13"/>
      <c r="R283" s="11"/>
      <c r="S283" s="13"/>
      <c r="T283" s="11"/>
      <c r="U283" s="11"/>
      <c r="V283" s="11"/>
      <c r="W283" s="11"/>
      <c r="X283" s="11"/>
    </row>
    <row r="284" customFormat="false" ht="15" hidden="false" customHeight="false" outlineLevel="0" collapsed="false">
      <c r="A284" s="11"/>
      <c r="B284" s="13"/>
      <c r="C284" s="11"/>
      <c r="D284" s="11"/>
      <c r="E284" s="11"/>
      <c r="F284" s="19"/>
      <c r="G284" s="12" t="str">
        <f aca="false">IF(F284="","",IF(F284&lt;=Parâmetros!$B$7,"Faixa 1",IF(F284&lt;=Parâmetros!$B$8,"Faixa 2","Faixa 3")))</f>
        <v/>
      </c>
      <c r="H284" s="12" t="str">
        <f aca="false">IF(G284="","",IF(G284="Faixa 1","Rodízio/Sorteio",IF(G284="Faixa 2","Cotação (≥3 propostas)","Chamada pública")))</f>
        <v/>
      </c>
      <c r="I284" s="11"/>
      <c r="J284" s="17" t="str">
        <f aca="false">IF(I284="","",IFERROR(INDEX(Cadastro!$B$5:$B$304,MATCH(I284,Cadastro!$A$5:$A$304,0)),"ID não encontrado"))</f>
        <v/>
      </c>
      <c r="K284" s="17" t="str">
        <f aca="false">IF(I284="","",IFERROR(INDEX(Cadastro!$E$5:$E$304,MATCH(I284,Cadastro!$A$5:$A$304,0)),""))</f>
        <v/>
      </c>
      <c r="L284" s="17" t="str">
        <f aca="false">IF(I284="","",IFERROR(INDEX(Cadastro!$F$5:$F$304,MATCH(I284,Cadastro!$A$5:$A$304,0)),""))</f>
        <v/>
      </c>
      <c r="M284" s="17" t="str">
        <f aca="false">IF(I284="","",IFERROR(INDEX(Cadastro!$I$5:$I$304,MATCH(I284,Cadastro!$A$5:$A$304,0)),""))</f>
        <v/>
      </c>
      <c r="N284" s="19"/>
      <c r="O284" s="13"/>
      <c r="P284" s="12" t="str">
        <f aca="false">IF(OR(B284="",O284=""),"",NETWORKDAYS(B284,O284)-1)</f>
        <v/>
      </c>
      <c r="Q284" s="13"/>
      <c r="R284" s="11"/>
      <c r="S284" s="13"/>
      <c r="T284" s="11"/>
      <c r="U284" s="11"/>
      <c r="V284" s="11"/>
      <c r="W284" s="11"/>
      <c r="X284" s="11"/>
    </row>
    <row r="285" customFormat="false" ht="15" hidden="false" customHeight="false" outlineLevel="0" collapsed="false">
      <c r="A285" s="11"/>
      <c r="B285" s="13"/>
      <c r="C285" s="11"/>
      <c r="D285" s="11"/>
      <c r="E285" s="11"/>
      <c r="F285" s="19"/>
      <c r="G285" s="12" t="str">
        <f aca="false">IF(F285="","",IF(F285&lt;=Parâmetros!$B$7,"Faixa 1",IF(F285&lt;=Parâmetros!$B$8,"Faixa 2","Faixa 3")))</f>
        <v/>
      </c>
      <c r="H285" s="12" t="str">
        <f aca="false">IF(G285="","",IF(G285="Faixa 1","Rodízio/Sorteio",IF(G285="Faixa 2","Cotação (≥3 propostas)","Chamada pública")))</f>
        <v/>
      </c>
      <c r="I285" s="11"/>
      <c r="J285" s="17" t="str">
        <f aca="false">IF(I285="","",IFERROR(INDEX(Cadastro!$B$5:$B$304,MATCH(I285,Cadastro!$A$5:$A$304,0)),"ID não encontrado"))</f>
        <v/>
      </c>
      <c r="K285" s="17" t="str">
        <f aca="false">IF(I285="","",IFERROR(INDEX(Cadastro!$E$5:$E$304,MATCH(I285,Cadastro!$A$5:$A$304,0)),""))</f>
        <v/>
      </c>
      <c r="L285" s="17" t="str">
        <f aca="false">IF(I285="","",IFERROR(INDEX(Cadastro!$F$5:$F$304,MATCH(I285,Cadastro!$A$5:$A$304,0)),""))</f>
        <v/>
      </c>
      <c r="M285" s="17" t="str">
        <f aca="false">IF(I285="","",IFERROR(INDEX(Cadastro!$I$5:$I$304,MATCH(I285,Cadastro!$A$5:$A$304,0)),""))</f>
        <v/>
      </c>
      <c r="N285" s="19"/>
      <c r="O285" s="13"/>
      <c r="P285" s="12" t="str">
        <f aca="false">IF(OR(B285="",O285=""),"",NETWORKDAYS(B285,O285)-1)</f>
        <v/>
      </c>
      <c r="Q285" s="13"/>
      <c r="R285" s="11"/>
      <c r="S285" s="13"/>
      <c r="T285" s="11"/>
      <c r="U285" s="11"/>
      <c r="V285" s="11"/>
      <c r="W285" s="11"/>
      <c r="X285" s="11"/>
    </row>
    <row r="286" customFormat="false" ht="15" hidden="false" customHeight="false" outlineLevel="0" collapsed="false">
      <c r="A286" s="11"/>
      <c r="B286" s="13"/>
      <c r="C286" s="11"/>
      <c r="D286" s="11"/>
      <c r="E286" s="11"/>
      <c r="F286" s="19"/>
      <c r="G286" s="12" t="str">
        <f aca="false">IF(F286="","",IF(F286&lt;=Parâmetros!$B$7,"Faixa 1",IF(F286&lt;=Parâmetros!$B$8,"Faixa 2","Faixa 3")))</f>
        <v/>
      </c>
      <c r="H286" s="12" t="str">
        <f aca="false">IF(G286="","",IF(G286="Faixa 1","Rodízio/Sorteio",IF(G286="Faixa 2","Cotação (≥3 propostas)","Chamada pública")))</f>
        <v/>
      </c>
      <c r="I286" s="11"/>
      <c r="J286" s="17" t="str">
        <f aca="false">IF(I286="","",IFERROR(INDEX(Cadastro!$B$5:$B$304,MATCH(I286,Cadastro!$A$5:$A$304,0)),"ID não encontrado"))</f>
        <v/>
      </c>
      <c r="K286" s="17" t="str">
        <f aca="false">IF(I286="","",IFERROR(INDEX(Cadastro!$E$5:$E$304,MATCH(I286,Cadastro!$A$5:$A$304,0)),""))</f>
        <v/>
      </c>
      <c r="L286" s="17" t="str">
        <f aca="false">IF(I286="","",IFERROR(INDEX(Cadastro!$F$5:$F$304,MATCH(I286,Cadastro!$A$5:$A$304,0)),""))</f>
        <v/>
      </c>
      <c r="M286" s="17" t="str">
        <f aca="false">IF(I286="","",IFERROR(INDEX(Cadastro!$I$5:$I$304,MATCH(I286,Cadastro!$A$5:$A$304,0)),""))</f>
        <v/>
      </c>
      <c r="N286" s="19"/>
      <c r="O286" s="13"/>
      <c r="P286" s="12" t="str">
        <f aca="false">IF(OR(B286="",O286=""),"",NETWORKDAYS(B286,O286)-1)</f>
        <v/>
      </c>
      <c r="Q286" s="13"/>
      <c r="R286" s="11"/>
      <c r="S286" s="13"/>
      <c r="T286" s="11"/>
      <c r="U286" s="11"/>
      <c r="V286" s="11"/>
      <c r="W286" s="11"/>
      <c r="X286" s="11"/>
    </row>
    <row r="287" customFormat="false" ht="15" hidden="false" customHeight="false" outlineLevel="0" collapsed="false">
      <c r="A287" s="11"/>
      <c r="B287" s="13"/>
      <c r="C287" s="11"/>
      <c r="D287" s="11"/>
      <c r="E287" s="11"/>
      <c r="F287" s="19"/>
      <c r="G287" s="12" t="str">
        <f aca="false">IF(F287="","",IF(F287&lt;=Parâmetros!$B$7,"Faixa 1",IF(F287&lt;=Parâmetros!$B$8,"Faixa 2","Faixa 3")))</f>
        <v/>
      </c>
      <c r="H287" s="12" t="str">
        <f aca="false">IF(G287="","",IF(G287="Faixa 1","Rodízio/Sorteio",IF(G287="Faixa 2","Cotação (≥3 propostas)","Chamada pública")))</f>
        <v/>
      </c>
      <c r="I287" s="11"/>
      <c r="J287" s="17" t="str">
        <f aca="false">IF(I287="","",IFERROR(INDEX(Cadastro!$B$5:$B$304,MATCH(I287,Cadastro!$A$5:$A$304,0)),"ID não encontrado"))</f>
        <v/>
      </c>
      <c r="K287" s="17" t="str">
        <f aca="false">IF(I287="","",IFERROR(INDEX(Cadastro!$E$5:$E$304,MATCH(I287,Cadastro!$A$5:$A$304,0)),""))</f>
        <v/>
      </c>
      <c r="L287" s="17" t="str">
        <f aca="false">IF(I287="","",IFERROR(INDEX(Cadastro!$F$5:$F$304,MATCH(I287,Cadastro!$A$5:$A$304,0)),""))</f>
        <v/>
      </c>
      <c r="M287" s="17" t="str">
        <f aca="false">IF(I287="","",IFERROR(INDEX(Cadastro!$I$5:$I$304,MATCH(I287,Cadastro!$A$5:$A$304,0)),""))</f>
        <v/>
      </c>
      <c r="N287" s="19"/>
      <c r="O287" s="13"/>
      <c r="P287" s="12" t="str">
        <f aca="false">IF(OR(B287="",O287=""),"",NETWORKDAYS(B287,O287)-1)</f>
        <v/>
      </c>
      <c r="Q287" s="13"/>
      <c r="R287" s="11"/>
      <c r="S287" s="13"/>
      <c r="T287" s="11"/>
      <c r="U287" s="11"/>
      <c r="V287" s="11"/>
      <c r="W287" s="11"/>
      <c r="X287" s="11"/>
    </row>
    <row r="288" customFormat="false" ht="15" hidden="false" customHeight="false" outlineLevel="0" collapsed="false">
      <c r="A288" s="11"/>
      <c r="B288" s="13"/>
      <c r="C288" s="11"/>
      <c r="D288" s="11"/>
      <c r="E288" s="11"/>
      <c r="F288" s="19"/>
      <c r="G288" s="12" t="str">
        <f aca="false">IF(F288="","",IF(F288&lt;=Parâmetros!$B$7,"Faixa 1",IF(F288&lt;=Parâmetros!$B$8,"Faixa 2","Faixa 3")))</f>
        <v/>
      </c>
      <c r="H288" s="12" t="str">
        <f aca="false">IF(G288="","",IF(G288="Faixa 1","Rodízio/Sorteio",IF(G288="Faixa 2","Cotação (≥3 propostas)","Chamada pública")))</f>
        <v/>
      </c>
      <c r="I288" s="11"/>
      <c r="J288" s="17" t="str">
        <f aca="false">IF(I288="","",IFERROR(INDEX(Cadastro!$B$5:$B$304,MATCH(I288,Cadastro!$A$5:$A$304,0)),"ID não encontrado"))</f>
        <v/>
      </c>
      <c r="K288" s="17" t="str">
        <f aca="false">IF(I288="","",IFERROR(INDEX(Cadastro!$E$5:$E$304,MATCH(I288,Cadastro!$A$5:$A$304,0)),""))</f>
        <v/>
      </c>
      <c r="L288" s="17" t="str">
        <f aca="false">IF(I288="","",IFERROR(INDEX(Cadastro!$F$5:$F$304,MATCH(I288,Cadastro!$A$5:$A$304,0)),""))</f>
        <v/>
      </c>
      <c r="M288" s="17" t="str">
        <f aca="false">IF(I288="","",IFERROR(INDEX(Cadastro!$I$5:$I$304,MATCH(I288,Cadastro!$A$5:$A$304,0)),""))</f>
        <v/>
      </c>
      <c r="N288" s="19"/>
      <c r="O288" s="13"/>
      <c r="P288" s="12" t="str">
        <f aca="false">IF(OR(B288="",O288=""),"",NETWORKDAYS(B288,O288)-1)</f>
        <v/>
      </c>
      <c r="Q288" s="13"/>
      <c r="R288" s="11"/>
      <c r="S288" s="13"/>
      <c r="T288" s="11"/>
      <c r="U288" s="11"/>
      <c r="V288" s="11"/>
      <c r="W288" s="11"/>
      <c r="X288" s="11"/>
    </row>
    <row r="289" customFormat="false" ht="15" hidden="false" customHeight="false" outlineLevel="0" collapsed="false">
      <c r="A289" s="11"/>
      <c r="B289" s="13"/>
      <c r="C289" s="11"/>
      <c r="D289" s="11"/>
      <c r="E289" s="11"/>
      <c r="F289" s="19"/>
      <c r="G289" s="12" t="str">
        <f aca="false">IF(F289="","",IF(F289&lt;=Parâmetros!$B$7,"Faixa 1",IF(F289&lt;=Parâmetros!$B$8,"Faixa 2","Faixa 3")))</f>
        <v/>
      </c>
      <c r="H289" s="12" t="str">
        <f aca="false">IF(G289="","",IF(G289="Faixa 1","Rodízio/Sorteio",IF(G289="Faixa 2","Cotação (≥3 propostas)","Chamada pública")))</f>
        <v/>
      </c>
      <c r="I289" s="11"/>
      <c r="J289" s="17" t="str">
        <f aca="false">IF(I289="","",IFERROR(INDEX(Cadastro!$B$5:$B$304,MATCH(I289,Cadastro!$A$5:$A$304,0)),"ID não encontrado"))</f>
        <v/>
      </c>
      <c r="K289" s="17" t="str">
        <f aca="false">IF(I289="","",IFERROR(INDEX(Cadastro!$E$5:$E$304,MATCH(I289,Cadastro!$A$5:$A$304,0)),""))</f>
        <v/>
      </c>
      <c r="L289" s="17" t="str">
        <f aca="false">IF(I289="","",IFERROR(INDEX(Cadastro!$F$5:$F$304,MATCH(I289,Cadastro!$A$5:$A$304,0)),""))</f>
        <v/>
      </c>
      <c r="M289" s="17" t="str">
        <f aca="false">IF(I289="","",IFERROR(INDEX(Cadastro!$I$5:$I$304,MATCH(I289,Cadastro!$A$5:$A$304,0)),""))</f>
        <v/>
      </c>
      <c r="N289" s="19"/>
      <c r="O289" s="13"/>
      <c r="P289" s="12" t="str">
        <f aca="false">IF(OR(B289="",O289=""),"",NETWORKDAYS(B289,O289)-1)</f>
        <v/>
      </c>
      <c r="Q289" s="13"/>
      <c r="R289" s="11"/>
      <c r="S289" s="13"/>
      <c r="T289" s="11"/>
      <c r="U289" s="11"/>
      <c r="V289" s="11"/>
      <c r="W289" s="11"/>
      <c r="X289" s="11"/>
    </row>
    <row r="290" customFormat="false" ht="15" hidden="false" customHeight="false" outlineLevel="0" collapsed="false">
      <c r="A290" s="11"/>
      <c r="B290" s="13"/>
      <c r="C290" s="11"/>
      <c r="D290" s="11"/>
      <c r="E290" s="11"/>
      <c r="F290" s="19"/>
      <c r="G290" s="12" t="str">
        <f aca="false">IF(F290="","",IF(F290&lt;=Parâmetros!$B$7,"Faixa 1",IF(F290&lt;=Parâmetros!$B$8,"Faixa 2","Faixa 3")))</f>
        <v/>
      </c>
      <c r="H290" s="12" t="str">
        <f aca="false">IF(G290="","",IF(G290="Faixa 1","Rodízio/Sorteio",IF(G290="Faixa 2","Cotação (≥3 propostas)","Chamada pública")))</f>
        <v/>
      </c>
      <c r="I290" s="11"/>
      <c r="J290" s="17" t="str">
        <f aca="false">IF(I290="","",IFERROR(INDEX(Cadastro!$B$5:$B$304,MATCH(I290,Cadastro!$A$5:$A$304,0)),"ID não encontrado"))</f>
        <v/>
      </c>
      <c r="K290" s="17" t="str">
        <f aca="false">IF(I290="","",IFERROR(INDEX(Cadastro!$E$5:$E$304,MATCH(I290,Cadastro!$A$5:$A$304,0)),""))</f>
        <v/>
      </c>
      <c r="L290" s="17" t="str">
        <f aca="false">IF(I290="","",IFERROR(INDEX(Cadastro!$F$5:$F$304,MATCH(I290,Cadastro!$A$5:$A$304,0)),""))</f>
        <v/>
      </c>
      <c r="M290" s="17" t="str">
        <f aca="false">IF(I290="","",IFERROR(INDEX(Cadastro!$I$5:$I$304,MATCH(I290,Cadastro!$A$5:$A$304,0)),""))</f>
        <v/>
      </c>
      <c r="N290" s="19"/>
      <c r="O290" s="13"/>
      <c r="P290" s="12" t="str">
        <f aca="false">IF(OR(B290="",O290=""),"",NETWORKDAYS(B290,O290)-1)</f>
        <v/>
      </c>
      <c r="Q290" s="13"/>
      <c r="R290" s="11"/>
      <c r="S290" s="13"/>
      <c r="T290" s="11"/>
      <c r="U290" s="11"/>
      <c r="V290" s="11"/>
      <c r="W290" s="11"/>
      <c r="X290" s="11"/>
    </row>
    <row r="291" customFormat="false" ht="15" hidden="false" customHeight="false" outlineLevel="0" collapsed="false">
      <c r="A291" s="11"/>
      <c r="B291" s="13"/>
      <c r="C291" s="11"/>
      <c r="D291" s="11"/>
      <c r="E291" s="11"/>
      <c r="F291" s="19"/>
      <c r="G291" s="12" t="str">
        <f aca="false">IF(F291="","",IF(F291&lt;=Parâmetros!$B$7,"Faixa 1",IF(F291&lt;=Parâmetros!$B$8,"Faixa 2","Faixa 3")))</f>
        <v/>
      </c>
      <c r="H291" s="12" t="str">
        <f aca="false">IF(G291="","",IF(G291="Faixa 1","Rodízio/Sorteio",IF(G291="Faixa 2","Cotação (≥3 propostas)","Chamada pública")))</f>
        <v/>
      </c>
      <c r="I291" s="11"/>
      <c r="J291" s="17" t="str">
        <f aca="false">IF(I291="","",IFERROR(INDEX(Cadastro!$B$5:$B$304,MATCH(I291,Cadastro!$A$5:$A$304,0)),"ID não encontrado"))</f>
        <v/>
      </c>
      <c r="K291" s="17" t="str">
        <f aca="false">IF(I291="","",IFERROR(INDEX(Cadastro!$E$5:$E$304,MATCH(I291,Cadastro!$A$5:$A$304,0)),""))</f>
        <v/>
      </c>
      <c r="L291" s="17" t="str">
        <f aca="false">IF(I291="","",IFERROR(INDEX(Cadastro!$F$5:$F$304,MATCH(I291,Cadastro!$A$5:$A$304,0)),""))</f>
        <v/>
      </c>
      <c r="M291" s="17" t="str">
        <f aca="false">IF(I291="","",IFERROR(INDEX(Cadastro!$I$5:$I$304,MATCH(I291,Cadastro!$A$5:$A$304,0)),""))</f>
        <v/>
      </c>
      <c r="N291" s="19"/>
      <c r="O291" s="13"/>
      <c r="P291" s="12" t="str">
        <f aca="false">IF(OR(B291="",O291=""),"",NETWORKDAYS(B291,O291)-1)</f>
        <v/>
      </c>
      <c r="Q291" s="13"/>
      <c r="R291" s="11"/>
      <c r="S291" s="13"/>
      <c r="T291" s="11"/>
      <c r="U291" s="11"/>
      <c r="V291" s="11"/>
      <c r="W291" s="11"/>
      <c r="X291" s="11"/>
    </row>
    <row r="292" customFormat="false" ht="15" hidden="false" customHeight="false" outlineLevel="0" collapsed="false">
      <c r="A292" s="11"/>
      <c r="B292" s="13"/>
      <c r="C292" s="11"/>
      <c r="D292" s="11"/>
      <c r="E292" s="11"/>
      <c r="F292" s="19"/>
      <c r="G292" s="12" t="str">
        <f aca="false">IF(F292="","",IF(F292&lt;=Parâmetros!$B$7,"Faixa 1",IF(F292&lt;=Parâmetros!$B$8,"Faixa 2","Faixa 3")))</f>
        <v/>
      </c>
      <c r="H292" s="12" t="str">
        <f aca="false">IF(G292="","",IF(G292="Faixa 1","Rodízio/Sorteio",IF(G292="Faixa 2","Cotação (≥3 propostas)","Chamada pública")))</f>
        <v/>
      </c>
      <c r="I292" s="11"/>
      <c r="J292" s="17" t="str">
        <f aca="false">IF(I292="","",IFERROR(INDEX(Cadastro!$B$5:$B$304,MATCH(I292,Cadastro!$A$5:$A$304,0)),"ID não encontrado"))</f>
        <v/>
      </c>
      <c r="K292" s="17" t="str">
        <f aca="false">IF(I292="","",IFERROR(INDEX(Cadastro!$E$5:$E$304,MATCH(I292,Cadastro!$A$5:$A$304,0)),""))</f>
        <v/>
      </c>
      <c r="L292" s="17" t="str">
        <f aca="false">IF(I292="","",IFERROR(INDEX(Cadastro!$F$5:$F$304,MATCH(I292,Cadastro!$A$5:$A$304,0)),""))</f>
        <v/>
      </c>
      <c r="M292" s="17" t="str">
        <f aca="false">IF(I292="","",IFERROR(INDEX(Cadastro!$I$5:$I$304,MATCH(I292,Cadastro!$A$5:$A$304,0)),""))</f>
        <v/>
      </c>
      <c r="N292" s="19"/>
      <c r="O292" s="13"/>
      <c r="P292" s="12" t="str">
        <f aca="false">IF(OR(B292="",O292=""),"",NETWORKDAYS(B292,O292)-1)</f>
        <v/>
      </c>
      <c r="Q292" s="13"/>
      <c r="R292" s="11"/>
      <c r="S292" s="13"/>
      <c r="T292" s="11"/>
      <c r="U292" s="11"/>
      <c r="V292" s="11"/>
      <c r="W292" s="11"/>
      <c r="X292" s="11"/>
    </row>
    <row r="293" customFormat="false" ht="15" hidden="false" customHeight="false" outlineLevel="0" collapsed="false">
      <c r="A293" s="11"/>
      <c r="B293" s="13"/>
      <c r="C293" s="11"/>
      <c r="D293" s="11"/>
      <c r="E293" s="11"/>
      <c r="F293" s="19"/>
      <c r="G293" s="12" t="str">
        <f aca="false">IF(F293="","",IF(F293&lt;=Parâmetros!$B$7,"Faixa 1",IF(F293&lt;=Parâmetros!$B$8,"Faixa 2","Faixa 3")))</f>
        <v/>
      </c>
      <c r="H293" s="12" t="str">
        <f aca="false">IF(G293="","",IF(G293="Faixa 1","Rodízio/Sorteio",IF(G293="Faixa 2","Cotação (≥3 propostas)","Chamada pública")))</f>
        <v/>
      </c>
      <c r="I293" s="11"/>
      <c r="J293" s="17" t="str">
        <f aca="false">IF(I293="","",IFERROR(INDEX(Cadastro!$B$5:$B$304,MATCH(I293,Cadastro!$A$5:$A$304,0)),"ID não encontrado"))</f>
        <v/>
      </c>
      <c r="K293" s="17" t="str">
        <f aca="false">IF(I293="","",IFERROR(INDEX(Cadastro!$E$5:$E$304,MATCH(I293,Cadastro!$A$5:$A$304,0)),""))</f>
        <v/>
      </c>
      <c r="L293" s="17" t="str">
        <f aca="false">IF(I293="","",IFERROR(INDEX(Cadastro!$F$5:$F$304,MATCH(I293,Cadastro!$A$5:$A$304,0)),""))</f>
        <v/>
      </c>
      <c r="M293" s="17" t="str">
        <f aca="false">IF(I293="","",IFERROR(INDEX(Cadastro!$I$5:$I$304,MATCH(I293,Cadastro!$A$5:$A$304,0)),""))</f>
        <v/>
      </c>
      <c r="N293" s="19"/>
      <c r="O293" s="13"/>
      <c r="P293" s="12" t="str">
        <f aca="false">IF(OR(B293="",O293=""),"",NETWORKDAYS(B293,O293)-1)</f>
        <v/>
      </c>
      <c r="Q293" s="13"/>
      <c r="R293" s="11"/>
      <c r="S293" s="13"/>
      <c r="T293" s="11"/>
      <c r="U293" s="11"/>
      <c r="V293" s="11"/>
      <c r="W293" s="11"/>
      <c r="X293" s="11"/>
    </row>
    <row r="294" customFormat="false" ht="15" hidden="false" customHeight="false" outlineLevel="0" collapsed="false">
      <c r="A294" s="11"/>
      <c r="B294" s="13"/>
      <c r="C294" s="11"/>
      <c r="D294" s="11"/>
      <c r="E294" s="11"/>
      <c r="F294" s="19"/>
      <c r="G294" s="12" t="str">
        <f aca="false">IF(F294="","",IF(F294&lt;=Parâmetros!$B$7,"Faixa 1",IF(F294&lt;=Parâmetros!$B$8,"Faixa 2","Faixa 3")))</f>
        <v/>
      </c>
      <c r="H294" s="12" t="str">
        <f aca="false">IF(G294="","",IF(G294="Faixa 1","Rodízio/Sorteio",IF(G294="Faixa 2","Cotação (≥3 propostas)","Chamada pública")))</f>
        <v/>
      </c>
      <c r="I294" s="11"/>
      <c r="J294" s="17" t="str">
        <f aca="false">IF(I294="","",IFERROR(INDEX(Cadastro!$B$5:$B$304,MATCH(I294,Cadastro!$A$5:$A$304,0)),"ID não encontrado"))</f>
        <v/>
      </c>
      <c r="K294" s="17" t="str">
        <f aca="false">IF(I294="","",IFERROR(INDEX(Cadastro!$E$5:$E$304,MATCH(I294,Cadastro!$A$5:$A$304,0)),""))</f>
        <v/>
      </c>
      <c r="L294" s="17" t="str">
        <f aca="false">IF(I294="","",IFERROR(INDEX(Cadastro!$F$5:$F$304,MATCH(I294,Cadastro!$A$5:$A$304,0)),""))</f>
        <v/>
      </c>
      <c r="M294" s="17" t="str">
        <f aca="false">IF(I294="","",IFERROR(INDEX(Cadastro!$I$5:$I$304,MATCH(I294,Cadastro!$A$5:$A$304,0)),""))</f>
        <v/>
      </c>
      <c r="N294" s="19"/>
      <c r="O294" s="13"/>
      <c r="P294" s="12" t="str">
        <f aca="false">IF(OR(B294="",O294=""),"",NETWORKDAYS(B294,O294)-1)</f>
        <v/>
      </c>
      <c r="Q294" s="13"/>
      <c r="R294" s="11"/>
      <c r="S294" s="13"/>
      <c r="T294" s="11"/>
      <c r="U294" s="11"/>
      <c r="V294" s="11"/>
      <c r="W294" s="11"/>
      <c r="X294" s="11"/>
    </row>
    <row r="295" customFormat="false" ht="15" hidden="false" customHeight="false" outlineLevel="0" collapsed="false">
      <c r="A295" s="11"/>
      <c r="B295" s="13"/>
      <c r="C295" s="11"/>
      <c r="D295" s="11"/>
      <c r="E295" s="11"/>
      <c r="F295" s="19"/>
      <c r="G295" s="12" t="str">
        <f aca="false">IF(F295="","",IF(F295&lt;=Parâmetros!$B$7,"Faixa 1",IF(F295&lt;=Parâmetros!$B$8,"Faixa 2","Faixa 3")))</f>
        <v/>
      </c>
      <c r="H295" s="12" t="str">
        <f aca="false">IF(G295="","",IF(G295="Faixa 1","Rodízio/Sorteio",IF(G295="Faixa 2","Cotação (≥3 propostas)","Chamada pública")))</f>
        <v/>
      </c>
      <c r="I295" s="11"/>
      <c r="J295" s="17" t="str">
        <f aca="false">IF(I295="","",IFERROR(INDEX(Cadastro!$B$5:$B$304,MATCH(I295,Cadastro!$A$5:$A$304,0)),"ID não encontrado"))</f>
        <v/>
      </c>
      <c r="K295" s="17" t="str">
        <f aca="false">IF(I295="","",IFERROR(INDEX(Cadastro!$E$5:$E$304,MATCH(I295,Cadastro!$A$5:$A$304,0)),""))</f>
        <v/>
      </c>
      <c r="L295" s="17" t="str">
        <f aca="false">IF(I295="","",IFERROR(INDEX(Cadastro!$F$5:$F$304,MATCH(I295,Cadastro!$A$5:$A$304,0)),""))</f>
        <v/>
      </c>
      <c r="M295" s="17" t="str">
        <f aca="false">IF(I295="","",IFERROR(INDEX(Cadastro!$I$5:$I$304,MATCH(I295,Cadastro!$A$5:$A$304,0)),""))</f>
        <v/>
      </c>
      <c r="N295" s="19"/>
      <c r="O295" s="13"/>
      <c r="P295" s="12" t="str">
        <f aca="false">IF(OR(B295="",O295=""),"",NETWORKDAYS(B295,O295)-1)</f>
        <v/>
      </c>
      <c r="Q295" s="13"/>
      <c r="R295" s="11"/>
      <c r="S295" s="13"/>
      <c r="T295" s="11"/>
      <c r="U295" s="11"/>
      <c r="V295" s="11"/>
      <c r="W295" s="11"/>
      <c r="X295" s="11"/>
    </row>
    <row r="296" customFormat="false" ht="15" hidden="false" customHeight="false" outlineLevel="0" collapsed="false">
      <c r="A296" s="11"/>
      <c r="B296" s="13"/>
      <c r="C296" s="11"/>
      <c r="D296" s="11"/>
      <c r="E296" s="11"/>
      <c r="F296" s="19"/>
      <c r="G296" s="12" t="str">
        <f aca="false">IF(F296="","",IF(F296&lt;=Parâmetros!$B$7,"Faixa 1",IF(F296&lt;=Parâmetros!$B$8,"Faixa 2","Faixa 3")))</f>
        <v/>
      </c>
      <c r="H296" s="12" t="str">
        <f aca="false">IF(G296="","",IF(G296="Faixa 1","Rodízio/Sorteio",IF(G296="Faixa 2","Cotação (≥3 propostas)","Chamada pública")))</f>
        <v/>
      </c>
      <c r="I296" s="11"/>
      <c r="J296" s="17" t="str">
        <f aca="false">IF(I296="","",IFERROR(INDEX(Cadastro!$B$5:$B$304,MATCH(I296,Cadastro!$A$5:$A$304,0)),"ID não encontrado"))</f>
        <v/>
      </c>
      <c r="K296" s="17" t="str">
        <f aca="false">IF(I296="","",IFERROR(INDEX(Cadastro!$E$5:$E$304,MATCH(I296,Cadastro!$A$5:$A$304,0)),""))</f>
        <v/>
      </c>
      <c r="L296" s="17" t="str">
        <f aca="false">IF(I296="","",IFERROR(INDEX(Cadastro!$F$5:$F$304,MATCH(I296,Cadastro!$A$5:$A$304,0)),""))</f>
        <v/>
      </c>
      <c r="M296" s="17" t="str">
        <f aca="false">IF(I296="","",IFERROR(INDEX(Cadastro!$I$5:$I$304,MATCH(I296,Cadastro!$A$5:$A$304,0)),""))</f>
        <v/>
      </c>
      <c r="N296" s="19"/>
      <c r="O296" s="13"/>
      <c r="P296" s="12" t="str">
        <f aca="false">IF(OR(B296="",O296=""),"",NETWORKDAYS(B296,O296)-1)</f>
        <v/>
      </c>
      <c r="Q296" s="13"/>
      <c r="R296" s="11"/>
      <c r="S296" s="13"/>
      <c r="T296" s="11"/>
      <c r="U296" s="11"/>
      <c r="V296" s="11"/>
      <c r="W296" s="11"/>
      <c r="X296" s="11"/>
    </row>
    <row r="297" customFormat="false" ht="15" hidden="false" customHeight="false" outlineLevel="0" collapsed="false">
      <c r="A297" s="11"/>
      <c r="B297" s="13"/>
      <c r="C297" s="11"/>
      <c r="D297" s="11"/>
      <c r="E297" s="11"/>
      <c r="F297" s="19"/>
      <c r="G297" s="12" t="str">
        <f aca="false">IF(F297="","",IF(F297&lt;=Parâmetros!$B$7,"Faixa 1",IF(F297&lt;=Parâmetros!$B$8,"Faixa 2","Faixa 3")))</f>
        <v/>
      </c>
      <c r="H297" s="12" t="str">
        <f aca="false">IF(G297="","",IF(G297="Faixa 1","Rodízio/Sorteio",IF(G297="Faixa 2","Cotação (≥3 propostas)","Chamada pública")))</f>
        <v/>
      </c>
      <c r="I297" s="11"/>
      <c r="J297" s="17" t="str">
        <f aca="false">IF(I297="","",IFERROR(INDEX(Cadastro!$B$5:$B$304,MATCH(I297,Cadastro!$A$5:$A$304,0)),"ID não encontrado"))</f>
        <v/>
      </c>
      <c r="K297" s="17" t="str">
        <f aca="false">IF(I297="","",IFERROR(INDEX(Cadastro!$E$5:$E$304,MATCH(I297,Cadastro!$A$5:$A$304,0)),""))</f>
        <v/>
      </c>
      <c r="L297" s="17" t="str">
        <f aca="false">IF(I297="","",IFERROR(INDEX(Cadastro!$F$5:$F$304,MATCH(I297,Cadastro!$A$5:$A$304,0)),""))</f>
        <v/>
      </c>
      <c r="M297" s="17" t="str">
        <f aca="false">IF(I297="","",IFERROR(INDEX(Cadastro!$I$5:$I$304,MATCH(I297,Cadastro!$A$5:$A$304,0)),""))</f>
        <v/>
      </c>
      <c r="N297" s="19"/>
      <c r="O297" s="13"/>
      <c r="P297" s="12" t="str">
        <f aca="false">IF(OR(B297="",O297=""),"",NETWORKDAYS(B297,O297)-1)</f>
        <v/>
      </c>
      <c r="Q297" s="13"/>
      <c r="R297" s="11"/>
      <c r="S297" s="13"/>
      <c r="T297" s="11"/>
      <c r="U297" s="11"/>
      <c r="V297" s="11"/>
      <c r="W297" s="11"/>
      <c r="X297" s="11"/>
    </row>
    <row r="298" customFormat="false" ht="15" hidden="false" customHeight="false" outlineLevel="0" collapsed="false">
      <c r="A298" s="11"/>
      <c r="B298" s="13"/>
      <c r="C298" s="11"/>
      <c r="D298" s="11"/>
      <c r="E298" s="11"/>
      <c r="F298" s="19"/>
      <c r="G298" s="12" t="str">
        <f aca="false">IF(F298="","",IF(F298&lt;=Parâmetros!$B$7,"Faixa 1",IF(F298&lt;=Parâmetros!$B$8,"Faixa 2","Faixa 3")))</f>
        <v/>
      </c>
      <c r="H298" s="12" t="str">
        <f aca="false">IF(G298="","",IF(G298="Faixa 1","Rodízio/Sorteio",IF(G298="Faixa 2","Cotação (≥3 propostas)","Chamada pública")))</f>
        <v/>
      </c>
      <c r="I298" s="11"/>
      <c r="J298" s="17" t="str">
        <f aca="false">IF(I298="","",IFERROR(INDEX(Cadastro!$B$5:$B$304,MATCH(I298,Cadastro!$A$5:$A$304,0)),"ID não encontrado"))</f>
        <v/>
      </c>
      <c r="K298" s="17" t="str">
        <f aca="false">IF(I298="","",IFERROR(INDEX(Cadastro!$E$5:$E$304,MATCH(I298,Cadastro!$A$5:$A$304,0)),""))</f>
        <v/>
      </c>
      <c r="L298" s="17" t="str">
        <f aca="false">IF(I298="","",IFERROR(INDEX(Cadastro!$F$5:$F$304,MATCH(I298,Cadastro!$A$5:$A$304,0)),""))</f>
        <v/>
      </c>
      <c r="M298" s="17" t="str">
        <f aca="false">IF(I298="","",IFERROR(INDEX(Cadastro!$I$5:$I$304,MATCH(I298,Cadastro!$A$5:$A$304,0)),""))</f>
        <v/>
      </c>
      <c r="N298" s="19"/>
      <c r="O298" s="13"/>
      <c r="P298" s="12" t="str">
        <f aca="false">IF(OR(B298="",O298=""),"",NETWORKDAYS(B298,O298)-1)</f>
        <v/>
      </c>
      <c r="Q298" s="13"/>
      <c r="R298" s="11"/>
      <c r="S298" s="13"/>
      <c r="T298" s="11"/>
      <c r="U298" s="11"/>
      <c r="V298" s="11"/>
      <c r="W298" s="11"/>
      <c r="X298" s="11"/>
    </row>
    <row r="299" customFormat="false" ht="15" hidden="false" customHeight="false" outlineLevel="0" collapsed="false">
      <c r="A299" s="11"/>
      <c r="B299" s="13"/>
      <c r="C299" s="11"/>
      <c r="D299" s="11"/>
      <c r="E299" s="11"/>
      <c r="F299" s="19"/>
      <c r="G299" s="12" t="str">
        <f aca="false">IF(F299="","",IF(F299&lt;=Parâmetros!$B$7,"Faixa 1",IF(F299&lt;=Parâmetros!$B$8,"Faixa 2","Faixa 3")))</f>
        <v/>
      </c>
      <c r="H299" s="12" t="str">
        <f aca="false">IF(G299="","",IF(G299="Faixa 1","Rodízio/Sorteio",IF(G299="Faixa 2","Cotação (≥3 propostas)","Chamada pública")))</f>
        <v/>
      </c>
      <c r="I299" s="11"/>
      <c r="J299" s="17" t="str">
        <f aca="false">IF(I299="","",IFERROR(INDEX(Cadastro!$B$5:$B$304,MATCH(I299,Cadastro!$A$5:$A$304,0)),"ID não encontrado"))</f>
        <v/>
      </c>
      <c r="K299" s="17" t="str">
        <f aca="false">IF(I299="","",IFERROR(INDEX(Cadastro!$E$5:$E$304,MATCH(I299,Cadastro!$A$5:$A$304,0)),""))</f>
        <v/>
      </c>
      <c r="L299" s="17" t="str">
        <f aca="false">IF(I299="","",IFERROR(INDEX(Cadastro!$F$5:$F$304,MATCH(I299,Cadastro!$A$5:$A$304,0)),""))</f>
        <v/>
      </c>
      <c r="M299" s="17" t="str">
        <f aca="false">IF(I299="","",IFERROR(INDEX(Cadastro!$I$5:$I$304,MATCH(I299,Cadastro!$A$5:$A$304,0)),""))</f>
        <v/>
      </c>
      <c r="N299" s="19"/>
      <c r="O299" s="13"/>
      <c r="P299" s="12" t="str">
        <f aca="false">IF(OR(B299="",O299=""),"",NETWORKDAYS(B299,O299)-1)</f>
        <v/>
      </c>
      <c r="Q299" s="13"/>
      <c r="R299" s="11"/>
      <c r="S299" s="13"/>
      <c r="T299" s="11"/>
      <c r="U299" s="11"/>
      <c r="V299" s="11"/>
      <c r="W299" s="11"/>
      <c r="X299" s="11"/>
    </row>
    <row r="300" customFormat="false" ht="15" hidden="false" customHeight="false" outlineLevel="0" collapsed="false">
      <c r="A300" s="11"/>
      <c r="B300" s="13"/>
      <c r="C300" s="11"/>
      <c r="D300" s="11"/>
      <c r="E300" s="11"/>
      <c r="F300" s="19"/>
      <c r="G300" s="12" t="str">
        <f aca="false">IF(F300="","",IF(F300&lt;=Parâmetros!$B$7,"Faixa 1",IF(F300&lt;=Parâmetros!$B$8,"Faixa 2","Faixa 3")))</f>
        <v/>
      </c>
      <c r="H300" s="12" t="str">
        <f aca="false">IF(G300="","",IF(G300="Faixa 1","Rodízio/Sorteio",IF(G300="Faixa 2","Cotação (≥3 propostas)","Chamada pública")))</f>
        <v/>
      </c>
      <c r="I300" s="11"/>
      <c r="J300" s="17" t="str">
        <f aca="false">IF(I300="","",IFERROR(INDEX(Cadastro!$B$5:$B$304,MATCH(I300,Cadastro!$A$5:$A$304,0)),"ID não encontrado"))</f>
        <v/>
      </c>
      <c r="K300" s="17" t="str">
        <f aca="false">IF(I300="","",IFERROR(INDEX(Cadastro!$E$5:$E$304,MATCH(I300,Cadastro!$A$5:$A$304,0)),""))</f>
        <v/>
      </c>
      <c r="L300" s="17" t="str">
        <f aca="false">IF(I300="","",IFERROR(INDEX(Cadastro!$F$5:$F$304,MATCH(I300,Cadastro!$A$5:$A$304,0)),""))</f>
        <v/>
      </c>
      <c r="M300" s="17" t="str">
        <f aca="false">IF(I300="","",IFERROR(INDEX(Cadastro!$I$5:$I$304,MATCH(I300,Cadastro!$A$5:$A$304,0)),""))</f>
        <v/>
      </c>
      <c r="N300" s="19"/>
      <c r="O300" s="13"/>
      <c r="P300" s="12" t="str">
        <f aca="false">IF(OR(B300="",O300=""),"",NETWORKDAYS(B300,O300)-1)</f>
        <v/>
      </c>
      <c r="Q300" s="13"/>
      <c r="R300" s="11"/>
      <c r="S300" s="13"/>
      <c r="T300" s="11"/>
      <c r="U300" s="11"/>
      <c r="V300" s="11"/>
      <c r="W300" s="11"/>
      <c r="X300" s="11"/>
    </row>
    <row r="301" customFormat="false" ht="15" hidden="false" customHeight="false" outlineLevel="0" collapsed="false">
      <c r="A301" s="11"/>
      <c r="B301" s="13"/>
      <c r="C301" s="11"/>
      <c r="D301" s="11"/>
      <c r="E301" s="11"/>
      <c r="F301" s="19"/>
      <c r="G301" s="12" t="str">
        <f aca="false">IF(F301="","",IF(F301&lt;=Parâmetros!$B$7,"Faixa 1",IF(F301&lt;=Parâmetros!$B$8,"Faixa 2","Faixa 3")))</f>
        <v/>
      </c>
      <c r="H301" s="12" t="str">
        <f aca="false">IF(G301="","",IF(G301="Faixa 1","Rodízio/Sorteio",IF(G301="Faixa 2","Cotação (≥3 propostas)","Chamada pública")))</f>
        <v/>
      </c>
      <c r="I301" s="11"/>
      <c r="J301" s="17" t="str">
        <f aca="false">IF(I301="","",IFERROR(INDEX(Cadastro!$B$5:$B$304,MATCH(I301,Cadastro!$A$5:$A$304,0)),"ID não encontrado"))</f>
        <v/>
      </c>
      <c r="K301" s="17" t="str">
        <f aca="false">IF(I301="","",IFERROR(INDEX(Cadastro!$E$5:$E$304,MATCH(I301,Cadastro!$A$5:$A$304,0)),""))</f>
        <v/>
      </c>
      <c r="L301" s="17" t="str">
        <f aca="false">IF(I301="","",IFERROR(INDEX(Cadastro!$F$5:$F$304,MATCH(I301,Cadastro!$A$5:$A$304,0)),""))</f>
        <v/>
      </c>
      <c r="M301" s="17" t="str">
        <f aca="false">IF(I301="","",IFERROR(INDEX(Cadastro!$I$5:$I$304,MATCH(I301,Cadastro!$A$5:$A$304,0)),""))</f>
        <v/>
      </c>
      <c r="N301" s="19"/>
      <c r="O301" s="13"/>
      <c r="P301" s="12" t="str">
        <f aca="false">IF(OR(B301="",O301=""),"",NETWORKDAYS(B301,O301)-1)</f>
        <v/>
      </c>
      <c r="Q301" s="13"/>
      <c r="R301" s="11"/>
      <c r="S301" s="13"/>
      <c r="T301" s="11"/>
      <c r="U301" s="11"/>
      <c r="V301" s="11"/>
      <c r="W301" s="11"/>
      <c r="X301" s="11"/>
    </row>
    <row r="302" customFormat="false" ht="15" hidden="false" customHeight="false" outlineLevel="0" collapsed="false">
      <c r="A302" s="11"/>
      <c r="B302" s="13"/>
      <c r="C302" s="11"/>
      <c r="D302" s="11"/>
      <c r="E302" s="11"/>
      <c r="F302" s="19"/>
      <c r="G302" s="12" t="str">
        <f aca="false">IF(F302="","",IF(F302&lt;=Parâmetros!$B$7,"Faixa 1",IF(F302&lt;=Parâmetros!$B$8,"Faixa 2","Faixa 3")))</f>
        <v/>
      </c>
      <c r="H302" s="12" t="str">
        <f aca="false">IF(G302="","",IF(G302="Faixa 1","Rodízio/Sorteio",IF(G302="Faixa 2","Cotação (≥3 propostas)","Chamada pública")))</f>
        <v/>
      </c>
      <c r="I302" s="11"/>
      <c r="J302" s="17" t="str">
        <f aca="false">IF(I302="","",IFERROR(INDEX(Cadastro!$B$5:$B$304,MATCH(I302,Cadastro!$A$5:$A$304,0)),"ID não encontrado"))</f>
        <v/>
      </c>
      <c r="K302" s="17" t="str">
        <f aca="false">IF(I302="","",IFERROR(INDEX(Cadastro!$E$5:$E$304,MATCH(I302,Cadastro!$A$5:$A$304,0)),""))</f>
        <v/>
      </c>
      <c r="L302" s="17" t="str">
        <f aca="false">IF(I302="","",IFERROR(INDEX(Cadastro!$F$5:$F$304,MATCH(I302,Cadastro!$A$5:$A$304,0)),""))</f>
        <v/>
      </c>
      <c r="M302" s="17" t="str">
        <f aca="false">IF(I302="","",IFERROR(INDEX(Cadastro!$I$5:$I$304,MATCH(I302,Cadastro!$A$5:$A$304,0)),""))</f>
        <v/>
      </c>
      <c r="N302" s="19"/>
      <c r="O302" s="13"/>
      <c r="P302" s="12" t="str">
        <f aca="false">IF(OR(B302="",O302=""),"",NETWORKDAYS(B302,O302)-1)</f>
        <v/>
      </c>
      <c r="Q302" s="13"/>
      <c r="R302" s="11"/>
      <c r="S302" s="13"/>
      <c r="T302" s="11"/>
      <c r="U302" s="11"/>
      <c r="V302" s="11"/>
      <c r="W302" s="11"/>
      <c r="X302" s="11"/>
    </row>
    <row r="303" customFormat="false" ht="15" hidden="false" customHeight="false" outlineLevel="0" collapsed="false">
      <c r="A303" s="11"/>
      <c r="B303" s="13"/>
      <c r="C303" s="11"/>
      <c r="D303" s="11"/>
      <c r="E303" s="11"/>
      <c r="F303" s="19"/>
      <c r="G303" s="12" t="str">
        <f aca="false">IF(F303="","",IF(F303&lt;=Parâmetros!$B$7,"Faixa 1",IF(F303&lt;=Parâmetros!$B$8,"Faixa 2","Faixa 3")))</f>
        <v/>
      </c>
      <c r="H303" s="12" t="str">
        <f aca="false">IF(G303="","",IF(G303="Faixa 1","Rodízio/Sorteio",IF(G303="Faixa 2","Cotação (≥3 propostas)","Chamada pública")))</f>
        <v/>
      </c>
      <c r="I303" s="11"/>
      <c r="J303" s="17" t="str">
        <f aca="false">IF(I303="","",IFERROR(INDEX(Cadastro!$B$5:$B$304,MATCH(I303,Cadastro!$A$5:$A$304,0)),"ID não encontrado"))</f>
        <v/>
      </c>
      <c r="K303" s="17" t="str">
        <f aca="false">IF(I303="","",IFERROR(INDEX(Cadastro!$E$5:$E$304,MATCH(I303,Cadastro!$A$5:$A$304,0)),""))</f>
        <v/>
      </c>
      <c r="L303" s="17" t="str">
        <f aca="false">IF(I303="","",IFERROR(INDEX(Cadastro!$F$5:$F$304,MATCH(I303,Cadastro!$A$5:$A$304,0)),""))</f>
        <v/>
      </c>
      <c r="M303" s="17" t="str">
        <f aca="false">IF(I303="","",IFERROR(INDEX(Cadastro!$I$5:$I$304,MATCH(I303,Cadastro!$A$5:$A$304,0)),""))</f>
        <v/>
      </c>
      <c r="N303" s="19"/>
      <c r="O303" s="13"/>
      <c r="P303" s="12" t="str">
        <f aca="false">IF(OR(B303="",O303=""),"",NETWORKDAYS(B303,O303)-1)</f>
        <v/>
      </c>
      <c r="Q303" s="13"/>
      <c r="R303" s="11"/>
      <c r="S303" s="13"/>
      <c r="T303" s="11"/>
      <c r="U303" s="11"/>
      <c r="V303" s="11"/>
      <c r="W303" s="11"/>
      <c r="X303" s="11"/>
    </row>
    <row r="304" customFormat="false" ht="15" hidden="false" customHeight="false" outlineLevel="0" collapsed="false">
      <c r="A304" s="11"/>
      <c r="B304" s="13"/>
      <c r="C304" s="11"/>
      <c r="D304" s="11"/>
      <c r="E304" s="11"/>
      <c r="F304" s="19"/>
      <c r="G304" s="12" t="str">
        <f aca="false">IF(F304="","",IF(F304&lt;=Parâmetros!$B$7,"Faixa 1",IF(F304&lt;=Parâmetros!$B$8,"Faixa 2","Faixa 3")))</f>
        <v/>
      </c>
      <c r="H304" s="12" t="str">
        <f aca="false">IF(G304="","",IF(G304="Faixa 1","Rodízio/Sorteio",IF(G304="Faixa 2","Cotação (≥3 propostas)","Chamada pública")))</f>
        <v/>
      </c>
      <c r="I304" s="11"/>
      <c r="J304" s="17" t="str">
        <f aca="false">IF(I304="","",IFERROR(INDEX(Cadastro!$B$5:$B$304,MATCH(I304,Cadastro!$A$5:$A$304,0)),"ID não encontrado"))</f>
        <v/>
      </c>
      <c r="K304" s="17" t="str">
        <f aca="false">IF(I304="","",IFERROR(INDEX(Cadastro!$E$5:$E$304,MATCH(I304,Cadastro!$A$5:$A$304,0)),""))</f>
        <v/>
      </c>
      <c r="L304" s="17" t="str">
        <f aca="false">IF(I304="","",IFERROR(INDEX(Cadastro!$F$5:$F$304,MATCH(I304,Cadastro!$A$5:$A$304,0)),""))</f>
        <v/>
      </c>
      <c r="M304" s="17" t="str">
        <f aca="false">IF(I304="","",IFERROR(INDEX(Cadastro!$I$5:$I$304,MATCH(I304,Cadastro!$A$5:$A$304,0)),""))</f>
        <v/>
      </c>
      <c r="N304" s="19"/>
      <c r="O304" s="13"/>
      <c r="P304" s="12" t="str">
        <f aca="false">IF(OR(B304="",O304=""),"",NETWORKDAYS(B304,O304)-1)</f>
        <v/>
      </c>
      <c r="Q304" s="13"/>
      <c r="R304" s="11"/>
      <c r="S304" s="13"/>
      <c r="T304" s="11"/>
      <c r="U304" s="11"/>
      <c r="V304" s="11"/>
      <c r="W304" s="11"/>
      <c r="X304" s="11"/>
    </row>
    <row r="305" customFormat="false" ht="15" hidden="false" customHeight="false" outlineLevel="0" collapsed="false">
      <c r="A305" s="11"/>
      <c r="B305" s="13"/>
      <c r="C305" s="11"/>
      <c r="D305" s="11"/>
      <c r="E305" s="11"/>
      <c r="F305" s="19"/>
      <c r="G305" s="12" t="str">
        <f aca="false">IF(F305="","",IF(F305&lt;=Parâmetros!$B$7,"Faixa 1",IF(F305&lt;=Parâmetros!$B$8,"Faixa 2","Faixa 3")))</f>
        <v/>
      </c>
      <c r="H305" s="12" t="str">
        <f aca="false">IF(G305="","",IF(G305="Faixa 1","Rodízio/Sorteio",IF(G305="Faixa 2","Cotação (≥3 propostas)","Chamada pública")))</f>
        <v/>
      </c>
      <c r="I305" s="11"/>
      <c r="J305" s="17" t="str">
        <f aca="false">IF(I305="","",IFERROR(INDEX(Cadastro!$B$5:$B$304,MATCH(I305,Cadastro!$A$5:$A$304,0)),"ID não encontrado"))</f>
        <v/>
      </c>
      <c r="K305" s="17" t="str">
        <f aca="false">IF(I305="","",IFERROR(INDEX(Cadastro!$E$5:$E$304,MATCH(I305,Cadastro!$A$5:$A$304,0)),""))</f>
        <v/>
      </c>
      <c r="L305" s="17" t="str">
        <f aca="false">IF(I305="","",IFERROR(INDEX(Cadastro!$F$5:$F$304,MATCH(I305,Cadastro!$A$5:$A$304,0)),""))</f>
        <v/>
      </c>
      <c r="M305" s="17" t="str">
        <f aca="false">IF(I305="","",IFERROR(INDEX(Cadastro!$I$5:$I$304,MATCH(I305,Cadastro!$A$5:$A$304,0)),""))</f>
        <v/>
      </c>
      <c r="N305" s="19"/>
      <c r="O305" s="13"/>
      <c r="P305" s="12" t="str">
        <f aca="false">IF(OR(B305="",O305=""),"",NETWORKDAYS(B305,O305)-1)</f>
        <v/>
      </c>
      <c r="Q305" s="13"/>
      <c r="R305" s="11"/>
      <c r="S305" s="13"/>
      <c r="T305" s="11"/>
      <c r="U305" s="11"/>
      <c r="V305" s="11"/>
      <c r="W305" s="11"/>
      <c r="X305" s="11"/>
    </row>
    <row r="306" customFormat="false" ht="15" hidden="false" customHeight="false" outlineLevel="0" collapsed="false">
      <c r="A306" s="11"/>
      <c r="B306" s="13"/>
      <c r="C306" s="11"/>
      <c r="D306" s="11"/>
      <c r="E306" s="11"/>
      <c r="F306" s="19"/>
      <c r="G306" s="12" t="str">
        <f aca="false">IF(F306="","",IF(F306&lt;=Parâmetros!$B$7,"Faixa 1",IF(F306&lt;=Parâmetros!$B$8,"Faixa 2","Faixa 3")))</f>
        <v/>
      </c>
      <c r="H306" s="12" t="str">
        <f aca="false">IF(G306="","",IF(G306="Faixa 1","Rodízio/Sorteio",IF(G306="Faixa 2","Cotação (≥3 propostas)","Chamada pública")))</f>
        <v/>
      </c>
      <c r="I306" s="11"/>
      <c r="J306" s="17" t="str">
        <f aca="false">IF(I306="","",IFERROR(INDEX(Cadastro!$B$5:$B$304,MATCH(I306,Cadastro!$A$5:$A$304,0)),"ID não encontrado"))</f>
        <v/>
      </c>
      <c r="K306" s="17" t="str">
        <f aca="false">IF(I306="","",IFERROR(INDEX(Cadastro!$E$5:$E$304,MATCH(I306,Cadastro!$A$5:$A$304,0)),""))</f>
        <v/>
      </c>
      <c r="L306" s="17" t="str">
        <f aca="false">IF(I306="","",IFERROR(INDEX(Cadastro!$F$5:$F$304,MATCH(I306,Cadastro!$A$5:$A$304,0)),""))</f>
        <v/>
      </c>
      <c r="M306" s="17" t="str">
        <f aca="false">IF(I306="","",IFERROR(INDEX(Cadastro!$I$5:$I$304,MATCH(I306,Cadastro!$A$5:$A$304,0)),""))</f>
        <v/>
      </c>
      <c r="N306" s="19"/>
      <c r="O306" s="13"/>
      <c r="P306" s="12" t="str">
        <f aca="false">IF(OR(B306="",O306=""),"",NETWORKDAYS(B306,O306)-1)</f>
        <v/>
      </c>
      <c r="Q306" s="13"/>
      <c r="R306" s="11"/>
      <c r="S306" s="13"/>
      <c r="T306" s="11"/>
      <c r="U306" s="11"/>
      <c r="V306" s="11"/>
      <c r="W306" s="11"/>
      <c r="X306" s="11"/>
    </row>
    <row r="307" customFormat="false" ht="15" hidden="false" customHeight="false" outlineLevel="0" collapsed="false">
      <c r="A307" s="11"/>
      <c r="B307" s="13"/>
      <c r="C307" s="11"/>
      <c r="D307" s="11"/>
      <c r="E307" s="11"/>
      <c r="F307" s="19"/>
      <c r="G307" s="12" t="str">
        <f aca="false">IF(F307="","",IF(F307&lt;=Parâmetros!$B$7,"Faixa 1",IF(F307&lt;=Parâmetros!$B$8,"Faixa 2","Faixa 3")))</f>
        <v/>
      </c>
      <c r="H307" s="12" t="str">
        <f aca="false">IF(G307="","",IF(G307="Faixa 1","Rodízio/Sorteio",IF(G307="Faixa 2","Cotação (≥3 propostas)","Chamada pública")))</f>
        <v/>
      </c>
      <c r="I307" s="11"/>
      <c r="J307" s="17" t="str">
        <f aca="false">IF(I307="","",IFERROR(INDEX(Cadastro!$B$5:$B$304,MATCH(I307,Cadastro!$A$5:$A$304,0)),"ID não encontrado"))</f>
        <v/>
      </c>
      <c r="K307" s="17" t="str">
        <f aca="false">IF(I307="","",IFERROR(INDEX(Cadastro!$E$5:$E$304,MATCH(I307,Cadastro!$A$5:$A$304,0)),""))</f>
        <v/>
      </c>
      <c r="L307" s="17" t="str">
        <f aca="false">IF(I307="","",IFERROR(INDEX(Cadastro!$F$5:$F$304,MATCH(I307,Cadastro!$A$5:$A$304,0)),""))</f>
        <v/>
      </c>
      <c r="M307" s="17" t="str">
        <f aca="false">IF(I307="","",IFERROR(INDEX(Cadastro!$I$5:$I$304,MATCH(I307,Cadastro!$A$5:$A$304,0)),""))</f>
        <v/>
      </c>
      <c r="N307" s="19"/>
      <c r="O307" s="13"/>
      <c r="P307" s="12" t="str">
        <f aca="false">IF(OR(B307="",O307=""),"",NETWORKDAYS(B307,O307)-1)</f>
        <v/>
      </c>
      <c r="Q307" s="13"/>
      <c r="R307" s="11"/>
      <c r="S307" s="13"/>
      <c r="T307" s="11"/>
      <c r="U307" s="11"/>
      <c r="V307" s="11"/>
      <c r="W307" s="11"/>
      <c r="X307" s="11"/>
    </row>
    <row r="308" customFormat="false" ht="15" hidden="false" customHeight="false" outlineLevel="0" collapsed="false">
      <c r="A308" s="11"/>
      <c r="B308" s="13"/>
      <c r="C308" s="11"/>
      <c r="D308" s="11"/>
      <c r="E308" s="11"/>
      <c r="F308" s="19"/>
      <c r="G308" s="12" t="str">
        <f aca="false">IF(F308="","",IF(F308&lt;=Parâmetros!$B$7,"Faixa 1",IF(F308&lt;=Parâmetros!$B$8,"Faixa 2","Faixa 3")))</f>
        <v/>
      </c>
      <c r="H308" s="12" t="str">
        <f aca="false">IF(G308="","",IF(G308="Faixa 1","Rodízio/Sorteio",IF(G308="Faixa 2","Cotação (≥3 propostas)","Chamada pública")))</f>
        <v/>
      </c>
      <c r="I308" s="11"/>
      <c r="J308" s="17" t="str">
        <f aca="false">IF(I308="","",IFERROR(INDEX(Cadastro!$B$5:$B$304,MATCH(I308,Cadastro!$A$5:$A$304,0)),"ID não encontrado"))</f>
        <v/>
      </c>
      <c r="K308" s="17" t="str">
        <f aca="false">IF(I308="","",IFERROR(INDEX(Cadastro!$E$5:$E$304,MATCH(I308,Cadastro!$A$5:$A$304,0)),""))</f>
        <v/>
      </c>
      <c r="L308" s="17" t="str">
        <f aca="false">IF(I308="","",IFERROR(INDEX(Cadastro!$F$5:$F$304,MATCH(I308,Cadastro!$A$5:$A$304,0)),""))</f>
        <v/>
      </c>
      <c r="M308" s="17" t="str">
        <f aca="false">IF(I308="","",IFERROR(INDEX(Cadastro!$I$5:$I$304,MATCH(I308,Cadastro!$A$5:$A$304,0)),""))</f>
        <v/>
      </c>
      <c r="N308" s="19"/>
      <c r="O308" s="13"/>
      <c r="P308" s="12" t="str">
        <f aca="false">IF(OR(B308="",O308=""),"",NETWORKDAYS(B308,O308)-1)</f>
        <v/>
      </c>
      <c r="Q308" s="13"/>
      <c r="R308" s="11"/>
      <c r="S308" s="13"/>
      <c r="T308" s="11"/>
      <c r="U308" s="11"/>
      <c r="V308" s="11"/>
      <c r="W308" s="11"/>
      <c r="X308" s="11"/>
    </row>
    <row r="309" customFormat="false" ht="15" hidden="false" customHeight="false" outlineLevel="0" collapsed="false">
      <c r="A309" s="11"/>
      <c r="B309" s="13"/>
      <c r="C309" s="11"/>
      <c r="D309" s="11"/>
      <c r="E309" s="11"/>
      <c r="F309" s="19"/>
      <c r="G309" s="12" t="str">
        <f aca="false">IF(F309="","",IF(F309&lt;=Parâmetros!$B$7,"Faixa 1",IF(F309&lt;=Parâmetros!$B$8,"Faixa 2","Faixa 3")))</f>
        <v/>
      </c>
      <c r="H309" s="12" t="str">
        <f aca="false">IF(G309="","",IF(G309="Faixa 1","Rodízio/Sorteio",IF(G309="Faixa 2","Cotação (≥3 propostas)","Chamada pública")))</f>
        <v/>
      </c>
      <c r="I309" s="11"/>
      <c r="J309" s="17" t="str">
        <f aca="false">IF(I309="","",IFERROR(INDEX(Cadastro!$B$5:$B$304,MATCH(I309,Cadastro!$A$5:$A$304,0)),"ID não encontrado"))</f>
        <v/>
      </c>
      <c r="K309" s="17" t="str">
        <f aca="false">IF(I309="","",IFERROR(INDEX(Cadastro!$E$5:$E$304,MATCH(I309,Cadastro!$A$5:$A$304,0)),""))</f>
        <v/>
      </c>
      <c r="L309" s="17" t="str">
        <f aca="false">IF(I309="","",IFERROR(INDEX(Cadastro!$F$5:$F$304,MATCH(I309,Cadastro!$A$5:$A$304,0)),""))</f>
        <v/>
      </c>
      <c r="M309" s="17" t="str">
        <f aca="false">IF(I309="","",IFERROR(INDEX(Cadastro!$I$5:$I$304,MATCH(I309,Cadastro!$A$5:$A$304,0)),""))</f>
        <v/>
      </c>
      <c r="N309" s="19"/>
      <c r="O309" s="13"/>
      <c r="P309" s="12" t="str">
        <f aca="false">IF(OR(B309="",O309=""),"",NETWORKDAYS(B309,O309)-1)</f>
        <v/>
      </c>
      <c r="Q309" s="13"/>
      <c r="R309" s="11"/>
      <c r="S309" s="13"/>
      <c r="T309" s="11"/>
      <c r="U309" s="11"/>
      <c r="V309" s="11"/>
      <c r="W309" s="11"/>
      <c r="X309" s="11"/>
    </row>
    <row r="310" customFormat="false" ht="15" hidden="false" customHeight="false" outlineLevel="0" collapsed="false">
      <c r="A310" s="11"/>
      <c r="B310" s="13"/>
      <c r="C310" s="11"/>
      <c r="D310" s="11"/>
      <c r="E310" s="11"/>
      <c r="F310" s="19"/>
      <c r="G310" s="12" t="str">
        <f aca="false">IF(F310="","",IF(F310&lt;=Parâmetros!$B$7,"Faixa 1",IF(F310&lt;=Parâmetros!$B$8,"Faixa 2","Faixa 3")))</f>
        <v/>
      </c>
      <c r="H310" s="12" t="str">
        <f aca="false">IF(G310="","",IF(G310="Faixa 1","Rodízio/Sorteio",IF(G310="Faixa 2","Cotação (≥3 propostas)","Chamada pública")))</f>
        <v/>
      </c>
      <c r="I310" s="11"/>
      <c r="J310" s="17" t="str">
        <f aca="false">IF(I310="","",IFERROR(INDEX(Cadastro!$B$5:$B$304,MATCH(I310,Cadastro!$A$5:$A$304,0)),"ID não encontrado"))</f>
        <v/>
      </c>
      <c r="K310" s="17" t="str">
        <f aca="false">IF(I310="","",IFERROR(INDEX(Cadastro!$E$5:$E$304,MATCH(I310,Cadastro!$A$5:$A$304,0)),""))</f>
        <v/>
      </c>
      <c r="L310" s="17" t="str">
        <f aca="false">IF(I310="","",IFERROR(INDEX(Cadastro!$F$5:$F$304,MATCH(I310,Cadastro!$A$5:$A$304,0)),""))</f>
        <v/>
      </c>
      <c r="M310" s="17" t="str">
        <f aca="false">IF(I310="","",IFERROR(INDEX(Cadastro!$I$5:$I$304,MATCH(I310,Cadastro!$A$5:$A$304,0)),""))</f>
        <v/>
      </c>
      <c r="N310" s="19"/>
      <c r="O310" s="13"/>
      <c r="P310" s="12" t="str">
        <f aca="false">IF(OR(B310="",O310=""),"",NETWORKDAYS(B310,O310)-1)</f>
        <v/>
      </c>
      <c r="Q310" s="13"/>
      <c r="R310" s="11"/>
      <c r="S310" s="13"/>
      <c r="T310" s="11"/>
      <c r="U310" s="11"/>
      <c r="V310" s="11"/>
      <c r="W310" s="11"/>
      <c r="X310" s="11"/>
    </row>
    <row r="311" customFormat="false" ht="15" hidden="false" customHeight="false" outlineLevel="0" collapsed="false">
      <c r="A311" s="11"/>
      <c r="B311" s="13"/>
      <c r="C311" s="11"/>
      <c r="D311" s="11"/>
      <c r="E311" s="11"/>
      <c r="F311" s="19"/>
      <c r="G311" s="12" t="str">
        <f aca="false">IF(F311="","",IF(F311&lt;=Parâmetros!$B$7,"Faixa 1",IF(F311&lt;=Parâmetros!$B$8,"Faixa 2","Faixa 3")))</f>
        <v/>
      </c>
      <c r="H311" s="12" t="str">
        <f aca="false">IF(G311="","",IF(G311="Faixa 1","Rodízio/Sorteio",IF(G311="Faixa 2","Cotação (≥3 propostas)","Chamada pública")))</f>
        <v/>
      </c>
      <c r="I311" s="11"/>
      <c r="J311" s="17" t="str">
        <f aca="false">IF(I311="","",IFERROR(INDEX(Cadastro!$B$5:$B$304,MATCH(I311,Cadastro!$A$5:$A$304,0)),"ID não encontrado"))</f>
        <v/>
      </c>
      <c r="K311" s="17" t="str">
        <f aca="false">IF(I311="","",IFERROR(INDEX(Cadastro!$E$5:$E$304,MATCH(I311,Cadastro!$A$5:$A$304,0)),""))</f>
        <v/>
      </c>
      <c r="L311" s="17" t="str">
        <f aca="false">IF(I311="","",IFERROR(INDEX(Cadastro!$F$5:$F$304,MATCH(I311,Cadastro!$A$5:$A$304,0)),""))</f>
        <v/>
      </c>
      <c r="M311" s="17" t="str">
        <f aca="false">IF(I311="","",IFERROR(INDEX(Cadastro!$I$5:$I$304,MATCH(I311,Cadastro!$A$5:$A$304,0)),""))</f>
        <v/>
      </c>
      <c r="N311" s="19"/>
      <c r="O311" s="13"/>
      <c r="P311" s="12" t="str">
        <f aca="false">IF(OR(B311="",O311=""),"",NETWORKDAYS(B311,O311)-1)</f>
        <v/>
      </c>
      <c r="Q311" s="13"/>
      <c r="R311" s="11"/>
      <c r="S311" s="13"/>
      <c r="T311" s="11"/>
      <c r="U311" s="11"/>
      <c r="V311" s="11"/>
      <c r="W311" s="11"/>
      <c r="X311" s="11"/>
    </row>
    <row r="312" customFormat="false" ht="15" hidden="false" customHeight="false" outlineLevel="0" collapsed="false">
      <c r="A312" s="11"/>
      <c r="B312" s="13"/>
      <c r="C312" s="11"/>
      <c r="D312" s="11"/>
      <c r="E312" s="11"/>
      <c r="F312" s="19"/>
      <c r="G312" s="12" t="str">
        <f aca="false">IF(F312="","",IF(F312&lt;=Parâmetros!$B$7,"Faixa 1",IF(F312&lt;=Parâmetros!$B$8,"Faixa 2","Faixa 3")))</f>
        <v/>
      </c>
      <c r="H312" s="12" t="str">
        <f aca="false">IF(G312="","",IF(G312="Faixa 1","Rodízio/Sorteio",IF(G312="Faixa 2","Cotação (≥3 propostas)","Chamada pública")))</f>
        <v/>
      </c>
      <c r="I312" s="11"/>
      <c r="J312" s="17" t="str">
        <f aca="false">IF(I312="","",IFERROR(INDEX(Cadastro!$B$5:$B$304,MATCH(I312,Cadastro!$A$5:$A$304,0)),"ID não encontrado"))</f>
        <v/>
      </c>
      <c r="K312" s="17" t="str">
        <f aca="false">IF(I312="","",IFERROR(INDEX(Cadastro!$E$5:$E$304,MATCH(I312,Cadastro!$A$5:$A$304,0)),""))</f>
        <v/>
      </c>
      <c r="L312" s="17" t="str">
        <f aca="false">IF(I312="","",IFERROR(INDEX(Cadastro!$F$5:$F$304,MATCH(I312,Cadastro!$A$5:$A$304,0)),""))</f>
        <v/>
      </c>
      <c r="M312" s="17" t="str">
        <f aca="false">IF(I312="","",IFERROR(INDEX(Cadastro!$I$5:$I$304,MATCH(I312,Cadastro!$A$5:$A$304,0)),""))</f>
        <v/>
      </c>
      <c r="N312" s="19"/>
      <c r="O312" s="13"/>
      <c r="P312" s="12" t="str">
        <f aca="false">IF(OR(B312="",O312=""),"",NETWORKDAYS(B312,O312)-1)</f>
        <v/>
      </c>
      <c r="Q312" s="13"/>
      <c r="R312" s="11"/>
      <c r="S312" s="13"/>
      <c r="T312" s="11"/>
      <c r="U312" s="11"/>
      <c r="V312" s="11"/>
      <c r="W312" s="11"/>
      <c r="X312" s="11"/>
    </row>
    <row r="313" customFormat="false" ht="15" hidden="false" customHeight="false" outlineLevel="0" collapsed="false">
      <c r="A313" s="11"/>
      <c r="B313" s="13"/>
      <c r="C313" s="11"/>
      <c r="D313" s="11"/>
      <c r="E313" s="11"/>
      <c r="F313" s="19"/>
      <c r="G313" s="12" t="str">
        <f aca="false">IF(F313="","",IF(F313&lt;=Parâmetros!$B$7,"Faixa 1",IF(F313&lt;=Parâmetros!$B$8,"Faixa 2","Faixa 3")))</f>
        <v/>
      </c>
      <c r="H313" s="12" t="str">
        <f aca="false">IF(G313="","",IF(G313="Faixa 1","Rodízio/Sorteio",IF(G313="Faixa 2","Cotação (≥3 propostas)","Chamada pública")))</f>
        <v/>
      </c>
      <c r="I313" s="11"/>
      <c r="J313" s="17" t="str">
        <f aca="false">IF(I313="","",IFERROR(INDEX(Cadastro!$B$5:$B$304,MATCH(I313,Cadastro!$A$5:$A$304,0)),"ID não encontrado"))</f>
        <v/>
      </c>
      <c r="K313" s="17" t="str">
        <f aca="false">IF(I313="","",IFERROR(INDEX(Cadastro!$E$5:$E$304,MATCH(I313,Cadastro!$A$5:$A$304,0)),""))</f>
        <v/>
      </c>
      <c r="L313" s="17" t="str">
        <f aca="false">IF(I313="","",IFERROR(INDEX(Cadastro!$F$5:$F$304,MATCH(I313,Cadastro!$A$5:$A$304,0)),""))</f>
        <v/>
      </c>
      <c r="M313" s="17" t="str">
        <f aca="false">IF(I313="","",IFERROR(INDEX(Cadastro!$I$5:$I$304,MATCH(I313,Cadastro!$A$5:$A$304,0)),""))</f>
        <v/>
      </c>
      <c r="N313" s="19"/>
      <c r="O313" s="13"/>
      <c r="P313" s="12" t="str">
        <f aca="false">IF(OR(B313="",O313=""),"",NETWORKDAYS(B313,O313)-1)</f>
        <v/>
      </c>
      <c r="Q313" s="13"/>
      <c r="R313" s="11"/>
      <c r="S313" s="13"/>
      <c r="T313" s="11"/>
      <c r="U313" s="11"/>
      <c r="V313" s="11"/>
      <c r="W313" s="11"/>
      <c r="X313" s="11"/>
    </row>
    <row r="314" customFormat="false" ht="15" hidden="false" customHeight="false" outlineLevel="0" collapsed="false">
      <c r="A314" s="11"/>
      <c r="B314" s="13"/>
      <c r="C314" s="11"/>
      <c r="D314" s="11"/>
      <c r="E314" s="11"/>
      <c r="F314" s="19"/>
      <c r="G314" s="12" t="str">
        <f aca="false">IF(F314="","",IF(F314&lt;=Parâmetros!$B$7,"Faixa 1",IF(F314&lt;=Parâmetros!$B$8,"Faixa 2","Faixa 3")))</f>
        <v/>
      </c>
      <c r="H314" s="12" t="str">
        <f aca="false">IF(G314="","",IF(G314="Faixa 1","Rodízio/Sorteio",IF(G314="Faixa 2","Cotação (≥3 propostas)","Chamada pública")))</f>
        <v/>
      </c>
      <c r="I314" s="11"/>
      <c r="J314" s="17" t="str">
        <f aca="false">IF(I314="","",IFERROR(INDEX(Cadastro!$B$5:$B$304,MATCH(I314,Cadastro!$A$5:$A$304,0)),"ID não encontrado"))</f>
        <v/>
      </c>
      <c r="K314" s="17" t="str">
        <f aca="false">IF(I314="","",IFERROR(INDEX(Cadastro!$E$5:$E$304,MATCH(I314,Cadastro!$A$5:$A$304,0)),""))</f>
        <v/>
      </c>
      <c r="L314" s="17" t="str">
        <f aca="false">IF(I314="","",IFERROR(INDEX(Cadastro!$F$5:$F$304,MATCH(I314,Cadastro!$A$5:$A$304,0)),""))</f>
        <v/>
      </c>
      <c r="M314" s="17" t="str">
        <f aca="false">IF(I314="","",IFERROR(INDEX(Cadastro!$I$5:$I$304,MATCH(I314,Cadastro!$A$5:$A$304,0)),""))</f>
        <v/>
      </c>
      <c r="N314" s="19"/>
      <c r="O314" s="13"/>
      <c r="P314" s="12" t="str">
        <f aca="false">IF(OR(B314="",O314=""),"",NETWORKDAYS(B314,O314)-1)</f>
        <v/>
      </c>
      <c r="Q314" s="13"/>
      <c r="R314" s="11"/>
      <c r="S314" s="13"/>
      <c r="T314" s="11"/>
      <c r="U314" s="11"/>
      <c r="V314" s="11"/>
      <c r="W314" s="11"/>
      <c r="X314" s="11"/>
    </row>
    <row r="315" customFormat="false" ht="15" hidden="false" customHeight="false" outlineLevel="0" collapsed="false">
      <c r="A315" s="11"/>
      <c r="B315" s="13"/>
      <c r="C315" s="11"/>
      <c r="D315" s="11"/>
      <c r="E315" s="11"/>
      <c r="F315" s="19"/>
      <c r="G315" s="12" t="str">
        <f aca="false">IF(F315="","",IF(F315&lt;=Parâmetros!$B$7,"Faixa 1",IF(F315&lt;=Parâmetros!$B$8,"Faixa 2","Faixa 3")))</f>
        <v/>
      </c>
      <c r="H315" s="12" t="str">
        <f aca="false">IF(G315="","",IF(G315="Faixa 1","Rodízio/Sorteio",IF(G315="Faixa 2","Cotação (≥3 propostas)","Chamada pública")))</f>
        <v/>
      </c>
      <c r="I315" s="11"/>
      <c r="J315" s="17" t="str">
        <f aca="false">IF(I315="","",IFERROR(INDEX(Cadastro!$B$5:$B$304,MATCH(I315,Cadastro!$A$5:$A$304,0)),"ID não encontrado"))</f>
        <v/>
      </c>
      <c r="K315" s="17" t="str">
        <f aca="false">IF(I315="","",IFERROR(INDEX(Cadastro!$E$5:$E$304,MATCH(I315,Cadastro!$A$5:$A$304,0)),""))</f>
        <v/>
      </c>
      <c r="L315" s="17" t="str">
        <f aca="false">IF(I315="","",IFERROR(INDEX(Cadastro!$F$5:$F$304,MATCH(I315,Cadastro!$A$5:$A$304,0)),""))</f>
        <v/>
      </c>
      <c r="M315" s="17" t="str">
        <f aca="false">IF(I315="","",IFERROR(INDEX(Cadastro!$I$5:$I$304,MATCH(I315,Cadastro!$A$5:$A$304,0)),""))</f>
        <v/>
      </c>
      <c r="N315" s="19"/>
      <c r="O315" s="13"/>
      <c r="P315" s="12" t="str">
        <f aca="false">IF(OR(B315="",O315=""),"",NETWORKDAYS(B315,O315)-1)</f>
        <v/>
      </c>
      <c r="Q315" s="13"/>
      <c r="R315" s="11"/>
      <c r="S315" s="13"/>
      <c r="T315" s="11"/>
      <c r="U315" s="11"/>
      <c r="V315" s="11"/>
      <c r="W315" s="11"/>
      <c r="X315" s="11"/>
    </row>
    <row r="316" customFormat="false" ht="15" hidden="false" customHeight="false" outlineLevel="0" collapsed="false">
      <c r="A316" s="11"/>
      <c r="B316" s="13"/>
      <c r="C316" s="11"/>
      <c r="D316" s="11"/>
      <c r="E316" s="11"/>
      <c r="F316" s="19"/>
      <c r="G316" s="12" t="str">
        <f aca="false">IF(F316="","",IF(F316&lt;=Parâmetros!$B$7,"Faixa 1",IF(F316&lt;=Parâmetros!$B$8,"Faixa 2","Faixa 3")))</f>
        <v/>
      </c>
      <c r="H316" s="12" t="str">
        <f aca="false">IF(G316="","",IF(G316="Faixa 1","Rodízio/Sorteio",IF(G316="Faixa 2","Cotação (≥3 propostas)","Chamada pública")))</f>
        <v/>
      </c>
      <c r="I316" s="11"/>
      <c r="J316" s="17" t="str">
        <f aca="false">IF(I316="","",IFERROR(INDEX(Cadastro!$B$5:$B$304,MATCH(I316,Cadastro!$A$5:$A$304,0)),"ID não encontrado"))</f>
        <v/>
      </c>
      <c r="K316" s="17" t="str">
        <f aca="false">IF(I316="","",IFERROR(INDEX(Cadastro!$E$5:$E$304,MATCH(I316,Cadastro!$A$5:$A$304,0)),""))</f>
        <v/>
      </c>
      <c r="L316" s="17" t="str">
        <f aca="false">IF(I316="","",IFERROR(INDEX(Cadastro!$F$5:$F$304,MATCH(I316,Cadastro!$A$5:$A$304,0)),""))</f>
        <v/>
      </c>
      <c r="M316" s="17" t="str">
        <f aca="false">IF(I316="","",IFERROR(INDEX(Cadastro!$I$5:$I$304,MATCH(I316,Cadastro!$A$5:$A$304,0)),""))</f>
        <v/>
      </c>
      <c r="N316" s="19"/>
      <c r="O316" s="13"/>
      <c r="P316" s="12" t="str">
        <f aca="false">IF(OR(B316="",O316=""),"",NETWORKDAYS(B316,O316)-1)</f>
        <v/>
      </c>
      <c r="Q316" s="13"/>
      <c r="R316" s="11"/>
      <c r="S316" s="13"/>
      <c r="T316" s="11"/>
      <c r="U316" s="11"/>
      <c r="V316" s="11"/>
      <c r="W316" s="11"/>
      <c r="X316" s="11"/>
    </row>
    <row r="317" customFormat="false" ht="15" hidden="false" customHeight="false" outlineLevel="0" collapsed="false">
      <c r="A317" s="11"/>
      <c r="B317" s="13"/>
      <c r="C317" s="11"/>
      <c r="D317" s="11"/>
      <c r="E317" s="11"/>
      <c r="F317" s="19"/>
      <c r="G317" s="12" t="str">
        <f aca="false">IF(F317="","",IF(F317&lt;=Parâmetros!$B$7,"Faixa 1",IF(F317&lt;=Parâmetros!$B$8,"Faixa 2","Faixa 3")))</f>
        <v/>
      </c>
      <c r="H317" s="12" t="str">
        <f aca="false">IF(G317="","",IF(G317="Faixa 1","Rodízio/Sorteio",IF(G317="Faixa 2","Cotação (≥3 propostas)","Chamada pública")))</f>
        <v/>
      </c>
      <c r="I317" s="11"/>
      <c r="J317" s="17" t="str">
        <f aca="false">IF(I317="","",IFERROR(INDEX(Cadastro!$B$5:$B$304,MATCH(I317,Cadastro!$A$5:$A$304,0)),"ID não encontrado"))</f>
        <v/>
      </c>
      <c r="K317" s="17" t="str">
        <f aca="false">IF(I317="","",IFERROR(INDEX(Cadastro!$E$5:$E$304,MATCH(I317,Cadastro!$A$5:$A$304,0)),""))</f>
        <v/>
      </c>
      <c r="L317" s="17" t="str">
        <f aca="false">IF(I317="","",IFERROR(INDEX(Cadastro!$F$5:$F$304,MATCH(I317,Cadastro!$A$5:$A$304,0)),""))</f>
        <v/>
      </c>
      <c r="M317" s="17" t="str">
        <f aca="false">IF(I317="","",IFERROR(INDEX(Cadastro!$I$5:$I$304,MATCH(I317,Cadastro!$A$5:$A$304,0)),""))</f>
        <v/>
      </c>
      <c r="N317" s="19"/>
      <c r="O317" s="13"/>
      <c r="P317" s="12" t="str">
        <f aca="false">IF(OR(B317="",O317=""),"",NETWORKDAYS(B317,O317)-1)</f>
        <v/>
      </c>
      <c r="Q317" s="13"/>
      <c r="R317" s="11"/>
      <c r="S317" s="13"/>
      <c r="T317" s="11"/>
      <c r="U317" s="11"/>
      <c r="V317" s="11"/>
      <c r="W317" s="11"/>
      <c r="X317" s="11"/>
    </row>
    <row r="318" customFormat="false" ht="15" hidden="false" customHeight="false" outlineLevel="0" collapsed="false">
      <c r="A318" s="11"/>
      <c r="B318" s="13"/>
      <c r="C318" s="11"/>
      <c r="D318" s="11"/>
      <c r="E318" s="11"/>
      <c r="F318" s="19"/>
      <c r="G318" s="12" t="str">
        <f aca="false">IF(F318="","",IF(F318&lt;=Parâmetros!$B$7,"Faixa 1",IF(F318&lt;=Parâmetros!$B$8,"Faixa 2","Faixa 3")))</f>
        <v/>
      </c>
      <c r="H318" s="12" t="str">
        <f aca="false">IF(G318="","",IF(G318="Faixa 1","Rodízio/Sorteio",IF(G318="Faixa 2","Cotação (≥3 propostas)","Chamada pública")))</f>
        <v/>
      </c>
      <c r="I318" s="11"/>
      <c r="J318" s="17" t="str">
        <f aca="false">IF(I318="","",IFERROR(INDEX(Cadastro!$B$5:$B$304,MATCH(I318,Cadastro!$A$5:$A$304,0)),"ID não encontrado"))</f>
        <v/>
      </c>
      <c r="K318" s="17" t="str">
        <f aca="false">IF(I318="","",IFERROR(INDEX(Cadastro!$E$5:$E$304,MATCH(I318,Cadastro!$A$5:$A$304,0)),""))</f>
        <v/>
      </c>
      <c r="L318" s="17" t="str">
        <f aca="false">IF(I318="","",IFERROR(INDEX(Cadastro!$F$5:$F$304,MATCH(I318,Cadastro!$A$5:$A$304,0)),""))</f>
        <v/>
      </c>
      <c r="M318" s="17" t="str">
        <f aca="false">IF(I318="","",IFERROR(INDEX(Cadastro!$I$5:$I$304,MATCH(I318,Cadastro!$A$5:$A$304,0)),""))</f>
        <v/>
      </c>
      <c r="N318" s="19"/>
      <c r="O318" s="13"/>
      <c r="P318" s="12" t="str">
        <f aca="false">IF(OR(B318="",O318=""),"",NETWORKDAYS(B318,O318)-1)</f>
        <v/>
      </c>
      <c r="Q318" s="13"/>
      <c r="R318" s="11"/>
      <c r="S318" s="13"/>
      <c r="T318" s="11"/>
      <c r="U318" s="11"/>
      <c r="V318" s="11"/>
      <c r="W318" s="11"/>
      <c r="X318" s="11"/>
    </row>
    <row r="319" customFormat="false" ht="15" hidden="false" customHeight="false" outlineLevel="0" collapsed="false">
      <c r="A319" s="11"/>
      <c r="B319" s="13"/>
      <c r="C319" s="11"/>
      <c r="D319" s="11"/>
      <c r="E319" s="11"/>
      <c r="F319" s="19"/>
      <c r="G319" s="12" t="str">
        <f aca="false">IF(F319="","",IF(F319&lt;=Parâmetros!$B$7,"Faixa 1",IF(F319&lt;=Parâmetros!$B$8,"Faixa 2","Faixa 3")))</f>
        <v/>
      </c>
      <c r="H319" s="12" t="str">
        <f aca="false">IF(G319="","",IF(G319="Faixa 1","Rodízio/Sorteio",IF(G319="Faixa 2","Cotação (≥3 propostas)","Chamada pública")))</f>
        <v/>
      </c>
      <c r="I319" s="11"/>
      <c r="J319" s="17" t="str">
        <f aca="false">IF(I319="","",IFERROR(INDEX(Cadastro!$B$5:$B$304,MATCH(I319,Cadastro!$A$5:$A$304,0)),"ID não encontrado"))</f>
        <v/>
      </c>
      <c r="K319" s="17" t="str">
        <f aca="false">IF(I319="","",IFERROR(INDEX(Cadastro!$E$5:$E$304,MATCH(I319,Cadastro!$A$5:$A$304,0)),""))</f>
        <v/>
      </c>
      <c r="L319" s="17" t="str">
        <f aca="false">IF(I319="","",IFERROR(INDEX(Cadastro!$F$5:$F$304,MATCH(I319,Cadastro!$A$5:$A$304,0)),""))</f>
        <v/>
      </c>
      <c r="M319" s="17" t="str">
        <f aca="false">IF(I319="","",IFERROR(INDEX(Cadastro!$I$5:$I$304,MATCH(I319,Cadastro!$A$5:$A$304,0)),""))</f>
        <v/>
      </c>
      <c r="N319" s="19"/>
      <c r="O319" s="13"/>
      <c r="P319" s="12" t="str">
        <f aca="false">IF(OR(B319="",O319=""),"",NETWORKDAYS(B319,O319)-1)</f>
        <v/>
      </c>
      <c r="Q319" s="13"/>
      <c r="R319" s="11"/>
      <c r="S319" s="13"/>
      <c r="T319" s="11"/>
      <c r="U319" s="11"/>
      <c r="V319" s="11"/>
      <c r="W319" s="11"/>
      <c r="X319" s="11"/>
    </row>
    <row r="320" customFormat="false" ht="15" hidden="false" customHeight="false" outlineLevel="0" collapsed="false">
      <c r="A320" s="11"/>
      <c r="B320" s="13"/>
      <c r="C320" s="11"/>
      <c r="D320" s="11"/>
      <c r="E320" s="11"/>
      <c r="F320" s="19"/>
      <c r="G320" s="12" t="str">
        <f aca="false">IF(F320="","",IF(F320&lt;=Parâmetros!$B$7,"Faixa 1",IF(F320&lt;=Parâmetros!$B$8,"Faixa 2","Faixa 3")))</f>
        <v/>
      </c>
      <c r="H320" s="12" t="str">
        <f aca="false">IF(G320="","",IF(G320="Faixa 1","Rodízio/Sorteio",IF(G320="Faixa 2","Cotação (≥3 propostas)","Chamada pública")))</f>
        <v/>
      </c>
      <c r="I320" s="11"/>
      <c r="J320" s="17" t="str">
        <f aca="false">IF(I320="","",IFERROR(INDEX(Cadastro!$B$5:$B$304,MATCH(I320,Cadastro!$A$5:$A$304,0)),"ID não encontrado"))</f>
        <v/>
      </c>
      <c r="K320" s="17" t="str">
        <f aca="false">IF(I320="","",IFERROR(INDEX(Cadastro!$E$5:$E$304,MATCH(I320,Cadastro!$A$5:$A$304,0)),""))</f>
        <v/>
      </c>
      <c r="L320" s="17" t="str">
        <f aca="false">IF(I320="","",IFERROR(INDEX(Cadastro!$F$5:$F$304,MATCH(I320,Cadastro!$A$5:$A$304,0)),""))</f>
        <v/>
      </c>
      <c r="M320" s="17" t="str">
        <f aca="false">IF(I320="","",IFERROR(INDEX(Cadastro!$I$5:$I$304,MATCH(I320,Cadastro!$A$5:$A$304,0)),""))</f>
        <v/>
      </c>
      <c r="N320" s="19"/>
      <c r="O320" s="13"/>
      <c r="P320" s="12" t="str">
        <f aca="false">IF(OR(B320="",O320=""),"",NETWORKDAYS(B320,O320)-1)</f>
        <v/>
      </c>
      <c r="Q320" s="13"/>
      <c r="R320" s="11"/>
      <c r="S320" s="13"/>
      <c r="T320" s="11"/>
      <c r="U320" s="11"/>
      <c r="V320" s="11"/>
      <c r="W320" s="11"/>
      <c r="X320" s="11"/>
    </row>
    <row r="321" customFormat="false" ht="15" hidden="false" customHeight="false" outlineLevel="0" collapsed="false">
      <c r="A321" s="11"/>
      <c r="B321" s="13"/>
      <c r="C321" s="11"/>
      <c r="D321" s="11"/>
      <c r="E321" s="11"/>
      <c r="F321" s="19"/>
      <c r="G321" s="12" t="str">
        <f aca="false">IF(F321="","",IF(F321&lt;=Parâmetros!$B$7,"Faixa 1",IF(F321&lt;=Parâmetros!$B$8,"Faixa 2","Faixa 3")))</f>
        <v/>
      </c>
      <c r="H321" s="12" t="str">
        <f aca="false">IF(G321="","",IF(G321="Faixa 1","Rodízio/Sorteio",IF(G321="Faixa 2","Cotação (≥3 propostas)","Chamada pública")))</f>
        <v/>
      </c>
      <c r="I321" s="11"/>
      <c r="J321" s="17" t="str">
        <f aca="false">IF(I321="","",IFERROR(INDEX(Cadastro!$B$5:$B$304,MATCH(I321,Cadastro!$A$5:$A$304,0)),"ID não encontrado"))</f>
        <v/>
      </c>
      <c r="K321" s="17" t="str">
        <f aca="false">IF(I321="","",IFERROR(INDEX(Cadastro!$E$5:$E$304,MATCH(I321,Cadastro!$A$5:$A$304,0)),""))</f>
        <v/>
      </c>
      <c r="L321" s="17" t="str">
        <f aca="false">IF(I321="","",IFERROR(INDEX(Cadastro!$F$5:$F$304,MATCH(I321,Cadastro!$A$5:$A$304,0)),""))</f>
        <v/>
      </c>
      <c r="M321" s="17" t="str">
        <f aca="false">IF(I321="","",IFERROR(INDEX(Cadastro!$I$5:$I$304,MATCH(I321,Cadastro!$A$5:$A$304,0)),""))</f>
        <v/>
      </c>
      <c r="N321" s="19"/>
      <c r="O321" s="13"/>
      <c r="P321" s="12" t="str">
        <f aca="false">IF(OR(B321="",O321=""),"",NETWORKDAYS(B321,O321)-1)</f>
        <v/>
      </c>
      <c r="Q321" s="13"/>
      <c r="R321" s="11"/>
      <c r="S321" s="13"/>
      <c r="T321" s="11"/>
      <c r="U321" s="11"/>
      <c r="V321" s="11"/>
      <c r="W321" s="11"/>
      <c r="X321" s="11"/>
    </row>
    <row r="322" customFormat="false" ht="15" hidden="false" customHeight="false" outlineLevel="0" collapsed="false">
      <c r="A322" s="11"/>
      <c r="B322" s="13"/>
      <c r="C322" s="11"/>
      <c r="D322" s="11"/>
      <c r="E322" s="11"/>
      <c r="F322" s="19"/>
      <c r="G322" s="12" t="str">
        <f aca="false">IF(F322="","",IF(F322&lt;=Parâmetros!$B$7,"Faixa 1",IF(F322&lt;=Parâmetros!$B$8,"Faixa 2","Faixa 3")))</f>
        <v/>
      </c>
      <c r="H322" s="12" t="str">
        <f aca="false">IF(G322="","",IF(G322="Faixa 1","Rodízio/Sorteio",IF(G322="Faixa 2","Cotação (≥3 propostas)","Chamada pública")))</f>
        <v/>
      </c>
      <c r="I322" s="11"/>
      <c r="J322" s="17" t="str">
        <f aca="false">IF(I322="","",IFERROR(INDEX(Cadastro!$B$5:$B$304,MATCH(I322,Cadastro!$A$5:$A$304,0)),"ID não encontrado"))</f>
        <v/>
      </c>
      <c r="K322" s="17" t="str">
        <f aca="false">IF(I322="","",IFERROR(INDEX(Cadastro!$E$5:$E$304,MATCH(I322,Cadastro!$A$5:$A$304,0)),""))</f>
        <v/>
      </c>
      <c r="L322" s="17" t="str">
        <f aca="false">IF(I322="","",IFERROR(INDEX(Cadastro!$F$5:$F$304,MATCH(I322,Cadastro!$A$5:$A$304,0)),""))</f>
        <v/>
      </c>
      <c r="M322" s="17" t="str">
        <f aca="false">IF(I322="","",IFERROR(INDEX(Cadastro!$I$5:$I$304,MATCH(I322,Cadastro!$A$5:$A$304,0)),""))</f>
        <v/>
      </c>
      <c r="N322" s="19"/>
      <c r="O322" s="13"/>
      <c r="P322" s="12" t="str">
        <f aca="false">IF(OR(B322="",O322=""),"",NETWORKDAYS(B322,O322)-1)</f>
        <v/>
      </c>
      <c r="Q322" s="13"/>
      <c r="R322" s="11"/>
      <c r="S322" s="13"/>
      <c r="T322" s="11"/>
      <c r="U322" s="11"/>
      <c r="V322" s="11"/>
      <c r="W322" s="11"/>
      <c r="X322" s="11"/>
    </row>
    <row r="323" customFormat="false" ht="15" hidden="false" customHeight="false" outlineLevel="0" collapsed="false">
      <c r="A323" s="11"/>
      <c r="B323" s="13"/>
      <c r="C323" s="11"/>
      <c r="D323" s="11"/>
      <c r="E323" s="11"/>
      <c r="F323" s="19"/>
      <c r="G323" s="12" t="str">
        <f aca="false">IF(F323="","",IF(F323&lt;=Parâmetros!$B$7,"Faixa 1",IF(F323&lt;=Parâmetros!$B$8,"Faixa 2","Faixa 3")))</f>
        <v/>
      </c>
      <c r="H323" s="12" t="str">
        <f aca="false">IF(G323="","",IF(G323="Faixa 1","Rodízio/Sorteio",IF(G323="Faixa 2","Cotação (≥3 propostas)","Chamada pública")))</f>
        <v/>
      </c>
      <c r="I323" s="11"/>
      <c r="J323" s="17" t="str">
        <f aca="false">IF(I323="","",IFERROR(INDEX(Cadastro!$B$5:$B$304,MATCH(I323,Cadastro!$A$5:$A$304,0)),"ID não encontrado"))</f>
        <v/>
      </c>
      <c r="K323" s="17" t="str">
        <f aca="false">IF(I323="","",IFERROR(INDEX(Cadastro!$E$5:$E$304,MATCH(I323,Cadastro!$A$5:$A$304,0)),""))</f>
        <v/>
      </c>
      <c r="L323" s="17" t="str">
        <f aca="false">IF(I323="","",IFERROR(INDEX(Cadastro!$F$5:$F$304,MATCH(I323,Cadastro!$A$5:$A$304,0)),""))</f>
        <v/>
      </c>
      <c r="M323" s="17" t="str">
        <f aca="false">IF(I323="","",IFERROR(INDEX(Cadastro!$I$5:$I$304,MATCH(I323,Cadastro!$A$5:$A$304,0)),""))</f>
        <v/>
      </c>
      <c r="N323" s="19"/>
      <c r="O323" s="13"/>
      <c r="P323" s="12" t="str">
        <f aca="false">IF(OR(B323="",O323=""),"",NETWORKDAYS(B323,O323)-1)</f>
        <v/>
      </c>
      <c r="Q323" s="13"/>
      <c r="R323" s="11"/>
      <c r="S323" s="13"/>
      <c r="T323" s="11"/>
      <c r="U323" s="11"/>
      <c r="V323" s="11"/>
      <c r="W323" s="11"/>
      <c r="X323" s="11"/>
    </row>
    <row r="324" customFormat="false" ht="15" hidden="false" customHeight="false" outlineLevel="0" collapsed="false">
      <c r="A324" s="11"/>
      <c r="B324" s="13"/>
      <c r="C324" s="11"/>
      <c r="D324" s="11"/>
      <c r="E324" s="11"/>
      <c r="F324" s="19"/>
      <c r="G324" s="12" t="str">
        <f aca="false">IF(F324="","",IF(F324&lt;=Parâmetros!$B$7,"Faixa 1",IF(F324&lt;=Parâmetros!$B$8,"Faixa 2","Faixa 3")))</f>
        <v/>
      </c>
      <c r="H324" s="12" t="str">
        <f aca="false">IF(G324="","",IF(G324="Faixa 1","Rodízio/Sorteio",IF(G324="Faixa 2","Cotação (≥3 propostas)","Chamada pública")))</f>
        <v/>
      </c>
      <c r="I324" s="11"/>
      <c r="J324" s="17" t="str">
        <f aca="false">IF(I324="","",IFERROR(INDEX(Cadastro!$B$5:$B$304,MATCH(I324,Cadastro!$A$5:$A$304,0)),"ID não encontrado"))</f>
        <v/>
      </c>
      <c r="K324" s="17" t="str">
        <f aca="false">IF(I324="","",IFERROR(INDEX(Cadastro!$E$5:$E$304,MATCH(I324,Cadastro!$A$5:$A$304,0)),""))</f>
        <v/>
      </c>
      <c r="L324" s="17" t="str">
        <f aca="false">IF(I324="","",IFERROR(INDEX(Cadastro!$F$5:$F$304,MATCH(I324,Cadastro!$A$5:$A$304,0)),""))</f>
        <v/>
      </c>
      <c r="M324" s="17" t="str">
        <f aca="false">IF(I324="","",IFERROR(INDEX(Cadastro!$I$5:$I$304,MATCH(I324,Cadastro!$A$5:$A$304,0)),""))</f>
        <v/>
      </c>
      <c r="N324" s="19"/>
      <c r="O324" s="13"/>
      <c r="P324" s="12" t="str">
        <f aca="false">IF(OR(B324="",O324=""),"",NETWORKDAYS(B324,O324)-1)</f>
        <v/>
      </c>
      <c r="Q324" s="13"/>
      <c r="R324" s="11"/>
      <c r="S324" s="13"/>
      <c r="T324" s="11"/>
      <c r="U324" s="11"/>
      <c r="V324" s="11"/>
      <c r="W324" s="11"/>
      <c r="X324" s="11"/>
    </row>
    <row r="325" customFormat="false" ht="15" hidden="false" customHeight="false" outlineLevel="0" collapsed="false">
      <c r="A325" s="11"/>
      <c r="B325" s="13"/>
      <c r="C325" s="11"/>
      <c r="D325" s="11"/>
      <c r="E325" s="11"/>
      <c r="F325" s="19"/>
      <c r="G325" s="12" t="str">
        <f aca="false">IF(F325="","",IF(F325&lt;=Parâmetros!$B$7,"Faixa 1",IF(F325&lt;=Parâmetros!$B$8,"Faixa 2","Faixa 3")))</f>
        <v/>
      </c>
      <c r="H325" s="12" t="str">
        <f aca="false">IF(G325="","",IF(G325="Faixa 1","Rodízio/Sorteio",IF(G325="Faixa 2","Cotação (≥3 propostas)","Chamada pública")))</f>
        <v/>
      </c>
      <c r="I325" s="11"/>
      <c r="J325" s="17" t="str">
        <f aca="false">IF(I325="","",IFERROR(INDEX(Cadastro!$B$5:$B$304,MATCH(I325,Cadastro!$A$5:$A$304,0)),"ID não encontrado"))</f>
        <v/>
      </c>
      <c r="K325" s="17" t="str">
        <f aca="false">IF(I325="","",IFERROR(INDEX(Cadastro!$E$5:$E$304,MATCH(I325,Cadastro!$A$5:$A$304,0)),""))</f>
        <v/>
      </c>
      <c r="L325" s="17" t="str">
        <f aca="false">IF(I325="","",IFERROR(INDEX(Cadastro!$F$5:$F$304,MATCH(I325,Cadastro!$A$5:$A$304,0)),""))</f>
        <v/>
      </c>
      <c r="M325" s="17" t="str">
        <f aca="false">IF(I325="","",IFERROR(INDEX(Cadastro!$I$5:$I$304,MATCH(I325,Cadastro!$A$5:$A$304,0)),""))</f>
        <v/>
      </c>
      <c r="N325" s="19"/>
      <c r="O325" s="13"/>
      <c r="P325" s="12" t="str">
        <f aca="false">IF(OR(B325="",O325=""),"",NETWORKDAYS(B325,O325)-1)</f>
        <v/>
      </c>
      <c r="Q325" s="13"/>
      <c r="R325" s="11"/>
      <c r="S325" s="13"/>
      <c r="T325" s="11"/>
      <c r="U325" s="11"/>
      <c r="V325" s="11"/>
      <c r="W325" s="11"/>
      <c r="X325" s="11"/>
    </row>
    <row r="326" customFormat="false" ht="15" hidden="false" customHeight="false" outlineLevel="0" collapsed="false">
      <c r="A326" s="11"/>
      <c r="B326" s="13"/>
      <c r="C326" s="11"/>
      <c r="D326" s="11"/>
      <c r="E326" s="11"/>
      <c r="F326" s="19"/>
      <c r="G326" s="12" t="str">
        <f aca="false">IF(F326="","",IF(F326&lt;=Parâmetros!$B$7,"Faixa 1",IF(F326&lt;=Parâmetros!$B$8,"Faixa 2","Faixa 3")))</f>
        <v/>
      </c>
      <c r="H326" s="12" t="str">
        <f aca="false">IF(G326="","",IF(G326="Faixa 1","Rodízio/Sorteio",IF(G326="Faixa 2","Cotação (≥3 propostas)","Chamada pública")))</f>
        <v/>
      </c>
      <c r="I326" s="11"/>
      <c r="J326" s="17" t="str">
        <f aca="false">IF(I326="","",IFERROR(INDEX(Cadastro!$B$5:$B$304,MATCH(I326,Cadastro!$A$5:$A$304,0)),"ID não encontrado"))</f>
        <v/>
      </c>
      <c r="K326" s="17" t="str">
        <f aca="false">IF(I326="","",IFERROR(INDEX(Cadastro!$E$5:$E$304,MATCH(I326,Cadastro!$A$5:$A$304,0)),""))</f>
        <v/>
      </c>
      <c r="L326" s="17" t="str">
        <f aca="false">IF(I326="","",IFERROR(INDEX(Cadastro!$F$5:$F$304,MATCH(I326,Cadastro!$A$5:$A$304,0)),""))</f>
        <v/>
      </c>
      <c r="M326" s="17" t="str">
        <f aca="false">IF(I326="","",IFERROR(INDEX(Cadastro!$I$5:$I$304,MATCH(I326,Cadastro!$A$5:$A$304,0)),""))</f>
        <v/>
      </c>
      <c r="N326" s="19"/>
      <c r="O326" s="13"/>
      <c r="P326" s="12" t="str">
        <f aca="false">IF(OR(B326="",O326=""),"",NETWORKDAYS(B326,O326)-1)</f>
        <v/>
      </c>
      <c r="Q326" s="13"/>
      <c r="R326" s="11"/>
      <c r="S326" s="13"/>
      <c r="T326" s="11"/>
      <c r="U326" s="11"/>
      <c r="V326" s="11"/>
      <c r="W326" s="11"/>
      <c r="X326" s="11"/>
    </row>
    <row r="327" customFormat="false" ht="15" hidden="false" customHeight="false" outlineLevel="0" collapsed="false">
      <c r="A327" s="11"/>
      <c r="B327" s="13"/>
      <c r="C327" s="11"/>
      <c r="D327" s="11"/>
      <c r="E327" s="11"/>
      <c r="F327" s="19"/>
      <c r="G327" s="12" t="str">
        <f aca="false">IF(F327="","",IF(F327&lt;=Parâmetros!$B$7,"Faixa 1",IF(F327&lt;=Parâmetros!$B$8,"Faixa 2","Faixa 3")))</f>
        <v/>
      </c>
      <c r="H327" s="12" t="str">
        <f aca="false">IF(G327="","",IF(G327="Faixa 1","Rodízio/Sorteio",IF(G327="Faixa 2","Cotação (≥3 propostas)","Chamada pública")))</f>
        <v/>
      </c>
      <c r="I327" s="11"/>
      <c r="J327" s="17" t="str">
        <f aca="false">IF(I327="","",IFERROR(INDEX(Cadastro!$B$5:$B$304,MATCH(I327,Cadastro!$A$5:$A$304,0)),"ID não encontrado"))</f>
        <v/>
      </c>
      <c r="K327" s="17" t="str">
        <f aca="false">IF(I327="","",IFERROR(INDEX(Cadastro!$E$5:$E$304,MATCH(I327,Cadastro!$A$5:$A$304,0)),""))</f>
        <v/>
      </c>
      <c r="L327" s="17" t="str">
        <f aca="false">IF(I327="","",IFERROR(INDEX(Cadastro!$F$5:$F$304,MATCH(I327,Cadastro!$A$5:$A$304,0)),""))</f>
        <v/>
      </c>
      <c r="M327" s="17" t="str">
        <f aca="false">IF(I327="","",IFERROR(INDEX(Cadastro!$I$5:$I$304,MATCH(I327,Cadastro!$A$5:$A$304,0)),""))</f>
        <v/>
      </c>
      <c r="N327" s="19"/>
      <c r="O327" s="13"/>
      <c r="P327" s="12" t="str">
        <f aca="false">IF(OR(B327="",O327=""),"",NETWORKDAYS(B327,O327)-1)</f>
        <v/>
      </c>
      <c r="Q327" s="13"/>
      <c r="R327" s="11"/>
      <c r="S327" s="13"/>
      <c r="T327" s="11"/>
      <c r="U327" s="11"/>
      <c r="V327" s="11"/>
      <c r="W327" s="11"/>
      <c r="X327" s="11"/>
    </row>
    <row r="328" customFormat="false" ht="15" hidden="false" customHeight="false" outlineLevel="0" collapsed="false">
      <c r="A328" s="11"/>
      <c r="B328" s="13"/>
      <c r="C328" s="11"/>
      <c r="D328" s="11"/>
      <c r="E328" s="11"/>
      <c r="F328" s="19"/>
      <c r="G328" s="12" t="str">
        <f aca="false">IF(F328="","",IF(F328&lt;=Parâmetros!$B$7,"Faixa 1",IF(F328&lt;=Parâmetros!$B$8,"Faixa 2","Faixa 3")))</f>
        <v/>
      </c>
      <c r="H328" s="12" t="str">
        <f aca="false">IF(G328="","",IF(G328="Faixa 1","Rodízio/Sorteio",IF(G328="Faixa 2","Cotação (≥3 propostas)","Chamada pública")))</f>
        <v/>
      </c>
      <c r="I328" s="11"/>
      <c r="J328" s="17" t="str">
        <f aca="false">IF(I328="","",IFERROR(INDEX(Cadastro!$B$5:$B$304,MATCH(I328,Cadastro!$A$5:$A$304,0)),"ID não encontrado"))</f>
        <v/>
      </c>
      <c r="K328" s="17" t="str">
        <f aca="false">IF(I328="","",IFERROR(INDEX(Cadastro!$E$5:$E$304,MATCH(I328,Cadastro!$A$5:$A$304,0)),""))</f>
        <v/>
      </c>
      <c r="L328" s="17" t="str">
        <f aca="false">IF(I328="","",IFERROR(INDEX(Cadastro!$F$5:$F$304,MATCH(I328,Cadastro!$A$5:$A$304,0)),""))</f>
        <v/>
      </c>
      <c r="M328" s="17" t="str">
        <f aca="false">IF(I328="","",IFERROR(INDEX(Cadastro!$I$5:$I$304,MATCH(I328,Cadastro!$A$5:$A$304,0)),""))</f>
        <v/>
      </c>
      <c r="N328" s="19"/>
      <c r="O328" s="13"/>
      <c r="P328" s="12" t="str">
        <f aca="false">IF(OR(B328="",O328=""),"",NETWORKDAYS(B328,O328)-1)</f>
        <v/>
      </c>
      <c r="Q328" s="13"/>
      <c r="R328" s="11"/>
      <c r="S328" s="13"/>
      <c r="T328" s="11"/>
      <c r="U328" s="11"/>
      <c r="V328" s="11"/>
      <c r="W328" s="11"/>
      <c r="X328" s="11"/>
    </row>
    <row r="329" customFormat="false" ht="15" hidden="false" customHeight="false" outlineLevel="0" collapsed="false">
      <c r="A329" s="11"/>
      <c r="B329" s="13"/>
      <c r="C329" s="11"/>
      <c r="D329" s="11"/>
      <c r="E329" s="11"/>
      <c r="F329" s="19"/>
      <c r="G329" s="12" t="str">
        <f aca="false">IF(F329="","",IF(F329&lt;=Parâmetros!$B$7,"Faixa 1",IF(F329&lt;=Parâmetros!$B$8,"Faixa 2","Faixa 3")))</f>
        <v/>
      </c>
      <c r="H329" s="12" t="str">
        <f aca="false">IF(G329="","",IF(G329="Faixa 1","Rodízio/Sorteio",IF(G329="Faixa 2","Cotação (≥3 propostas)","Chamada pública")))</f>
        <v/>
      </c>
      <c r="I329" s="11"/>
      <c r="J329" s="17" t="str">
        <f aca="false">IF(I329="","",IFERROR(INDEX(Cadastro!$B$5:$B$304,MATCH(I329,Cadastro!$A$5:$A$304,0)),"ID não encontrado"))</f>
        <v/>
      </c>
      <c r="K329" s="17" t="str">
        <f aca="false">IF(I329="","",IFERROR(INDEX(Cadastro!$E$5:$E$304,MATCH(I329,Cadastro!$A$5:$A$304,0)),""))</f>
        <v/>
      </c>
      <c r="L329" s="17" t="str">
        <f aca="false">IF(I329="","",IFERROR(INDEX(Cadastro!$F$5:$F$304,MATCH(I329,Cadastro!$A$5:$A$304,0)),""))</f>
        <v/>
      </c>
      <c r="M329" s="17" t="str">
        <f aca="false">IF(I329="","",IFERROR(INDEX(Cadastro!$I$5:$I$304,MATCH(I329,Cadastro!$A$5:$A$304,0)),""))</f>
        <v/>
      </c>
      <c r="N329" s="19"/>
      <c r="O329" s="13"/>
      <c r="P329" s="12" t="str">
        <f aca="false">IF(OR(B329="",O329=""),"",NETWORKDAYS(B329,O329)-1)</f>
        <v/>
      </c>
      <c r="Q329" s="13"/>
      <c r="R329" s="11"/>
      <c r="S329" s="13"/>
      <c r="T329" s="11"/>
      <c r="U329" s="11"/>
      <c r="V329" s="11"/>
      <c r="W329" s="11"/>
      <c r="X329" s="11"/>
    </row>
    <row r="330" customFormat="false" ht="15" hidden="false" customHeight="false" outlineLevel="0" collapsed="false">
      <c r="A330" s="11"/>
      <c r="B330" s="13"/>
      <c r="C330" s="11"/>
      <c r="D330" s="11"/>
      <c r="E330" s="11"/>
      <c r="F330" s="19"/>
      <c r="G330" s="12" t="str">
        <f aca="false">IF(F330="","",IF(F330&lt;=Parâmetros!$B$7,"Faixa 1",IF(F330&lt;=Parâmetros!$B$8,"Faixa 2","Faixa 3")))</f>
        <v/>
      </c>
      <c r="H330" s="12" t="str">
        <f aca="false">IF(G330="","",IF(G330="Faixa 1","Rodízio/Sorteio",IF(G330="Faixa 2","Cotação (≥3 propostas)","Chamada pública")))</f>
        <v/>
      </c>
      <c r="I330" s="11"/>
      <c r="J330" s="17" t="str">
        <f aca="false">IF(I330="","",IFERROR(INDEX(Cadastro!$B$5:$B$304,MATCH(I330,Cadastro!$A$5:$A$304,0)),"ID não encontrado"))</f>
        <v/>
      </c>
      <c r="K330" s="17" t="str">
        <f aca="false">IF(I330="","",IFERROR(INDEX(Cadastro!$E$5:$E$304,MATCH(I330,Cadastro!$A$5:$A$304,0)),""))</f>
        <v/>
      </c>
      <c r="L330" s="17" t="str">
        <f aca="false">IF(I330="","",IFERROR(INDEX(Cadastro!$F$5:$F$304,MATCH(I330,Cadastro!$A$5:$A$304,0)),""))</f>
        <v/>
      </c>
      <c r="M330" s="17" t="str">
        <f aca="false">IF(I330="","",IFERROR(INDEX(Cadastro!$I$5:$I$304,MATCH(I330,Cadastro!$A$5:$A$304,0)),""))</f>
        <v/>
      </c>
      <c r="N330" s="19"/>
      <c r="O330" s="13"/>
      <c r="P330" s="12" t="str">
        <f aca="false">IF(OR(B330="",O330=""),"",NETWORKDAYS(B330,O330)-1)</f>
        <v/>
      </c>
      <c r="Q330" s="13"/>
      <c r="R330" s="11"/>
      <c r="S330" s="13"/>
      <c r="T330" s="11"/>
      <c r="U330" s="11"/>
      <c r="V330" s="11"/>
      <c r="W330" s="11"/>
      <c r="X330" s="11"/>
    </row>
    <row r="331" customFormat="false" ht="15" hidden="false" customHeight="false" outlineLevel="0" collapsed="false">
      <c r="A331" s="11"/>
      <c r="B331" s="13"/>
      <c r="C331" s="11"/>
      <c r="D331" s="11"/>
      <c r="E331" s="11"/>
      <c r="F331" s="19"/>
      <c r="G331" s="12" t="str">
        <f aca="false">IF(F331="","",IF(F331&lt;=Parâmetros!$B$7,"Faixa 1",IF(F331&lt;=Parâmetros!$B$8,"Faixa 2","Faixa 3")))</f>
        <v/>
      </c>
      <c r="H331" s="12" t="str">
        <f aca="false">IF(G331="","",IF(G331="Faixa 1","Rodízio/Sorteio",IF(G331="Faixa 2","Cotação (≥3 propostas)","Chamada pública")))</f>
        <v/>
      </c>
      <c r="I331" s="11"/>
      <c r="J331" s="17" t="str">
        <f aca="false">IF(I331="","",IFERROR(INDEX(Cadastro!$B$5:$B$304,MATCH(I331,Cadastro!$A$5:$A$304,0)),"ID não encontrado"))</f>
        <v/>
      </c>
      <c r="K331" s="17" t="str">
        <f aca="false">IF(I331="","",IFERROR(INDEX(Cadastro!$E$5:$E$304,MATCH(I331,Cadastro!$A$5:$A$304,0)),""))</f>
        <v/>
      </c>
      <c r="L331" s="17" t="str">
        <f aca="false">IF(I331="","",IFERROR(INDEX(Cadastro!$F$5:$F$304,MATCH(I331,Cadastro!$A$5:$A$304,0)),""))</f>
        <v/>
      </c>
      <c r="M331" s="17" t="str">
        <f aca="false">IF(I331="","",IFERROR(INDEX(Cadastro!$I$5:$I$304,MATCH(I331,Cadastro!$A$5:$A$304,0)),""))</f>
        <v/>
      </c>
      <c r="N331" s="19"/>
      <c r="O331" s="13"/>
      <c r="P331" s="12" t="str">
        <f aca="false">IF(OR(B331="",O331=""),"",NETWORKDAYS(B331,O331)-1)</f>
        <v/>
      </c>
      <c r="Q331" s="13"/>
      <c r="R331" s="11"/>
      <c r="S331" s="13"/>
      <c r="T331" s="11"/>
      <c r="U331" s="11"/>
      <c r="V331" s="11"/>
      <c r="W331" s="11"/>
      <c r="X331" s="11"/>
    </row>
    <row r="332" customFormat="false" ht="15" hidden="false" customHeight="false" outlineLevel="0" collapsed="false">
      <c r="A332" s="11"/>
      <c r="B332" s="13"/>
      <c r="C332" s="11"/>
      <c r="D332" s="11"/>
      <c r="E332" s="11"/>
      <c r="F332" s="19"/>
      <c r="G332" s="12" t="str">
        <f aca="false">IF(F332="","",IF(F332&lt;=Parâmetros!$B$7,"Faixa 1",IF(F332&lt;=Parâmetros!$B$8,"Faixa 2","Faixa 3")))</f>
        <v/>
      </c>
      <c r="H332" s="12" t="str">
        <f aca="false">IF(G332="","",IF(G332="Faixa 1","Rodízio/Sorteio",IF(G332="Faixa 2","Cotação (≥3 propostas)","Chamada pública")))</f>
        <v/>
      </c>
      <c r="I332" s="11"/>
      <c r="J332" s="17" t="str">
        <f aca="false">IF(I332="","",IFERROR(INDEX(Cadastro!$B$5:$B$304,MATCH(I332,Cadastro!$A$5:$A$304,0)),"ID não encontrado"))</f>
        <v/>
      </c>
      <c r="K332" s="17" t="str">
        <f aca="false">IF(I332="","",IFERROR(INDEX(Cadastro!$E$5:$E$304,MATCH(I332,Cadastro!$A$5:$A$304,0)),""))</f>
        <v/>
      </c>
      <c r="L332" s="17" t="str">
        <f aca="false">IF(I332="","",IFERROR(INDEX(Cadastro!$F$5:$F$304,MATCH(I332,Cadastro!$A$5:$A$304,0)),""))</f>
        <v/>
      </c>
      <c r="M332" s="17" t="str">
        <f aca="false">IF(I332="","",IFERROR(INDEX(Cadastro!$I$5:$I$304,MATCH(I332,Cadastro!$A$5:$A$304,0)),""))</f>
        <v/>
      </c>
      <c r="N332" s="19"/>
      <c r="O332" s="13"/>
      <c r="P332" s="12" t="str">
        <f aca="false">IF(OR(B332="",O332=""),"",NETWORKDAYS(B332,O332)-1)</f>
        <v/>
      </c>
      <c r="Q332" s="13"/>
      <c r="R332" s="11"/>
      <c r="S332" s="13"/>
      <c r="T332" s="11"/>
      <c r="U332" s="11"/>
      <c r="V332" s="11"/>
      <c r="W332" s="11"/>
      <c r="X332" s="11"/>
    </row>
    <row r="333" customFormat="false" ht="15" hidden="false" customHeight="false" outlineLevel="0" collapsed="false">
      <c r="A333" s="11"/>
      <c r="B333" s="13"/>
      <c r="C333" s="11"/>
      <c r="D333" s="11"/>
      <c r="E333" s="11"/>
      <c r="F333" s="19"/>
      <c r="G333" s="12" t="str">
        <f aca="false">IF(F333="","",IF(F333&lt;=Parâmetros!$B$7,"Faixa 1",IF(F333&lt;=Parâmetros!$B$8,"Faixa 2","Faixa 3")))</f>
        <v/>
      </c>
      <c r="H333" s="12" t="str">
        <f aca="false">IF(G333="","",IF(G333="Faixa 1","Rodízio/Sorteio",IF(G333="Faixa 2","Cotação (≥3 propostas)","Chamada pública")))</f>
        <v/>
      </c>
      <c r="I333" s="11"/>
      <c r="J333" s="17" t="str">
        <f aca="false">IF(I333="","",IFERROR(INDEX(Cadastro!$B$5:$B$304,MATCH(I333,Cadastro!$A$5:$A$304,0)),"ID não encontrado"))</f>
        <v/>
      </c>
      <c r="K333" s="17" t="str">
        <f aca="false">IF(I333="","",IFERROR(INDEX(Cadastro!$E$5:$E$304,MATCH(I333,Cadastro!$A$5:$A$304,0)),""))</f>
        <v/>
      </c>
      <c r="L333" s="17" t="str">
        <f aca="false">IF(I333="","",IFERROR(INDEX(Cadastro!$F$5:$F$304,MATCH(I333,Cadastro!$A$5:$A$304,0)),""))</f>
        <v/>
      </c>
      <c r="M333" s="17" t="str">
        <f aca="false">IF(I333="","",IFERROR(INDEX(Cadastro!$I$5:$I$304,MATCH(I333,Cadastro!$A$5:$A$304,0)),""))</f>
        <v/>
      </c>
      <c r="N333" s="19"/>
      <c r="O333" s="13"/>
      <c r="P333" s="12" t="str">
        <f aca="false">IF(OR(B333="",O333=""),"",NETWORKDAYS(B333,O333)-1)</f>
        <v/>
      </c>
      <c r="Q333" s="13"/>
      <c r="R333" s="11"/>
      <c r="S333" s="13"/>
      <c r="T333" s="11"/>
      <c r="U333" s="11"/>
      <c r="V333" s="11"/>
      <c r="W333" s="11"/>
      <c r="X333" s="11"/>
    </row>
    <row r="334" customFormat="false" ht="15" hidden="false" customHeight="false" outlineLevel="0" collapsed="false">
      <c r="A334" s="11"/>
      <c r="B334" s="13"/>
      <c r="C334" s="11"/>
      <c r="D334" s="11"/>
      <c r="E334" s="11"/>
      <c r="F334" s="19"/>
      <c r="G334" s="12" t="str">
        <f aca="false">IF(F334="","",IF(F334&lt;=Parâmetros!$B$7,"Faixa 1",IF(F334&lt;=Parâmetros!$B$8,"Faixa 2","Faixa 3")))</f>
        <v/>
      </c>
      <c r="H334" s="12" t="str">
        <f aca="false">IF(G334="","",IF(G334="Faixa 1","Rodízio/Sorteio",IF(G334="Faixa 2","Cotação (≥3 propostas)","Chamada pública")))</f>
        <v/>
      </c>
      <c r="I334" s="11"/>
      <c r="J334" s="17" t="str">
        <f aca="false">IF(I334="","",IFERROR(INDEX(Cadastro!$B$5:$B$304,MATCH(I334,Cadastro!$A$5:$A$304,0)),"ID não encontrado"))</f>
        <v/>
      </c>
      <c r="K334" s="17" t="str">
        <f aca="false">IF(I334="","",IFERROR(INDEX(Cadastro!$E$5:$E$304,MATCH(I334,Cadastro!$A$5:$A$304,0)),""))</f>
        <v/>
      </c>
      <c r="L334" s="17" t="str">
        <f aca="false">IF(I334="","",IFERROR(INDEX(Cadastro!$F$5:$F$304,MATCH(I334,Cadastro!$A$5:$A$304,0)),""))</f>
        <v/>
      </c>
      <c r="M334" s="17" t="str">
        <f aca="false">IF(I334="","",IFERROR(INDEX(Cadastro!$I$5:$I$304,MATCH(I334,Cadastro!$A$5:$A$304,0)),""))</f>
        <v/>
      </c>
      <c r="N334" s="19"/>
      <c r="O334" s="13"/>
      <c r="P334" s="12" t="str">
        <f aca="false">IF(OR(B334="",O334=""),"",NETWORKDAYS(B334,O334)-1)</f>
        <v/>
      </c>
      <c r="Q334" s="13"/>
      <c r="R334" s="11"/>
      <c r="S334" s="13"/>
      <c r="T334" s="11"/>
      <c r="U334" s="11"/>
      <c r="V334" s="11"/>
      <c r="W334" s="11"/>
      <c r="X334" s="11"/>
    </row>
    <row r="335" customFormat="false" ht="15" hidden="false" customHeight="false" outlineLevel="0" collapsed="false">
      <c r="A335" s="11"/>
      <c r="B335" s="13"/>
      <c r="C335" s="11"/>
      <c r="D335" s="11"/>
      <c r="E335" s="11"/>
      <c r="F335" s="19"/>
      <c r="G335" s="12" t="str">
        <f aca="false">IF(F335="","",IF(F335&lt;=Parâmetros!$B$7,"Faixa 1",IF(F335&lt;=Parâmetros!$B$8,"Faixa 2","Faixa 3")))</f>
        <v/>
      </c>
      <c r="H335" s="12" t="str">
        <f aca="false">IF(G335="","",IF(G335="Faixa 1","Rodízio/Sorteio",IF(G335="Faixa 2","Cotação (≥3 propostas)","Chamada pública")))</f>
        <v/>
      </c>
      <c r="I335" s="11"/>
      <c r="J335" s="17" t="str">
        <f aca="false">IF(I335="","",IFERROR(INDEX(Cadastro!$B$5:$B$304,MATCH(I335,Cadastro!$A$5:$A$304,0)),"ID não encontrado"))</f>
        <v/>
      </c>
      <c r="K335" s="17" t="str">
        <f aca="false">IF(I335="","",IFERROR(INDEX(Cadastro!$E$5:$E$304,MATCH(I335,Cadastro!$A$5:$A$304,0)),""))</f>
        <v/>
      </c>
      <c r="L335" s="17" t="str">
        <f aca="false">IF(I335="","",IFERROR(INDEX(Cadastro!$F$5:$F$304,MATCH(I335,Cadastro!$A$5:$A$304,0)),""))</f>
        <v/>
      </c>
      <c r="M335" s="17" t="str">
        <f aca="false">IF(I335="","",IFERROR(INDEX(Cadastro!$I$5:$I$304,MATCH(I335,Cadastro!$A$5:$A$304,0)),""))</f>
        <v/>
      </c>
      <c r="N335" s="19"/>
      <c r="O335" s="13"/>
      <c r="P335" s="12" t="str">
        <f aca="false">IF(OR(B335="",O335=""),"",NETWORKDAYS(B335,O335)-1)</f>
        <v/>
      </c>
      <c r="Q335" s="13"/>
      <c r="R335" s="11"/>
      <c r="S335" s="13"/>
      <c r="T335" s="11"/>
      <c r="U335" s="11"/>
      <c r="V335" s="11"/>
      <c r="W335" s="11"/>
      <c r="X335" s="11"/>
    </row>
    <row r="336" customFormat="false" ht="15" hidden="false" customHeight="false" outlineLevel="0" collapsed="false">
      <c r="A336" s="11"/>
      <c r="B336" s="13"/>
      <c r="C336" s="11"/>
      <c r="D336" s="11"/>
      <c r="E336" s="11"/>
      <c r="F336" s="19"/>
      <c r="G336" s="12" t="str">
        <f aca="false">IF(F336="","",IF(F336&lt;=Parâmetros!$B$7,"Faixa 1",IF(F336&lt;=Parâmetros!$B$8,"Faixa 2","Faixa 3")))</f>
        <v/>
      </c>
      <c r="H336" s="12" t="str">
        <f aca="false">IF(G336="","",IF(G336="Faixa 1","Rodízio/Sorteio",IF(G336="Faixa 2","Cotação (≥3 propostas)","Chamada pública")))</f>
        <v/>
      </c>
      <c r="I336" s="11"/>
      <c r="J336" s="17" t="str">
        <f aca="false">IF(I336="","",IFERROR(INDEX(Cadastro!$B$5:$B$304,MATCH(I336,Cadastro!$A$5:$A$304,0)),"ID não encontrado"))</f>
        <v/>
      </c>
      <c r="K336" s="17" t="str">
        <f aca="false">IF(I336="","",IFERROR(INDEX(Cadastro!$E$5:$E$304,MATCH(I336,Cadastro!$A$5:$A$304,0)),""))</f>
        <v/>
      </c>
      <c r="L336" s="17" t="str">
        <f aca="false">IF(I336="","",IFERROR(INDEX(Cadastro!$F$5:$F$304,MATCH(I336,Cadastro!$A$5:$A$304,0)),""))</f>
        <v/>
      </c>
      <c r="M336" s="17" t="str">
        <f aca="false">IF(I336="","",IFERROR(INDEX(Cadastro!$I$5:$I$304,MATCH(I336,Cadastro!$A$5:$A$304,0)),""))</f>
        <v/>
      </c>
      <c r="N336" s="19"/>
      <c r="O336" s="13"/>
      <c r="P336" s="12" t="str">
        <f aca="false">IF(OR(B336="",O336=""),"",NETWORKDAYS(B336,O336)-1)</f>
        <v/>
      </c>
      <c r="Q336" s="13"/>
      <c r="R336" s="11"/>
      <c r="S336" s="13"/>
      <c r="T336" s="11"/>
      <c r="U336" s="11"/>
      <c r="V336" s="11"/>
      <c r="W336" s="11"/>
      <c r="X336" s="11"/>
    </row>
    <row r="337" customFormat="false" ht="15" hidden="false" customHeight="false" outlineLevel="0" collapsed="false">
      <c r="A337" s="11"/>
      <c r="B337" s="13"/>
      <c r="C337" s="11"/>
      <c r="D337" s="11"/>
      <c r="E337" s="11"/>
      <c r="F337" s="19"/>
      <c r="G337" s="12" t="str">
        <f aca="false">IF(F337="","",IF(F337&lt;=Parâmetros!$B$7,"Faixa 1",IF(F337&lt;=Parâmetros!$B$8,"Faixa 2","Faixa 3")))</f>
        <v/>
      </c>
      <c r="H337" s="12" t="str">
        <f aca="false">IF(G337="","",IF(G337="Faixa 1","Rodízio/Sorteio",IF(G337="Faixa 2","Cotação (≥3 propostas)","Chamada pública")))</f>
        <v/>
      </c>
      <c r="I337" s="11"/>
      <c r="J337" s="17" t="str">
        <f aca="false">IF(I337="","",IFERROR(INDEX(Cadastro!$B$5:$B$304,MATCH(I337,Cadastro!$A$5:$A$304,0)),"ID não encontrado"))</f>
        <v/>
      </c>
      <c r="K337" s="17" t="str">
        <f aca="false">IF(I337="","",IFERROR(INDEX(Cadastro!$E$5:$E$304,MATCH(I337,Cadastro!$A$5:$A$304,0)),""))</f>
        <v/>
      </c>
      <c r="L337" s="17" t="str">
        <f aca="false">IF(I337="","",IFERROR(INDEX(Cadastro!$F$5:$F$304,MATCH(I337,Cadastro!$A$5:$A$304,0)),""))</f>
        <v/>
      </c>
      <c r="M337" s="17" t="str">
        <f aca="false">IF(I337="","",IFERROR(INDEX(Cadastro!$I$5:$I$304,MATCH(I337,Cadastro!$A$5:$A$304,0)),""))</f>
        <v/>
      </c>
      <c r="N337" s="19"/>
      <c r="O337" s="13"/>
      <c r="P337" s="12" t="str">
        <f aca="false">IF(OR(B337="",O337=""),"",NETWORKDAYS(B337,O337)-1)</f>
        <v/>
      </c>
      <c r="Q337" s="13"/>
      <c r="R337" s="11"/>
      <c r="S337" s="13"/>
      <c r="T337" s="11"/>
      <c r="U337" s="11"/>
      <c r="V337" s="11"/>
      <c r="W337" s="11"/>
      <c r="X337" s="11"/>
    </row>
    <row r="338" customFormat="false" ht="15" hidden="false" customHeight="false" outlineLevel="0" collapsed="false">
      <c r="A338" s="11"/>
      <c r="B338" s="13"/>
      <c r="C338" s="11"/>
      <c r="D338" s="11"/>
      <c r="E338" s="11"/>
      <c r="F338" s="19"/>
      <c r="G338" s="12" t="str">
        <f aca="false">IF(F338="","",IF(F338&lt;=Parâmetros!$B$7,"Faixa 1",IF(F338&lt;=Parâmetros!$B$8,"Faixa 2","Faixa 3")))</f>
        <v/>
      </c>
      <c r="H338" s="12" t="str">
        <f aca="false">IF(G338="","",IF(G338="Faixa 1","Rodízio/Sorteio",IF(G338="Faixa 2","Cotação (≥3 propostas)","Chamada pública")))</f>
        <v/>
      </c>
      <c r="I338" s="11"/>
      <c r="J338" s="17" t="str">
        <f aca="false">IF(I338="","",IFERROR(INDEX(Cadastro!$B$5:$B$304,MATCH(I338,Cadastro!$A$5:$A$304,0)),"ID não encontrado"))</f>
        <v/>
      </c>
      <c r="K338" s="17" t="str">
        <f aca="false">IF(I338="","",IFERROR(INDEX(Cadastro!$E$5:$E$304,MATCH(I338,Cadastro!$A$5:$A$304,0)),""))</f>
        <v/>
      </c>
      <c r="L338" s="17" t="str">
        <f aca="false">IF(I338="","",IFERROR(INDEX(Cadastro!$F$5:$F$304,MATCH(I338,Cadastro!$A$5:$A$304,0)),""))</f>
        <v/>
      </c>
      <c r="M338" s="17" t="str">
        <f aca="false">IF(I338="","",IFERROR(INDEX(Cadastro!$I$5:$I$304,MATCH(I338,Cadastro!$A$5:$A$304,0)),""))</f>
        <v/>
      </c>
      <c r="N338" s="19"/>
      <c r="O338" s="13"/>
      <c r="P338" s="12" t="str">
        <f aca="false">IF(OR(B338="",O338=""),"",NETWORKDAYS(B338,O338)-1)</f>
        <v/>
      </c>
      <c r="Q338" s="13"/>
      <c r="R338" s="11"/>
      <c r="S338" s="13"/>
      <c r="T338" s="11"/>
      <c r="U338" s="11"/>
      <c r="V338" s="11"/>
      <c r="W338" s="11"/>
      <c r="X338" s="11"/>
    </row>
    <row r="339" customFormat="false" ht="15" hidden="false" customHeight="false" outlineLevel="0" collapsed="false">
      <c r="A339" s="11"/>
      <c r="B339" s="13"/>
      <c r="C339" s="11"/>
      <c r="D339" s="11"/>
      <c r="E339" s="11"/>
      <c r="F339" s="19"/>
      <c r="G339" s="12" t="str">
        <f aca="false">IF(F339="","",IF(F339&lt;=Parâmetros!$B$7,"Faixa 1",IF(F339&lt;=Parâmetros!$B$8,"Faixa 2","Faixa 3")))</f>
        <v/>
      </c>
      <c r="H339" s="12" t="str">
        <f aca="false">IF(G339="","",IF(G339="Faixa 1","Rodízio/Sorteio",IF(G339="Faixa 2","Cotação (≥3 propostas)","Chamada pública")))</f>
        <v/>
      </c>
      <c r="I339" s="11"/>
      <c r="J339" s="17" t="str">
        <f aca="false">IF(I339="","",IFERROR(INDEX(Cadastro!$B$5:$B$304,MATCH(I339,Cadastro!$A$5:$A$304,0)),"ID não encontrado"))</f>
        <v/>
      </c>
      <c r="K339" s="17" t="str">
        <f aca="false">IF(I339="","",IFERROR(INDEX(Cadastro!$E$5:$E$304,MATCH(I339,Cadastro!$A$5:$A$304,0)),""))</f>
        <v/>
      </c>
      <c r="L339" s="17" t="str">
        <f aca="false">IF(I339="","",IFERROR(INDEX(Cadastro!$F$5:$F$304,MATCH(I339,Cadastro!$A$5:$A$304,0)),""))</f>
        <v/>
      </c>
      <c r="M339" s="17" t="str">
        <f aca="false">IF(I339="","",IFERROR(INDEX(Cadastro!$I$5:$I$304,MATCH(I339,Cadastro!$A$5:$A$304,0)),""))</f>
        <v/>
      </c>
      <c r="N339" s="19"/>
      <c r="O339" s="13"/>
      <c r="P339" s="12" t="str">
        <f aca="false">IF(OR(B339="",O339=""),"",NETWORKDAYS(B339,O339)-1)</f>
        <v/>
      </c>
      <c r="Q339" s="13"/>
      <c r="R339" s="11"/>
      <c r="S339" s="13"/>
      <c r="T339" s="11"/>
      <c r="U339" s="11"/>
      <c r="V339" s="11"/>
      <c r="W339" s="11"/>
      <c r="X339" s="11"/>
    </row>
    <row r="340" customFormat="false" ht="15" hidden="false" customHeight="false" outlineLevel="0" collapsed="false">
      <c r="A340" s="11"/>
      <c r="B340" s="13"/>
      <c r="C340" s="11"/>
      <c r="D340" s="11"/>
      <c r="E340" s="11"/>
      <c r="F340" s="19"/>
      <c r="G340" s="12" t="str">
        <f aca="false">IF(F340="","",IF(F340&lt;=Parâmetros!$B$7,"Faixa 1",IF(F340&lt;=Parâmetros!$B$8,"Faixa 2","Faixa 3")))</f>
        <v/>
      </c>
      <c r="H340" s="12" t="str">
        <f aca="false">IF(G340="","",IF(G340="Faixa 1","Rodízio/Sorteio",IF(G340="Faixa 2","Cotação (≥3 propostas)","Chamada pública")))</f>
        <v/>
      </c>
      <c r="I340" s="11"/>
      <c r="J340" s="17" t="str">
        <f aca="false">IF(I340="","",IFERROR(INDEX(Cadastro!$B$5:$B$304,MATCH(I340,Cadastro!$A$5:$A$304,0)),"ID não encontrado"))</f>
        <v/>
      </c>
      <c r="K340" s="17" t="str">
        <f aca="false">IF(I340="","",IFERROR(INDEX(Cadastro!$E$5:$E$304,MATCH(I340,Cadastro!$A$5:$A$304,0)),""))</f>
        <v/>
      </c>
      <c r="L340" s="17" t="str">
        <f aca="false">IF(I340="","",IFERROR(INDEX(Cadastro!$F$5:$F$304,MATCH(I340,Cadastro!$A$5:$A$304,0)),""))</f>
        <v/>
      </c>
      <c r="M340" s="17" t="str">
        <f aca="false">IF(I340="","",IFERROR(INDEX(Cadastro!$I$5:$I$304,MATCH(I340,Cadastro!$A$5:$A$304,0)),""))</f>
        <v/>
      </c>
      <c r="N340" s="19"/>
      <c r="O340" s="13"/>
      <c r="P340" s="12" t="str">
        <f aca="false">IF(OR(B340="",O340=""),"",NETWORKDAYS(B340,O340)-1)</f>
        <v/>
      </c>
      <c r="Q340" s="13"/>
      <c r="R340" s="11"/>
      <c r="S340" s="13"/>
      <c r="T340" s="11"/>
      <c r="U340" s="11"/>
      <c r="V340" s="11"/>
      <c r="W340" s="11"/>
      <c r="X340" s="11"/>
    </row>
    <row r="341" customFormat="false" ht="15" hidden="false" customHeight="false" outlineLevel="0" collapsed="false">
      <c r="A341" s="11"/>
      <c r="B341" s="13"/>
      <c r="C341" s="11"/>
      <c r="D341" s="11"/>
      <c r="E341" s="11"/>
      <c r="F341" s="19"/>
      <c r="G341" s="12" t="str">
        <f aca="false">IF(F341="","",IF(F341&lt;=Parâmetros!$B$7,"Faixa 1",IF(F341&lt;=Parâmetros!$B$8,"Faixa 2","Faixa 3")))</f>
        <v/>
      </c>
      <c r="H341" s="12" t="str">
        <f aca="false">IF(G341="","",IF(G341="Faixa 1","Rodízio/Sorteio",IF(G341="Faixa 2","Cotação (≥3 propostas)","Chamada pública")))</f>
        <v/>
      </c>
      <c r="I341" s="11"/>
      <c r="J341" s="17" t="str">
        <f aca="false">IF(I341="","",IFERROR(INDEX(Cadastro!$B$5:$B$304,MATCH(I341,Cadastro!$A$5:$A$304,0)),"ID não encontrado"))</f>
        <v/>
      </c>
      <c r="K341" s="17" t="str">
        <f aca="false">IF(I341="","",IFERROR(INDEX(Cadastro!$E$5:$E$304,MATCH(I341,Cadastro!$A$5:$A$304,0)),""))</f>
        <v/>
      </c>
      <c r="L341" s="17" t="str">
        <f aca="false">IF(I341="","",IFERROR(INDEX(Cadastro!$F$5:$F$304,MATCH(I341,Cadastro!$A$5:$A$304,0)),""))</f>
        <v/>
      </c>
      <c r="M341" s="17" t="str">
        <f aca="false">IF(I341="","",IFERROR(INDEX(Cadastro!$I$5:$I$304,MATCH(I341,Cadastro!$A$5:$A$304,0)),""))</f>
        <v/>
      </c>
      <c r="N341" s="19"/>
      <c r="O341" s="13"/>
      <c r="P341" s="12" t="str">
        <f aca="false">IF(OR(B341="",O341=""),"",NETWORKDAYS(B341,O341)-1)</f>
        <v/>
      </c>
      <c r="Q341" s="13"/>
      <c r="R341" s="11"/>
      <c r="S341" s="13"/>
      <c r="T341" s="11"/>
      <c r="U341" s="11"/>
      <c r="V341" s="11"/>
      <c r="W341" s="11"/>
      <c r="X341" s="11"/>
    </row>
    <row r="342" customFormat="false" ht="15" hidden="false" customHeight="false" outlineLevel="0" collapsed="false">
      <c r="A342" s="11"/>
      <c r="B342" s="13"/>
      <c r="C342" s="11"/>
      <c r="D342" s="11"/>
      <c r="E342" s="11"/>
      <c r="F342" s="19"/>
      <c r="G342" s="12" t="str">
        <f aca="false">IF(F342="","",IF(F342&lt;=Parâmetros!$B$7,"Faixa 1",IF(F342&lt;=Parâmetros!$B$8,"Faixa 2","Faixa 3")))</f>
        <v/>
      </c>
      <c r="H342" s="12" t="str">
        <f aca="false">IF(G342="","",IF(G342="Faixa 1","Rodízio/Sorteio",IF(G342="Faixa 2","Cotação (≥3 propostas)","Chamada pública")))</f>
        <v/>
      </c>
      <c r="I342" s="11"/>
      <c r="J342" s="17" t="str">
        <f aca="false">IF(I342="","",IFERROR(INDEX(Cadastro!$B$5:$B$304,MATCH(I342,Cadastro!$A$5:$A$304,0)),"ID não encontrado"))</f>
        <v/>
      </c>
      <c r="K342" s="17" t="str">
        <f aca="false">IF(I342="","",IFERROR(INDEX(Cadastro!$E$5:$E$304,MATCH(I342,Cadastro!$A$5:$A$304,0)),""))</f>
        <v/>
      </c>
      <c r="L342" s="17" t="str">
        <f aca="false">IF(I342="","",IFERROR(INDEX(Cadastro!$F$5:$F$304,MATCH(I342,Cadastro!$A$5:$A$304,0)),""))</f>
        <v/>
      </c>
      <c r="M342" s="17" t="str">
        <f aca="false">IF(I342="","",IFERROR(INDEX(Cadastro!$I$5:$I$304,MATCH(I342,Cadastro!$A$5:$A$304,0)),""))</f>
        <v/>
      </c>
      <c r="N342" s="19"/>
      <c r="O342" s="13"/>
      <c r="P342" s="12" t="str">
        <f aca="false">IF(OR(B342="",O342=""),"",NETWORKDAYS(B342,O342)-1)</f>
        <v/>
      </c>
      <c r="Q342" s="13"/>
      <c r="R342" s="11"/>
      <c r="S342" s="13"/>
      <c r="T342" s="11"/>
      <c r="U342" s="11"/>
      <c r="V342" s="11"/>
      <c r="W342" s="11"/>
      <c r="X342" s="11"/>
    </row>
    <row r="343" customFormat="false" ht="15" hidden="false" customHeight="false" outlineLevel="0" collapsed="false">
      <c r="A343" s="11"/>
      <c r="B343" s="13"/>
      <c r="C343" s="11"/>
      <c r="D343" s="11"/>
      <c r="E343" s="11"/>
      <c r="F343" s="19"/>
      <c r="G343" s="12" t="str">
        <f aca="false">IF(F343="","",IF(F343&lt;=Parâmetros!$B$7,"Faixa 1",IF(F343&lt;=Parâmetros!$B$8,"Faixa 2","Faixa 3")))</f>
        <v/>
      </c>
      <c r="H343" s="12" t="str">
        <f aca="false">IF(G343="","",IF(G343="Faixa 1","Rodízio/Sorteio",IF(G343="Faixa 2","Cotação (≥3 propostas)","Chamada pública")))</f>
        <v/>
      </c>
      <c r="I343" s="11"/>
      <c r="J343" s="17" t="str">
        <f aca="false">IF(I343="","",IFERROR(INDEX(Cadastro!$B$5:$B$304,MATCH(I343,Cadastro!$A$5:$A$304,0)),"ID não encontrado"))</f>
        <v/>
      </c>
      <c r="K343" s="17" t="str">
        <f aca="false">IF(I343="","",IFERROR(INDEX(Cadastro!$E$5:$E$304,MATCH(I343,Cadastro!$A$5:$A$304,0)),""))</f>
        <v/>
      </c>
      <c r="L343" s="17" t="str">
        <f aca="false">IF(I343="","",IFERROR(INDEX(Cadastro!$F$5:$F$304,MATCH(I343,Cadastro!$A$5:$A$304,0)),""))</f>
        <v/>
      </c>
      <c r="M343" s="17" t="str">
        <f aca="false">IF(I343="","",IFERROR(INDEX(Cadastro!$I$5:$I$304,MATCH(I343,Cadastro!$A$5:$A$304,0)),""))</f>
        <v/>
      </c>
      <c r="N343" s="19"/>
      <c r="O343" s="13"/>
      <c r="P343" s="12" t="str">
        <f aca="false">IF(OR(B343="",O343=""),"",NETWORKDAYS(B343,O343)-1)</f>
        <v/>
      </c>
      <c r="Q343" s="13"/>
      <c r="R343" s="11"/>
      <c r="S343" s="13"/>
      <c r="T343" s="11"/>
      <c r="U343" s="11"/>
      <c r="V343" s="11"/>
      <c r="W343" s="11"/>
      <c r="X343" s="11"/>
    </row>
    <row r="344" customFormat="false" ht="15" hidden="false" customHeight="false" outlineLevel="0" collapsed="false">
      <c r="A344" s="11"/>
      <c r="B344" s="13"/>
      <c r="C344" s="11"/>
      <c r="D344" s="11"/>
      <c r="E344" s="11"/>
      <c r="F344" s="19"/>
      <c r="G344" s="12" t="str">
        <f aca="false">IF(F344="","",IF(F344&lt;=Parâmetros!$B$7,"Faixa 1",IF(F344&lt;=Parâmetros!$B$8,"Faixa 2","Faixa 3")))</f>
        <v/>
      </c>
      <c r="H344" s="12" t="str">
        <f aca="false">IF(G344="","",IF(G344="Faixa 1","Rodízio/Sorteio",IF(G344="Faixa 2","Cotação (≥3 propostas)","Chamada pública")))</f>
        <v/>
      </c>
      <c r="I344" s="11"/>
      <c r="J344" s="17" t="str">
        <f aca="false">IF(I344="","",IFERROR(INDEX(Cadastro!$B$5:$B$304,MATCH(I344,Cadastro!$A$5:$A$304,0)),"ID não encontrado"))</f>
        <v/>
      </c>
      <c r="K344" s="17" t="str">
        <f aca="false">IF(I344="","",IFERROR(INDEX(Cadastro!$E$5:$E$304,MATCH(I344,Cadastro!$A$5:$A$304,0)),""))</f>
        <v/>
      </c>
      <c r="L344" s="17" t="str">
        <f aca="false">IF(I344="","",IFERROR(INDEX(Cadastro!$F$5:$F$304,MATCH(I344,Cadastro!$A$5:$A$304,0)),""))</f>
        <v/>
      </c>
      <c r="M344" s="17" t="str">
        <f aca="false">IF(I344="","",IFERROR(INDEX(Cadastro!$I$5:$I$304,MATCH(I344,Cadastro!$A$5:$A$304,0)),""))</f>
        <v/>
      </c>
      <c r="N344" s="19"/>
      <c r="O344" s="13"/>
      <c r="P344" s="12" t="str">
        <f aca="false">IF(OR(B344="",O344=""),"",NETWORKDAYS(B344,O344)-1)</f>
        <v/>
      </c>
      <c r="Q344" s="13"/>
      <c r="R344" s="11"/>
      <c r="S344" s="13"/>
      <c r="T344" s="11"/>
      <c r="U344" s="11"/>
      <c r="V344" s="11"/>
      <c r="W344" s="11"/>
      <c r="X344" s="11"/>
    </row>
    <row r="345" customFormat="false" ht="15" hidden="false" customHeight="false" outlineLevel="0" collapsed="false">
      <c r="A345" s="11"/>
      <c r="B345" s="13"/>
      <c r="C345" s="11"/>
      <c r="D345" s="11"/>
      <c r="E345" s="11"/>
      <c r="F345" s="19"/>
      <c r="G345" s="12" t="str">
        <f aca="false">IF(F345="","",IF(F345&lt;=Parâmetros!$B$7,"Faixa 1",IF(F345&lt;=Parâmetros!$B$8,"Faixa 2","Faixa 3")))</f>
        <v/>
      </c>
      <c r="H345" s="12" t="str">
        <f aca="false">IF(G345="","",IF(G345="Faixa 1","Rodízio/Sorteio",IF(G345="Faixa 2","Cotação (≥3 propostas)","Chamada pública")))</f>
        <v/>
      </c>
      <c r="I345" s="11"/>
      <c r="J345" s="17" t="str">
        <f aca="false">IF(I345="","",IFERROR(INDEX(Cadastro!$B$5:$B$304,MATCH(I345,Cadastro!$A$5:$A$304,0)),"ID não encontrado"))</f>
        <v/>
      </c>
      <c r="K345" s="17" t="str">
        <f aca="false">IF(I345="","",IFERROR(INDEX(Cadastro!$E$5:$E$304,MATCH(I345,Cadastro!$A$5:$A$304,0)),""))</f>
        <v/>
      </c>
      <c r="L345" s="17" t="str">
        <f aca="false">IF(I345="","",IFERROR(INDEX(Cadastro!$F$5:$F$304,MATCH(I345,Cadastro!$A$5:$A$304,0)),""))</f>
        <v/>
      </c>
      <c r="M345" s="17" t="str">
        <f aca="false">IF(I345="","",IFERROR(INDEX(Cadastro!$I$5:$I$304,MATCH(I345,Cadastro!$A$5:$A$304,0)),""))</f>
        <v/>
      </c>
      <c r="N345" s="19"/>
      <c r="O345" s="13"/>
      <c r="P345" s="12" t="str">
        <f aca="false">IF(OR(B345="",O345=""),"",NETWORKDAYS(B345,O345)-1)</f>
        <v/>
      </c>
      <c r="Q345" s="13"/>
      <c r="R345" s="11"/>
      <c r="S345" s="13"/>
      <c r="T345" s="11"/>
      <c r="U345" s="11"/>
      <c r="V345" s="11"/>
      <c r="W345" s="11"/>
      <c r="X345" s="11"/>
    </row>
    <row r="346" customFormat="false" ht="15" hidden="false" customHeight="false" outlineLevel="0" collapsed="false">
      <c r="A346" s="11"/>
      <c r="B346" s="13"/>
      <c r="C346" s="11"/>
      <c r="D346" s="11"/>
      <c r="E346" s="11"/>
      <c r="F346" s="19"/>
      <c r="G346" s="12" t="str">
        <f aca="false">IF(F346="","",IF(F346&lt;=Parâmetros!$B$7,"Faixa 1",IF(F346&lt;=Parâmetros!$B$8,"Faixa 2","Faixa 3")))</f>
        <v/>
      </c>
      <c r="H346" s="12" t="str">
        <f aca="false">IF(G346="","",IF(G346="Faixa 1","Rodízio/Sorteio",IF(G346="Faixa 2","Cotação (≥3 propostas)","Chamada pública")))</f>
        <v/>
      </c>
      <c r="I346" s="11"/>
      <c r="J346" s="17" t="str">
        <f aca="false">IF(I346="","",IFERROR(INDEX(Cadastro!$B$5:$B$304,MATCH(I346,Cadastro!$A$5:$A$304,0)),"ID não encontrado"))</f>
        <v/>
      </c>
      <c r="K346" s="17" t="str">
        <f aca="false">IF(I346="","",IFERROR(INDEX(Cadastro!$E$5:$E$304,MATCH(I346,Cadastro!$A$5:$A$304,0)),""))</f>
        <v/>
      </c>
      <c r="L346" s="17" t="str">
        <f aca="false">IF(I346="","",IFERROR(INDEX(Cadastro!$F$5:$F$304,MATCH(I346,Cadastro!$A$5:$A$304,0)),""))</f>
        <v/>
      </c>
      <c r="M346" s="17" t="str">
        <f aca="false">IF(I346="","",IFERROR(INDEX(Cadastro!$I$5:$I$304,MATCH(I346,Cadastro!$A$5:$A$304,0)),""))</f>
        <v/>
      </c>
      <c r="N346" s="19"/>
      <c r="O346" s="13"/>
      <c r="P346" s="12" t="str">
        <f aca="false">IF(OR(B346="",O346=""),"",NETWORKDAYS(B346,O346)-1)</f>
        <v/>
      </c>
      <c r="Q346" s="13"/>
      <c r="R346" s="11"/>
      <c r="S346" s="13"/>
      <c r="T346" s="11"/>
      <c r="U346" s="11"/>
      <c r="V346" s="11"/>
      <c r="W346" s="11"/>
      <c r="X346" s="11"/>
    </row>
    <row r="347" customFormat="false" ht="15" hidden="false" customHeight="false" outlineLevel="0" collapsed="false">
      <c r="A347" s="11"/>
      <c r="B347" s="13"/>
      <c r="C347" s="11"/>
      <c r="D347" s="11"/>
      <c r="E347" s="11"/>
      <c r="F347" s="19"/>
      <c r="G347" s="12" t="str">
        <f aca="false">IF(F347="","",IF(F347&lt;=Parâmetros!$B$7,"Faixa 1",IF(F347&lt;=Parâmetros!$B$8,"Faixa 2","Faixa 3")))</f>
        <v/>
      </c>
      <c r="H347" s="12" t="str">
        <f aca="false">IF(G347="","",IF(G347="Faixa 1","Rodízio/Sorteio",IF(G347="Faixa 2","Cotação (≥3 propostas)","Chamada pública")))</f>
        <v/>
      </c>
      <c r="I347" s="11"/>
      <c r="J347" s="17" t="str">
        <f aca="false">IF(I347="","",IFERROR(INDEX(Cadastro!$B$5:$B$304,MATCH(I347,Cadastro!$A$5:$A$304,0)),"ID não encontrado"))</f>
        <v/>
      </c>
      <c r="K347" s="17" t="str">
        <f aca="false">IF(I347="","",IFERROR(INDEX(Cadastro!$E$5:$E$304,MATCH(I347,Cadastro!$A$5:$A$304,0)),""))</f>
        <v/>
      </c>
      <c r="L347" s="17" t="str">
        <f aca="false">IF(I347="","",IFERROR(INDEX(Cadastro!$F$5:$F$304,MATCH(I347,Cadastro!$A$5:$A$304,0)),""))</f>
        <v/>
      </c>
      <c r="M347" s="17" t="str">
        <f aca="false">IF(I347="","",IFERROR(INDEX(Cadastro!$I$5:$I$304,MATCH(I347,Cadastro!$A$5:$A$304,0)),""))</f>
        <v/>
      </c>
      <c r="N347" s="19"/>
      <c r="O347" s="13"/>
      <c r="P347" s="12" t="str">
        <f aca="false">IF(OR(B347="",O347=""),"",NETWORKDAYS(B347,O347)-1)</f>
        <v/>
      </c>
      <c r="Q347" s="13"/>
      <c r="R347" s="11"/>
      <c r="S347" s="13"/>
      <c r="T347" s="11"/>
      <c r="U347" s="11"/>
      <c r="V347" s="11"/>
      <c r="W347" s="11"/>
      <c r="X347" s="11"/>
    </row>
    <row r="348" customFormat="false" ht="15" hidden="false" customHeight="false" outlineLevel="0" collapsed="false">
      <c r="A348" s="11"/>
      <c r="B348" s="13"/>
      <c r="C348" s="11"/>
      <c r="D348" s="11"/>
      <c r="E348" s="11"/>
      <c r="F348" s="19"/>
      <c r="G348" s="12" t="str">
        <f aca="false">IF(F348="","",IF(F348&lt;=Parâmetros!$B$7,"Faixa 1",IF(F348&lt;=Parâmetros!$B$8,"Faixa 2","Faixa 3")))</f>
        <v/>
      </c>
      <c r="H348" s="12" t="str">
        <f aca="false">IF(G348="","",IF(G348="Faixa 1","Rodízio/Sorteio",IF(G348="Faixa 2","Cotação (≥3 propostas)","Chamada pública")))</f>
        <v/>
      </c>
      <c r="I348" s="11"/>
      <c r="J348" s="17" t="str">
        <f aca="false">IF(I348="","",IFERROR(INDEX(Cadastro!$B$5:$B$304,MATCH(I348,Cadastro!$A$5:$A$304,0)),"ID não encontrado"))</f>
        <v/>
      </c>
      <c r="K348" s="17" t="str">
        <f aca="false">IF(I348="","",IFERROR(INDEX(Cadastro!$E$5:$E$304,MATCH(I348,Cadastro!$A$5:$A$304,0)),""))</f>
        <v/>
      </c>
      <c r="L348" s="17" t="str">
        <f aca="false">IF(I348="","",IFERROR(INDEX(Cadastro!$F$5:$F$304,MATCH(I348,Cadastro!$A$5:$A$304,0)),""))</f>
        <v/>
      </c>
      <c r="M348" s="17" t="str">
        <f aca="false">IF(I348="","",IFERROR(INDEX(Cadastro!$I$5:$I$304,MATCH(I348,Cadastro!$A$5:$A$304,0)),""))</f>
        <v/>
      </c>
      <c r="N348" s="19"/>
      <c r="O348" s="13"/>
      <c r="P348" s="12" t="str">
        <f aca="false">IF(OR(B348="",O348=""),"",NETWORKDAYS(B348,O348)-1)</f>
        <v/>
      </c>
      <c r="Q348" s="13"/>
      <c r="R348" s="11"/>
      <c r="S348" s="13"/>
      <c r="T348" s="11"/>
      <c r="U348" s="11"/>
      <c r="V348" s="11"/>
      <c r="W348" s="11"/>
      <c r="X348" s="11"/>
    </row>
    <row r="349" customFormat="false" ht="15" hidden="false" customHeight="false" outlineLevel="0" collapsed="false">
      <c r="A349" s="11"/>
      <c r="B349" s="13"/>
      <c r="C349" s="11"/>
      <c r="D349" s="11"/>
      <c r="E349" s="11"/>
      <c r="F349" s="19"/>
      <c r="G349" s="12" t="str">
        <f aca="false">IF(F349="","",IF(F349&lt;=Parâmetros!$B$7,"Faixa 1",IF(F349&lt;=Parâmetros!$B$8,"Faixa 2","Faixa 3")))</f>
        <v/>
      </c>
      <c r="H349" s="12" t="str">
        <f aca="false">IF(G349="","",IF(G349="Faixa 1","Rodízio/Sorteio",IF(G349="Faixa 2","Cotação (≥3 propostas)","Chamada pública")))</f>
        <v/>
      </c>
      <c r="I349" s="11"/>
      <c r="J349" s="17" t="str">
        <f aca="false">IF(I349="","",IFERROR(INDEX(Cadastro!$B$5:$B$304,MATCH(I349,Cadastro!$A$5:$A$304,0)),"ID não encontrado"))</f>
        <v/>
      </c>
      <c r="K349" s="17" t="str">
        <f aca="false">IF(I349="","",IFERROR(INDEX(Cadastro!$E$5:$E$304,MATCH(I349,Cadastro!$A$5:$A$304,0)),""))</f>
        <v/>
      </c>
      <c r="L349" s="17" t="str">
        <f aca="false">IF(I349="","",IFERROR(INDEX(Cadastro!$F$5:$F$304,MATCH(I349,Cadastro!$A$5:$A$304,0)),""))</f>
        <v/>
      </c>
      <c r="M349" s="17" t="str">
        <f aca="false">IF(I349="","",IFERROR(INDEX(Cadastro!$I$5:$I$304,MATCH(I349,Cadastro!$A$5:$A$304,0)),""))</f>
        <v/>
      </c>
      <c r="N349" s="19"/>
      <c r="O349" s="13"/>
      <c r="P349" s="12" t="str">
        <f aca="false">IF(OR(B349="",O349=""),"",NETWORKDAYS(B349,O349)-1)</f>
        <v/>
      </c>
      <c r="Q349" s="13"/>
      <c r="R349" s="11"/>
      <c r="S349" s="13"/>
      <c r="T349" s="11"/>
      <c r="U349" s="11"/>
      <c r="V349" s="11"/>
      <c r="W349" s="11"/>
      <c r="X349" s="11"/>
    </row>
    <row r="350" customFormat="false" ht="15" hidden="false" customHeight="false" outlineLevel="0" collapsed="false">
      <c r="A350" s="11"/>
      <c r="B350" s="13"/>
      <c r="C350" s="11"/>
      <c r="D350" s="11"/>
      <c r="E350" s="11"/>
      <c r="F350" s="19"/>
      <c r="G350" s="12" t="str">
        <f aca="false">IF(F350="","",IF(F350&lt;=Parâmetros!$B$7,"Faixa 1",IF(F350&lt;=Parâmetros!$B$8,"Faixa 2","Faixa 3")))</f>
        <v/>
      </c>
      <c r="H350" s="12" t="str">
        <f aca="false">IF(G350="","",IF(G350="Faixa 1","Rodízio/Sorteio",IF(G350="Faixa 2","Cotação (≥3 propostas)","Chamada pública")))</f>
        <v/>
      </c>
      <c r="I350" s="11"/>
      <c r="J350" s="17" t="str">
        <f aca="false">IF(I350="","",IFERROR(INDEX(Cadastro!$B$5:$B$304,MATCH(I350,Cadastro!$A$5:$A$304,0)),"ID não encontrado"))</f>
        <v/>
      </c>
      <c r="K350" s="17" t="str">
        <f aca="false">IF(I350="","",IFERROR(INDEX(Cadastro!$E$5:$E$304,MATCH(I350,Cadastro!$A$5:$A$304,0)),""))</f>
        <v/>
      </c>
      <c r="L350" s="17" t="str">
        <f aca="false">IF(I350="","",IFERROR(INDEX(Cadastro!$F$5:$F$304,MATCH(I350,Cadastro!$A$5:$A$304,0)),""))</f>
        <v/>
      </c>
      <c r="M350" s="17" t="str">
        <f aca="false">IF(I350="","",IFERROR(INDEX(Cadastro!$I$5:$I$304,MATCH(I350,Cadastro!$A$5:$A$304,0)),""))</f>
        <v/>
      </c>
      <c r="N350" s="19"/>
      <c r="O350" s="13"/>
      <c r="P350" s="12" t="str">
        <f aca="false">IF(OR(B350="",O350=""),"",NETWORKDAYS(B350,O350)-1)</f>
        <v/>
      </c>
      <c r="Q350" s="13"/>
      <c r="R350" s="11"/>
      <c r="S350" s="13"/>
      <c r="T350" s="11"/>
      <c r="U350" s="11"/>
      <c r="V350" s="11"/>
      <c r="W350" s="11"/>
      <c r="X350" s="11"/>
    </row>
    <row r="351" customFormat="false" ht="15" hidden="false" customHeight="false" outlineLevel="0" collapsed="false">
      <c r="A351" s="11"/>
      <c r="B351" s="13"/>
      <c r="C351" s="11"/>
      <c r="D351" s="11"/>
      <c r="E351" s="11"/>
      <c r="F351" s="19"/>
      <c r="G351" s="12" t="str">
        <f aca="false">IF(F351="","",IF(F351&lt;=Parâmetros!$B$7,"Faixa 1",IF(F351&lt;=Parâmetros!$B$8,"Faixa 2","Faixa 3")))</f>
        <v/>
      </c>
      <c r="H351" s="12" t="str">
        <f aca="false">IF(G351="","",IF(G351="Faixa 1","Rodízio/Sorteio",IF(G351="Faixa 2","Cotação (≥3 propostas)","Chamada pública")))</f>
        <v/>
      </c>
      <c r="I351" s="11"/>
      <c r="J351" s="17" t="str">
        <f aca="false">IF(I351="","",IFERROR(INDEX(Cadastro!$B$5:$B$304,MATCH(I351,Cadastro!$A$5:$A$304,0)),"ID não encontrado"))</f>
        <v/>
      </c>
      <c r="K351" s="17" t="str">
        <f aca="false">IF(I351="","",IFERROR(INDEX(Cadastro!$E$5:$E$304,MATCH(I351,Cadastro!$A$5:$A$304,0)),""))</f>
        <v/>
      </c>
      <c r="L351" s="17" t="str">
        <f aca="false">IF(I351="","",IFERROR(INDEX(Cadastro!$F$5:$F$304,MATCH(I351,Cadastro!$A$5:$A$304,0)),""))</f>
        <v/>
      </c>
      <c r="M351" s="17" t="str">
        <f aca="false">IF(I351="","",IFERROR(INDEX(Cadastro!$I$5:$I$304,MATCH(I351,Cadastro!$A$5:$A$304,0)),""))</f>
        <v/>
      </c>
      <c r="N351" s="19"/>
      <c r="O351" s="13"/>
      <c r="P351" s="12" t="str">
        <f aca="false">IF(OR(B351="",O351=""),"",NETWORKDAYS(B351,O351)-1)</f>
        <v/>
      </c>
      <c r="Q351" s="13"/>
      <c r="R351" s="11"/>
      <c r="S351" s="13"/>
      <c r="T351" s="11"/>
      <c r="U351" s="11"/>
      <c r="V351" s="11"/>
      <c r="W351" s="11"/>
      <c r="X351" s="11"/>
    </row>
    <row r="352" customFormat="false" ht="15" hidden="false" customHeight="false" outlineLevel="0" collapsed="false">
      <c r="A352" s="11"/>
      <c r="B352" s="13"/>
      <c r="C352" s="11"/>
      <c r="D352" s="11"/>
      <c r="E352" s="11"/>
      <c r="F352" s="19"/>
      <c r="G352" s="12" t="str">
        <f aca="false">IF(F352="","",IF(F352&lt;=Parâmetros!$B$7,"Faixa 1",IF(F352&lt;=Parâmetros!$B$8,"Faixa 2","Faixa 3")))</f>
        <v/>
      </c>
      <c r="H352" s="12" t="str">
        <f aca="false">IF(G352="","",IF(G352="Faixa 1","Rodízio/Sorteio",IF(G352="Faixa 2","Cotação (≥3 propostas)","Chamada pública")))</f>
        <v/>
      </c>
      <c r="I352" s="11"/>
      <c r="J352" s="17" t="str">
        <f aca="false">IF(I352="","",IFERROR(INDEX(Cadastro!$B$5:$B$304,MATCH(I352,Cadastro!$A$5:$A$304,0)),"ID não encontrado"))</f>
        <v/>
      </c>
      <c r="K352" s="17" t="str">
        <f aca="false">IF(I352="","",IFERROR(INDEX(Cadastro!$E$5:$E$304,MATCH(I352,Cadastro!$A$5:$A$304,0)),""))</f>
        <v/>
      </c>
      <c r="L352" s="17" t="str">
        <f aca="false">IF(I352="","",IFERROR(INDEX(Cadastro!$F$5:$F$304,MATCH(I352,Cadastro!$A$5:$A$304,0)),""))</f>
        <v/>
      </c>
      <c r="M352" s="17" t="str">
        <f aca="false">IF(I352="","",IFERROR(INDEX(Cadastro!$I$5:$I$304,MATCH(I352,Cadastro!$A$5:$A$304,0)),""))</f>
        <v/>
      </c>
      <c r="N352" s="19"/>
      <c r="O352" s="13"/>
      <c r="P352" s="12" t="str">
        <f aca="false">IF(OR(B352="",O352=""),"",NETWORKDAYS(B352,O352)-1)</f>
        <v/>
      </c>
      <c r="Q352" s="13"/>
      <c r="R352" s="11"/>
      <c r="S352" s="13"/>
      <c r="T352" s="11"/>
      <c r="U352" s="11"/>
      <c r="V352" s="11"/>
      <c r="W352" s="11"/>
      <c r="X352" s="11"/>
    </row>
    <row r="353" customFormat="false" ht="15" hidden="false" customHeight="false" outlineLevel="0" collapsed="false">
      <c r="A353" s="11"/>
      <c r="B353" s="13"/>
      <c r="C353" s="11"/>
      <c r="D353" s="11"/>
      <c r="E353" s="11"/>
      <c r="F353" s="19"/>
      <c r="G353" s="12" t="str">
        <f aca="false">IF(F353="","",IF(F353&lt;=Parâmetros!$B$7,"Faixa 1",IF(F353&lt;=Parâmetros!$B$8,"Faixa 2","Faixa 3")))</f>
        <v/>
      </c>
      <c r="H353" s="12" t="str">
        <f aca="false">IF(G353="","",IF(G353="Faixa 1","Rodízio/Sorteio",IF(G353="Faixa 2","Cotação (≥3 propostas)","Chamada pública")))</f>
        <v/>
      </c>
      <c r="I353" s="11"/>
      <c r="J353" s="17" t="str">
        <f aca="false">IF(I353="","",IFERROR(INDEX(Cadastro!$B$5:$B$304,MATCH(I353,Cadastro!$A$5:$A$304,0)),"ID não encontrado"))</f>
        <v/>
      </c>
      <c r="K353" s="17" t="str">
        <f aca="false">IF(I353="","",IFERROR(INDEX(Cadastro!$E$5:$E$304,MATCH(I353,Cadastro!$A$5:$A$304,0)),""))</f>
        <v/>
      </c>
      <c r="L353" s="17" t="str">
        <f aca="false">IF(I353="","",IFERROR(INDEX(Cadastro!$F$5:$F$304,MATCH(I353,Cadastro!$A$5:$A$304,0)),""))</f>
        <v/>
      </c>
      <c r="M353" s="17" t="str">
        <f aca="false">IF(I353="","",IFERROR(INDEX(Cadastro!$I$5:$I$304,MATCH(I353,Cadastro!$A$5:$A$304,0)),""))</f>
        <v/>
      </c>
      <c r="N353" s="19"/>
      <c r="O353" s="13"/>
      <c r="P353" s="12" t="str">
        <f aca="false">IF(OR(B353="",O353=""),"",NETWORKDAYS(B353,O353)-1)</f>
        <v/>
      </c>
      <c r="Q353" s="13"/>
      <c r="R353" s="11"/>
      <c r="S353" s="13"/>
      <c r="T353" s="11"/>
      <c r="U353" s="11"/>
      <c r="V353" s="11"/>
      <c r="W353" s="11"/>
      <c r="X353" s="11"/>
    </row>
    <row r="354" customFormat="false" ht="15" hidden="false" customHeight="false" outlineLevel="0" collapsed="false">
      <c r="A354" s="11"/>
      <c r="B354" s="13"/>
      <c r="C354" s="11"/>
      <c r="D354" s="11"/>
      <c r="E354" s="11"/>
      <c r="F354" s="19"/>
      <c r="G354" s="12" t="str">
        <f aca="false">IF(F354="","",IF(F354&lt;=Parâmetros!$B$7,"Faixa 1",IF(F354&lt;=Parâmetros!$B$8,"Faixa 2","Faixa 3")))</f>
        <v/>
      </c>
      <c r="H354" s="12" t="str">
        <f aca="false">IF(G354="","",IF(G354="Faixa 1","Rodízio/Sorteio",IF(G354="Faixa 2","Cotação (≥3 propostas)","Chamada pública")))</f>
        <v/>
      </c>
      <c r="I354" s="11"/>
      <c r="J354" s="17" t="str">
        <f aca="false">IF(I354="","",IFERROR(INDEX(Cadastro!$B$5:$B$304,MATCH(I354,Cadastro!$A$5:$A$304,0)),"ID não encontrado"))</f>
        <v/>
      </c>
      <c r="K354" s="17" t="str">
        <f aca="false">IF(I354="","",IFERROR(INDEX(Cadastro!$E$5:$E$304,MATCH(I354,Cadastro!$A$5:$A$304,0)),""))</f>
        <v/>
      </c>
      <c r="L354" s="17" t="str">
        <f aca="false">IF(I354="","",IFERROR(INDEX(Cadastro!$F$5:$F$304,MATCH(I354,Cadastro!$A$5:$A$304,0)),""))</f>
        <v/>
      </c>
      <c r="M354" s="17" t="str">
        <f aca="false">IF(I354="","",IFERROR(INDEX(Cadastro!$I$5:$I$304,MATCH(I354,Cadastro!$A$5:$A$304,0)),""))</f>
        <v/>
      </c>
      <c r="N354" s="19"/>
      <c r="O354" s="13"/>
      <c r="P354" s="12" t="str">
        <f aca="false">IF(OR(B354="",O354=""),"",NETWORKDAYS(B354,O354)-1)</f>
        <v/>
      </c>
      <c r="Q354" s="13"/>
      <c r="R354" s="11"/>
      <c r="S354" s="13"/>
      <c r="T354" s="11"/>
      <c r="U354" s="11"/>
      <c r="V354" s="11"/>
      <c r="W354" s="11"/>
      <c r="X354" s="11"/>
    </row>
    <row r="355" customFormat="false" ht="15" hidden="false" customHeight="false" outlineLevel="0" collapsed="false">
      <c r="A355" s="11"/>
      <c r="B355" s="13"/>
      <c r="C355" s="11"/>
      <c r="D355" s="11"/>
      <c r="E355" s="11"/>
      <c r="F355" s="19"/>
      <c r="G355" s="12" t="str">
        <f aca="false">IF(F355="","",IF(F355&lt;=Parâmetros!$B$7,"Faixa 1",IF(F355&lt;=Parâmetros!$B$8,"Faixa 2","Faixa 3")))</f>
        <v/>
      </c>
      <c r="H355" s="12" t="str">
        <f aca="false">IF(G355="","",IF(G355="Faixa 1","Rodízio/Sorteio",IF(G355="Faixa 2","Cotação (≥3 propostas)","Chamada pública")))</f>
        <v/>
      </c>
      <c r="I355" s="11"/>
      <c r="J355" s="17" t="str">
        <f aca="false">IF(I355="","",IFERROR(INDEX(Cadastro!$B$5:$B$304,MATCH(I355,Cadastro!$A$5:$A$304,0)),"ID não encontrado"))</f>
        <v/>
      </c>
      <c r="K355" s="17" t="str">
        <f aca="false">IF(I355="","",IFERROR(INDEX(Cadastro!$E$5:$E$304,MATCH(I355,Cadastro!$A$5:$A$304,0)),""))</f>
        <v/>
      </c>
      <c r="L355" s="17" t="str">
        <f aca="false">IF(I355="","",IFERROR(INDEX(Cadastro!$F$5:$F$304,MATCH(I355,Cadastro!$A$5:$A$304,0)),""))</f>
        <v/>
      </c>
      <c r="M355" s="17" t="str">
        <f aca="false">IF(I355="","",IFERROR(INDEX(Cadastro!$I$5:$I$304,MATCH(I355,Cadastro!$A$5:$A$304,0)),""))</f>
        <v/>
      </c>
      <c r="N355" s="19"/>
      <c r="O355" s="13"/>
      <c r="P355" s="12" t="str">
        <f aca="false">IF(OR(B355="",O355=""),"",NETWORKDAYS(B355,O355)-1)</f>
        <v/>
      </c>
      <c r="Q355" s="13"/>
      <c r="R355" s="11"/>
      <c r="S355" s="13"/>
      <c r="T355" s="11"/>
      <c r="U355" s="11"/>
      <c r="V355" s="11"/>
      <c r="W355" s="11"/>
      <c r="X355" s="11"/>
    </row>
    <row r="356" customFormat="false" ht="15" hidden="false" customHeight="false" outlineLevel="0" collapsed="false">
      <c r="A356" s="11"/>
      <c r="B356" s="13"/>
      <c r="C356" s="11"/>
      <c r="D356" s="11"/>
      <c r="E356" s="11"/>
      <c r="F356" s="19"/>
      <c r="G356" s="12" t="str">
        <f aca="false">IF(F356="","",IF(F356&lt;=Parâmetros!$B$7,"Faixa 1",IF(F356&lt;=Parâmetros!$B$8,"Faixa 2","Faixa 3")))</f>
        <v/>
      </c>
      <c r="H356" s="12" t="str">
        <f aca="false">IF(G356="","",IF(G356="Faixa 1","Rodízio/Sorteio",IF(G356="Faixa 2","Cotação (≥3 propostas)","Chamada pública")))</f>
        <v/>
      </c>
      <c r="I356" s="11"/>
      <c r="J356" s="17" t="str">
        <f aca="false">IF(I356="","",IFERROR(INDEX(Cadastro!$B$5:$B$304,MATCH(I356,Cadastro!$A$5:$A$304,0)),"ID não encontrado"))</f>
        <v/>
      </c>
      <c r="K356" s="17" t="str">
        <f aca="false">IF(I356="","",IFERROR(INDEX(Cadastro!$E$5:$E$304,MATCH(I356,Cadastro!$A$5:$A$304,0)),""))</f>
        <v/>
      </c>
      <c r="L356" s="17" t="str">
        <f aca="false">IF(I356="","",IFERROR(INDEX(Cadastro!$F$5:$F$304,MATCH(I356,Cadastro!$A$5:$A$304,0)),""))</f>
        <v/>
      </c>
      <c r="M356" s="17" t="str">
        <f aca="false">IF(I356="","",IFERROR(INDEX(Cadastro!$I$5:$I$304,MATCH(I356,Cadastro!$A$5:$A$304,0)),""))</f>
        <v/>
      </c>
      <c r="N356" s="19"/>
      <c r="O356" s="13"/>
      <c r="P356" s="12" t="str">
        <f aca="false">IF(OR(B356="",O356=""),"",NETWORKDAYS(B356,O356)-1)</f>
        <v/>
      </c>
      <c r="Q356" s="13"/>
      <c r="R356" s="11"/>
      <c r="S356" s="13"/>
      <c r="T356" s="11"/>
      <c r="U356" s="11"/>
      <c r="V356" s="11"/>
      <c r="W356" s="11"/>
      <c r="X356" s="11"/>
    </row>
    <row r="357" customFormat="false" ht="15" hidden="false" customHeight="false" outlineLevel="0" collapsed="false">
      <c r="A357" s="11"/>
      <c r="B357" s="13"/>
      <c r="C357" s="11"/>
      <c r="D357" s="11"/>
      <c r="E357" s="11"/>
      <c r="F357" s="19"/>
      <c r="G357" s="12" t="str">
        <f aca="false">IF(F357="","",IF(F357&lt;=Parâmetros!$B$7,"Faixa 1",IF(F357&lt;=Parâmetros!$B$8,"Faixa 2","Faixa 3")))</f>
        <v/>
      </c>
      <c r="H357" s="12" t="str">
        <f aca="false">IF(G357="","",IF(G357="Faixa 1","Rodízio/Sorteio",IF(G357="Faixa 2","Cotação (≥3 propostas)","Chamada pública")))</f>
        <v/>
      </c>
      <c r="I357" s="11"/>
      <c r="J357" s="17" t="str">
        <f aca="false">IF(I357="","",IFERROR(INDEX(Cadastro!$B$5:$B$304,MATCH(I357,Cadastro!$A$5:$A$304,0)),"ID não encontrado"))</f>
        <v/>
      </c>
      <c r="K357" s="17" t="str">
        <f aca="false">IF(I357="","",IFERROR(INDEX(Cadastro!$E$5:$E$304,MATCH(I357,Cadastro!$A$5:$A$304,0)),""))</f>
        <v/>
      </c>
      <c r="L357" s="17" t="str">
        <f aca="false">IF(I357="","",IFERROR(INDEX(Cadastro!$F$5:$F$304,MATCH(I357,Cadastro!$A$5:$A$304,0)),""))</f>
        <v/>
      </c>
      <c r="M357" s="17" t="str">
        <f aca="false">IF(I357="","",IFERROR(INDEX(Cadastro!$I$5:$I$304,MATCH(I357,Cadastro!$A$5:$A$304,0)),""))</f>
        <v/>
      </c>
      <c r="N357" s="19"/>
      <c r="O357" s="13"/>
      <c r="P357" s="12" t="str">
        <f aca="false">IF(OR(B357="",O357=""),"",NETWORKDAYS(B357,O357)-1)</f>
        <v/>
      </c>
      <c r="Q357" s="13"/>
      <c r="R357" s="11"/>
      <c r="S357" s="13"/>
      <c r="T357" s="11"/>
      <c r="U357" s="11"/>
      <c r="V357" s="11"/>
      <c r="W357" s="11"/>
      <c r="X357" s="11"/>
    </row>
    <row r="358" customFormat="false" ht="15" hidden="false" customHeight="false" outlineLevel="0" collapsed="false">
      <c r="A358" s="11"/>
      <c r="B358" s="13"/>
      <c r="C358" s="11"/>
      <c r="D358" s="11"/>
      <c r="E358" s="11"/>
      <c r="F358" s="19"/>
      <c r="G358" s="12" t="str">
        <f aca="false">IF(F358="","",IF(F358&lt;=Parâmetros!$B$7,"Faixa 1",IF(F358&lt;=Parâmetros!$B$8,"Faixa 2","Faixa 3")))</f>
        <v/>
      </c>
      <c r="H358" s="12" t="str">
        <f aca="false">IF(G358="","",IF(G358="Faixa 1","Rodízio/Sorteio",IF(G358="Faixa 2","Cotação (≥3 propostas)","Chamada pública")))</f>
        <v/>
      </c>
      <c r="I358" s="11"/>
      <c r="J358" s="17" t="str">
        <f aca="false">IF(I358="","",IFERROR(INDEX(Cadastro!$B$5:$B$304,MATCH(I358,Cadastro!$A$5:$A$304,0)),"ID não encontrado"))</f>
        <v/>
      </c>
      <c r="K358" s="17" t="str">
        <f aca="false">IF(I358="","",IFERROR(INDEX(Cadastro!$E$5:$E$304,MATCH(I358,Cadastro!$A$5:$A$304,0)),""))</f>
        <v/>
      </c>
      <c r="L358" s="17" t="str">
        <f aca="false">IF(I358="","",IFERROR(INDEX(Cadastro!$F$5:$F$304,MATCH(I358,Cadastro!$A$5:$A$304,0)),""))</f>
        <v/>
      </c>
      <c r="M358" s="17" t="str">
        <f aca="false">IF(I358="","",IFERROR(INDEX(Cadastro!$I$5:$I$304,MATCH(I358,Cadastro!$A$5:$A$304,0)),""))</f>
        <v/>
      </c>
      <c r="N358" s="19"/>
      <c r="O358" s="13"/>
      <c r="P358" s="12" t="str">
        <f aca="false">IF(OR(B358="",O358=""),"",NETWORKDAYS(B358,O358)-1)</f>
        <v/>
      </c>
      <c r="Q358" s="13"/>
      <c r="R358" s="11"/>
      <c r="S358" s="13"/>
      <c r="T358" s="11"/>
      <c r="U358" s="11"/>
      <c r="V358" s="11"/>
      <c r="W358" s="11"/>
      <c r="X358" s="11"/>
    </row>
    <row r="359" customFormat="false" ht="15" hidden="false" customHeight="false" outlineLevel="0" collapsed="false">
      <c r="A359" s="11"/>
      <c r="B359" s="13"/>
      <c r="C359" s="11"/>
      <c r="D359" s="11"/>
      <c r="E359" s="11"/>
      <c r="F359" s="19"/>
      <c r="G359" s="12" t="str">
        <f aca="false">IF(F359="","",IF(F359&lt;=Parâmetros!$B$7,"Faixa 1",IF(F359&lt;=Parâmetros!$B$8,"Faixa 2","Faixa 3")))</f>
        <v/>
      </c>
      <c r="H359" s="12" t="str">
        <f aca="false">IF(G359="","",IF(G359="Faixa 1","Rodízio/Sorteio",IF(G359="Faixa 2","Cotação (≥3 propostas)","Chamada pública")))</f>
        <v/>
      </c>
      <c r="I359" s="11"/>
      <c r="J359" s="17" t="str">
        <f aca="false">IF(I359="","",IFERROR(INDEX(Cadastro!$B$5:$B$304,MATCH(I359,Cadastro!$A$5:$A$304,0)),"ID não encontrado"))</f>
        <v/>
      </c>
      <c r="K359" s="17" t="str">
        <f aca="false">IF(I359="","",IFERROR(INDEX(Cadastro!$E$5:$E$304,MATCH(I359,Cadastro!$A$5:$A$304,0)),""))</f>
        <v/>
      </c>
      <c r="L359" s="17" t="str">
        <f aca="false">IF(I359="","",IFERROR(INDEX(Cadastro!$F$5:$F$304,MATCH(I359,Cadastro!$A$5:$A$304,0)),""))</f>
        <v/>
      </c>
      <c r="M359" s="17" t="str">
        <f aca="false">IF(I359="","",IFERROR(INDEX(Cadastro!$I$5:$I$304,MATCH(I359,Cadastro!$A$5:$A$304,0)),""))</f>
        <v/>
      </c>
      <c r="N359" s="19"/>
      <c r="O359" s="13"/>
      <c r="P359" s="12" t="str">
        <f aca="false">IF(OR(B359="",O359=""),"",NETWORKDAYS(B359,O359)-1)</f>
        <v/>
      </c>
      <c r="Q359" s="13"/>
      <c r="R359" s="11"/>
      <c r="S359" s="13"/>
      <c r="T359" s="11"/>
      <c r="U359" s="11"/>
      <c r="V359" s="11"/>
      <c r="W359" s="11"/>
      <c r="X359" s="11"/>
    </row>
    <row r="360" customFormat="false" ht="15" hidden="false" customHeight="false" outlineLevel="0" collapsed="false">
      <c r="A360" s="11"/>
      <c r="B360" s="13"/>
      <c r="C360" s="11"/>
      <c r="D360" s="11"/>
      <c r="E360" s="11"/>
      <c r="F360" s="19"/>
      <c r="G360" s="12" t="str">
        <f aca="false">IF(F360="","",IF(F360&lt;=Parâmetros!$B$7,"Faixa 1",IF(F360&lt;=Parâmetros!$B$8,"Faixa 2","Faixa 3")))</f>
        <v/>
      </c>
      <c r="H360" s="12" t="str">
        <f aca="false">IF(G360="","",IF(G360="Faixa 1","Rodízio/Sorteio",IF(G360="Faixa 2","Cotação (≥3 propostas)","Chamada pública")))</f>
        <v/>
      </c>
      <c r="I360" s="11"/>
      <c r="J360" s="17" t="str">
        <f aca="false">IF(I360="","",IFERROR(INDEX(Cadastro!$B$5:$B$304,MATCH(I360,Cadastro!$A$5:$A$304,0)),"ID não encontrado"))</f>
        <v/>
      </c>
      <c r="K360" s="17" t="str">
        <f aca="false">IF(I360="","",IFERROR(INDEX(Cadastro!$E$5:$E$304,MATCH(I360,Cadastro!$A$5:$A$304,0)),""))</f>
        <v/>
      </c>
      <c r="L360" s="17" t="str">
        <f aca="false">IF(I360="","",IFERROR(INDEX(Cadastro!$F$5:$F$304,MATCH(I360,Cadastro!$A$5:$A$304,0)),""))</f>
        <v/>
      </c>
      <c r="M360" s="17" t="str">
        <f aca="false">IF(I360="","",IFERROR(INDEX(Cadastro!$I$5:$I$304,MATCH(I360,Cadastro!$A$5:$A$304,0)),""))</f>
        <v/>
      </c>
      <c r="N360" s="19"/>
      <c r="O360" s="13"/>
      <c r="P360" s="12" t="str">
        <f aca="false">IF(OR(B360="",O360=""),"",NETWORKDAYS(B360,O360)-1)</f>
        <v/>
      </c>
      <c r="Q360" s="13"/>
      <c r="R360" s="11"/>
      <c r="S360" s="13"/>
      <c r="T360" s="11"/>
      <c r="U360" s="11"/>
      <c r="V360" s="11"/>
      <c r="W360" s="11"/>
      <c r="X360" s="11"/>
    </row>
    <row r="361" customFormat="false" ht="15" hidden="false" customHeight="false" outlineLevel="0" collapsed="false">
      <c r="A361" s="11"/>
      <c r="B361" s="13"/>
      <c r="C361" s="11"/>
      <c r="D361" s="11"/>
      <c r="E361" s="11"/>
      <c r="F361" s="19"/>
      <c r="G361" s="12" t="str">
        <f aca="false">IF(F361="","",IF(F361&lt;=Parâmetros!$B$7,"Faixa 1",IF(F361&lt;=Parâmetros!$B$8,"Faixa 2","Faixa 3")))</f>
        <v/>
      </c>
      <c r="H361" s="12" t="str">
        <f aca="false">IF(G361="","",IF(G361="Faixa 1","Rodízio/Sorteio",IF(G361="Faixa 2","Cotação (≥3 propostas)","Chamada pública")))</f>
        <v/>
      </c>
      <c r="I361" s="11"/>
      <c r="J361" s="17" t="str">
        <f aca="false">IF(I361="","",IFERROR(INDEX(Cadastro!$B$5:$B$304,MATCH(I361,Cadastro!$A$5:$A$304,0)),"ID não encontrado"))</f>
        <v/>
      </c>
      <c r="K361" s="17" t="str">
        <f aca="false">IF(I361="","",IFERROR(INDEX(Cadastro!$E$5:$E$304,MATCH(I361,Cadastro!$A$5:$A$304,0)),""))</f>
        <v/>
      </c>
      <c r="L361" s="17" t="str">
        <f aca="false">IF(I361="","",IFERROR(INDEX(Cadastro!$F$5:$F$304,MATCH(I361,Cadastro!$A$5:$A$304,0)),""))</f>
        <v/>
      </c>
      <c r="M361" s="17" t="str">
        <f aca="false">IF(I361="","",IFERROR(INDEX(Cadastro!$I$5:$I$304,MATCH(I361,Cadastro!$A$5:$A$304,0)),""))</f>
        <v/>
      </c>
      <c r="N361" s="19"/>
      <c r="O361" s="13"/>
      <c r="P361" s="12" t="str">
        <f aca="false">IF(OR(B361="",O361=""),"",NETWORKDAYS(B361,O361)-1)</f>
        <v/>
      </c>
      <c r="Q361" s="13"/>
      <c r="R361" s="11"/>
      <c r="S361" s="13"/>
      <c r="T361" s="11"/>
      <c r="U361" s="11"/>
      <c r="V361" s="11"/>
      <c r="W361" s="11"/>
      <c r="X361" s="11"/>
    </row>
    <row r="362" customFormat="false" ht="15" hidden="false" customHeight="false" outlineLevel="0" collapsed="false">
      <c r="A362" s="11"/>
      <c r="B362" s="13"/>
      <c r="C362" s="11"/>
      <c r="D362" s="11"/>
      <c r="E362" s="11"/>
      <c r="F362" s="19"/>
      <c r="G362" s="12" t="str">
        <f aca="false">IF(F362="","",IF(F362&lt;=Parâmetros!$B$7,"Faixa 1",IF(F362&lt;=Parâmetros!$B$8,"Faixa 2","Faixa 3")))</f>
        <v/>
      </c>
      <c r="H362" s="12" t="str">
        <f aca="false">IF(G362="","",IF(G362="Faixa 1","Rodízio/Sorteio",IF(G362="Faixa 2","Cotação (≥3 propostas)","Chamada pública")))</f>
        <v/>
      </c>
      <c r="I362" s="11"/>
      <c r="J362" s="17" t="str">
        <f aca="false">IF(I362="","",IFERROR(INDEX(Cadastro!$B$5:$B$304,MATCH(I362,Cadastro!$A$5:$A$304,0)),"ID não encontrado"))</f>
        <v/>
      </c>
      <c r="K362" s="17" t="str">
        <f aca="false">IF(I362="","",IFERROR(INDEX(Cadastro!$E$5:$E$304,MATCH(I362,Cadastro!$A$5:$A$304,0)),""))</f>
        <v/>
      </c>
      <c r="L362" s="17" t="str">
        <f aca="false">IF(I362="","",IFERROR(INDEX(Cadastro!$F$5:$F$304,MATCH(I362,Cadastro!$A$5:$A$304,0)),""))</f>
        <v/>
      </c>
      <c r="M362" s="17" t="str">
        <f aca="false">IF(I362="","",IFERROR(INDEX(Cadastro!$I$5:$I$304,MATCH(I362,Cadastro!$A$5:$A$304,0)),""))</f>
        <v/>
      </c>
      <c r="N362" s="19"/>
      <c r="O362" s="13"/>
      <c r="P362" s="12" t="str">
        <f aca="false">IF(OR(B362="",O362=""),"",NETWORKDAYS(B362,O362)-1)</f>
        <v/>
      </c>
      <c r="Q362" s="13"/>
      <c r="R362" s="11"/>
      <c r="S362" s="13"/>
      <c r="T362" s="11"/>
      <c r="U362" s="11"/>
      <c r="V362" s="11"/>
      <c r="W362" s="11"/>
      <c r="X362" s="11"/>
    </row>
    <row r="363" customFormat="false" ht="15" hidden="false" customHeight="false" outlineLevel="0" collapsed="false">
      <c r="A363" s="11"/>
      <c r="B363" s="13"/>
      <c r="C363" s="11"/>
      <c r="D363" s="11"/>
      <c r="E363" s="11"/>
      <c r="F363" s="19"/>
      <c r="G363" s="12" t="str">
        <f aca="false">IF(F363="","",IF(F363&lt;=Parâmetros!$B$7,"Faixa 1",IF(F363&lt;=Parâmetros!$B$8,"Faixa 2","Faixa 3")))</f>
        <v/>
      </c>
      <c r="H363" s="12" t="str">
        <f aca="false">IF(G363="","",IF(G363="Faixa 1","Rodízio/Sorteio",IF(G363="Faixa 2","Cotação (≥3 propostas)","Chamada pública")))</f>
        <v/>
      </c>
      <c r="I363" s="11"/>
      <c r="J363" s="17" t="str">
        <f aca="false">IF(I363="","",IFERROR(INDEX(Cadastro!$B$5:$B$304,MATCH(I363,Cadastro!$A$5:$A$304,0)),"ID não encontrado"))</f>
        <v/>
      </c>
      <c r="K363" s="17" t="str">
        <f aca="false">IF(I363="","",IFERROR(INDEX(Cadastro!$E$5:$E$304,MATCH(I363,Cadastro!$A$5:$A$304,0)),""))</f>
        <v/>
      </c>
      <c r="L363" s="17" t="str">
        <f aca="false">IF(I363="","",IFERROR(INDEX(Cadastro!$F$5:$F$304,MATCH(I363,Cadastro!$A$5:$A$304,0)),""))</f>
        <v/>
      </c>
      <c r="M363" s="17" t="str">
        <f aca="false">IF(I363="","",IFERROR(INDEX(Cadastro!$I$5:$I$304,MATCH(I363,Cadastro!$A$5:$A$304,0)),""))</f>
        <v/>
      </c>
      <c r="N363" s="19"/>
      <c r="O363" s="13"/>
      <c r="P363" s="12" t="str">
        <f aca="false">IF(OR(B363="",O363=""),"",NETWORKDAYS(B363,O363)-1)</f>
        <v/>
      </c>
      <c r="Q363" s="13"/>
      <c r="R363" s="11"/>
      <c r="S363" s="13"/>
      <c r="T363" s="11"/>
      <c r="U363" s="11"/>
      <c r="V363" s="11"/>
      <c r="W363" s="11"/>
      <c r="X363" s="11"/>
    </row>
    <row r="364" customFormat="false" ht="15" hidden="false" customHeight="false" outlineLevel="0" collapsed="false">
      <c r="A364" s="11"/>
      <c r="B364" s="13"/>
      <c r="C364" s="11"/>
      <c r="D364" s="11"/>
      <c r="E364" s="11"/>
      <c r="F364" s="19"/>
      <c r="G364" s="12" t="str">
        <f aca="false">IF(F364="","",IF(F364&lt;=Parâmetros!$B$7,"Faixa 1",IF(F364&lt;=Parâmetros!$B$8,"Faixa 2","Faixa 3")))</f>
        <v/>
      </c>
      <c r="H364" s="12" t="str">
        <f aca="false">IF(G364="","",IF(G364="Faixa 1","Rodízio/Sorteio",IF(G364="Faixa 2","Cotação (≥3 propostas)","Chamada pública")))</f>
        <v/>
      </c>
      <c r="I364" s="11"/>
      <c r="J364" s="17" t="str">
        <f aca="false">IF(I364="","",IFERROR(INDEX(Cadastro!$B$5:$B$304,MATCH(I364,Cadastro!$A$5:$A$304,0)),"ID não encontrado"))</f>
        <v/>
      </c>
      <c r="K364" s="17" t="str">
        <f aca="false">IF(I364="","",IFERROR(INDEX(Cadastro!$E$5:$E$304,MATCH(I364,Cadastro!$A$5:$A$304,0)),""))</f>
        <v/>
      </c>
      <c r="L364" s="17" t="str">
        <f aca="false">IF(I364="","",IFERROR(INDEX(Cadastro!$F$5:$F$304,MATCH(I364,Cadastro!$A$5:$A$304,0)),""))</f>
        <v/>
      </c>
      <c r="M364" s="17" t="str">
        <f aca="false">IF(I364="","",IFERROR(INDEX(Cadastro!$I$5:$I$304,MATCH(I364,Cadastro!$A$5:$A$304,0)),""))</f>
        <v/>
      </c>
      <c r="N364" s="19"/>
      <c r="O364" s="13"/>
      <c r="P364" s="12" t="str">
        <f aca="false">IF(OR(B364="",O364=""),"",NETWORKDAYS(B364,O364)-1)</f>
        <v/>
      </c>
      <c r="Q364" s="13"/>
      <c r="R364" s="11"/>
      <c r="S364" s="13"/>
      <c r="T364" s="11"/>
      <c r="U364" s="11"/>
      <c r="V364" s="11"/>
      <c r="W364" s="11"/>
      <c r="X364" s="11"/>
    </row>
    <row r="365" customFormat="false" ht="15" hidden="false" customHeight="false" outlineLevel="0" collapsed="false">
      <c r="A365" s="11"/>
      <c r="B365" s="13"/>
      <c r="C365" s="11"/>
      <c r="D365" s="11"/>
      <c r="E365" s="11"/>
      <c r="F365" s="19"/>
      <c r="G365" s="12" t="str">
        <f aca="false">IF(F365="","",IF(F365&lt;=Parâmetros!$B$7,"Faixa 1",IF(F365&lt;=Parâmetros!$B$8,"Faixa 2","Faixa 3")))</f>
        <v/>
      </c>
      <c r="H365" s="12" t="str">
        <f aca="false">IF(G365="","",IF(G365="Faixa 1","Rodízio/Sorteio",IF(G365="Faixa 2","Cotação (≥3 propostas)","Chamada pública")))</f>
        <v/>
      </c>
      <c r="I365" s="11"/>
      <c r="J365" s="17" t="str">
        <f aca="false">IF(I365="","",IFERROR(INDEX(Cadastro!$B$5:$B$304,MATCH(I365,Cadastro!$A$5:$A$304,0)),"ID não encontrado"))</f>
        <v/>
      </c>
      <c r="K365" s="17" t="str">
        <f aca="false">IF(I365="","",IFERROR(INDEX(Cadastro!$E$5:$E$304,MATCH(I365,Cadastro!$A$5:$A$304,0)),""))</f>
        <v/>
      </c>
      <c r="L365" s="17" t="str">
        <f aca="false">IF(I365="","",IFERROR(INDEX(Cadastro!$F$5:$F$304,MATCH(I365,Cadastro!$A$5:$A$304,0)),""))</f>
        <v/>
      </c>
      <c r="M365" s="17" t="str">
        <f aca="false">IF(I365="","",IFERROR(INDEX(Cadastro!$I$5:$I$304,MATCH(I365,Cadastro!$A$5:$A$304,0)),""))</f>
        <v/>
      </c>
      <c r="N365" s="19"/>
      <c r="O365" s="13"/>
      <c r="P365" s="12" t="str">
        <f aca="false">IF(OR(B365="",O365=""),"",NETWORKDAYS(B365,O365)-1)</f>
        <v/>
      </c>
      <c r="Q365" s="13"/>
      <c r="R365" s="11"/>
      <c r="S365" s="13"/>
      <c r="T365" s="11"/>
      <c r="U365" s="11"/>
      <c r="V365" s="11"/>
      <c r="W365" s="11"/>
      <c r="X365" s="11"/>
    </row>
    <row r="366" customFormat="false" ht="15" hidden="false" customHeight="false" outlineLevel="0" collapsed="false">
      <c r="A366" s="11"/>
      <c r="B366" s="13"/>
      <c r="C366" s="11"/>
      <c r="D366" s="11"/>
      <c r="E366" s="11"/>
      <c r="F366" s="19"/>
      <c r="G366" s="12" t="str">
        <f aca="false">IF(F366="","",IF(F366&lt;=Parâmetros!$B$7,"Faixa 1",IF(F366&lt;=Parâmetros!$B$8,"Faixa 2","Faixa 3")))</f>
        <v/>
      </c>
      <c r="H366" s="12" t="str">
        <f aca="false">IF(G366="","",IF(G366="Faixa 1","Rodízio/Sorteio",IF(G366="Faixa 2","Cotação (≥3 propostas)","Chamada pública")))</f>
        <v/>
      </c>
      <c r="I366" s="11"/>
      <c r="J366" s="17" t="str">
        <f aca="false">IF(I366="","",IFERROR(INDEX(Cadastro!$B$5:$B$304,MATCH(I366,Cadastro!$A$5:$A$304,0)),"ID não encontrado"))</f>
        <v/>
      </c>
      <c r="K366" s="17" t="str">
        <f aca="false">IF(I366="","",IFERROR(INDEX(Cadastro!$E$5:$E$304,MATCH(I366,Cadastro!$A$5:$A$304,0)),""))</f>
        <v/>
      </c>
      <c r="L366" s="17" t="str">
        <f aca="false">IF(I366="","",IFERROR(INDEX(Cadastro!$F$5:$F$304,MATCH(I366,Cadastro!$A$5:$A$304,0)),""))</f>
        <v/>
      </c>
      <c r="M366" s="17" t="str">
        <f aca="false">IF(I366="","",IFERROR(INDEX(Cadastro!$I$5:$I$304,MATCH(I366,Cadastro!$A$5:$A$304,0)),""))</f>
        <v/>
      </c>
      <c r="N366" s="19"/>
      <c r="O366" s="13"/>
      <c r="P366" s="12" t="str">
        <f aca="false">IF(OR(B366="",O366=""),"",NETWORKDAYS(B366,O366)-1)</f>
        <v/>
      </c>
      <c r="Q366" s="13"/>
      <c r="R366" s="11"/>
      <c r="S366" s="13"/>
      <c r="T366" s="11"/>
      <c r="U366" s="11"/>
      <c r="V366" s="11"/>
      <c r="W366" s="11"/>
      <c r="X366" s="11"/>
    </row>
    <row r="367" customFormat="false" ht="15" hidden="false" customHeight="false" outlineLevel="0" collapsed="false">
      <c r="A367" s="11"/>
      <c r="B367" s="13"/>
      <c r="C367" s="11"/>
      <c r="D367" s="11"/>
      <c r="E367" s="11"/>
      <c r="F367" s="19"/>
      <c r="G367" s="12" t="str">
        <f aca="false">IF(F367="","",IF(F367&lt;=Parâmetros!$B$7,"Faixa 1",IF(F367&lt;=Parâmetros!$B$8,"Faixa 2","Faixa 3")))</f>
        <v/>
      </c>
      <c r="H367" s="12" t="str">
        <f aca="false">IF(G367="","",IF(G367="Faixa 1","Rodízio/Sorteio",IF(G367="Faixa 2","Cotação (≥3 propostas)","Chamada pública")))</f>
        <v/>
      </c>
      <c r="I367" s="11"/>
      <c r="J367" s="17" t="str">
        <f aca="false">IF(I367="","",IFERROR(INDEX(Cadastro!$B$5:$B$304,MATCH(I367,Cadastro!$A$5:$A$304,0)),"ID não encontrado"))</f>
        <v/>
      </c>
      <c r="K367" s="17" t="str">
        <f aca="false">IF(I367="","",IFERROR(INDEX(Cadastro!$E$5:$E$304,MATCH(I367,Cadastro!$A$5:$A$304,0)),""))</f>
        <v/>
      </c>
      <c r="L367" s="17" t="str">
        <f aca="false">IF(I367="","",IFERROR(INDEX(Cadastro!$F$5:$F$304,MATCH(I367,Cadastro!$A$5:$A$304,0)),""))</f>
        <v/>
      </c>
      <c r="M367" s="17" t="str">
        <f aca="false">IF(I367="","",IFERROR(INDEX(Cadastro!$I$5:$I$304,MATCH(I367,Cadastro!$A$5:$A$304,0)),""))</f>
        <v/>
      </c>
      <c r="N367" s="19"/>
      <c r="O367" s="13"/>
      <c r="P367" s="12" t="str">
        <f aca="false">IF(OR(B367="",O367=""),"",NETWORKDAYS(B367,O367)-1)</f>
        <v/>
      </c>
      <c r="Q367" s="13"/>
      <c r="R367" s="11"/>
      <c r="S367" s="13"/>
      <c r="T367" s="11"/>
      <c r="U367" s="11"/>
      <c r="V367" s="11"/>
      <c r="W367" s="11"/>
      <c r="X367" s="11"/>
    </row>
    <row r="368" customFormat="false" ht="15" hidden="false" customHeight="false" outlineLevel="0" collapsed="false">
      <c r="A368" s="11"/>
      <c r="B368" s="13"/>
      <c r="C368" s="11"/>
      <c r="D368" s="11"/>
      <c r="E368" s="11"/>
      <c r="F368" s="19"/>
      <c r="G368" s="12" t="str">
        <f aca="false">IF(F368="","",IF(F368&lt;=Parâmetros!$B$7,"Faixa 1",IF(F368&lt;=Parâmetros!$B$8,"Faixa 2","Faixa 3")))</f>
        <v/>
      </c>
      <c r="H368" s="12" t="str">
        <f aca="false">IF(G368="","",IF(G368="Faixa 1","Rodízio/Sorteio",IF(G368="Faixa 2","Cotação (≥3 propostas)","Chamada pública")))</f>
        <v/>
      </c>
      <c r="I368" s="11"/>
      <c r="J368" s="17" t="str">
        <f aca="false">IF(I368="","",IFERROR(INDEX(Cadastro!$B$5:$B$304,MATCH(I368,Cadastro!$A$5:$A$304,0)),"ID não encontrado"))</f>
        <v/>
      </c>
      <c r="K368" s="17" t="str">
        <f aca="false">IF(I368="","",IFERROR(INDEX(Cadastro!$E$5:$E$304,MATCH(I368,Cadastro!$A$5:$A$304,0)),""))</f>
        <v/>
      </c>
      <c r="L368" s="17" t="str">
        <f aca="false">IF(I368="","",IFERROR(INDEX(Cadastro!$F$5:$F$304,MATCH(I368,Cadastro!$A$5:$A$304,0)),""))</f>
        <v/>
      </c>
      <c r="M368" s="17" t="str">
        <f aca="false">IF(I368="","",IFERROR(INDEX(Cadastro!$I$5:$I$304,MATCH(I368,Cadastro!$A$5:$A$304,0)),""))</f>
        <v/>
      </c>
      <c r="N368" s="19"/>
      <c r="O368" s="13"/>
      <c r="P368" s="12" t="str">
        <f aca="false">IF(OR(B368="",O368=""),"",NETWORKDAYS(B368,O368)-1)</f>
        <v/>
      </c>
      <c r="Q368" s="13"/>
      <c r="R368" s="11"/>
      <c r="S368" s="13"/>
      <c r="T368" s="11"/>
      <c r="U368" s="11"/>
      <c r="V368" s="11"/>
      <c r="W368" s="11"/>
      <c r="X368" s="11"/>
    </row>
    <row r="369" customFormat="false" ht="15" hidden="false" customHeight="false" outlineLevel="0" collapsed="false">
      <c r="A369" s="11"/>
      <c r="B369" s="13"/>
      <c r="C369" s="11"/>
      <c r="D369" s="11"/>
      <c r="E369" s="11"/>
      <c r="F369" s="19"/>
      <c r="G369" s="12" t="str">
        <f aca="false">IF(F369="","",IF(F369&lt;=Parâmetros!$B$7,"Faixa 1",IF(F369&lt;=Parâmetros!$B$8,"Faixa 2","Faixa 3")))</f>
        <v/>
      </c>
      <c r="H369" s="12" t="str">
        <f aca="false">IF(G369="","",IF(G369="Faixa 1","Rodízio/Sorteio",IF(G369="Faixa 2","Cotação (≥3 propostas)","Chamada pública")))</f>
        <v/>
      </c>
      <c r="I369" s="11"/>
      <c r="J369" s="17" t="str">
        <f aca="false">IF(I369="","",IFERROR(INDEX(Cadastro!$B$5:$B$304,MATCH(I369,Cadastro!$A$5:$A$304,0)),"ID não encontrado"))</f>
        <v/>
      </c>
      <c r="K369" s="17" t="str">
        <f aca="false">IF(I369="","",IFERROR(INDEX(Cadastro!$E$5:$E$304,MATCH(I369,Cadastro!$A$5:$A$304,0)),""))</f>
        <v/>
      </c>
      <c r="L369" s="17" t="str">
        <f aca="false">IF(I369="","",IFERROR(INDEX(Cadastro!$F$5:$F$304,MATCH(I369,Cadastro!$A$5:$A$304,0)),""))</f>
        <v/>
      </c>
      <c r="M369" s="17" t="str">
        <f aca="false">IF(I369="","",IFERROR(INDEX(Cadastro!$I$5:$I$304,MATCH(I369,Cadastro!$A$5:$A$304,0)),""))</f>
        <v/>
      </c>
      <c r="N369" s="19"/>
      <c r="O369" s="13"/>
      <c r="P369" s="12" t="str">
        <f aca="false">IF(OR(B369="",O369=""),"",NETWORKDAYS(B369,O369)-1)</f>
        <v/>
      </c>
      <c r="Q369" s="13"/>
      <c r="R369" s="11"/>
      <c r="S369" s="13"/>
      <c r="T369" s="11"/>
      <c r="U369" s="11"/>
      <c r="V369" s="11"/>
      <c r="W369" s="11"/>
      <c r="X369" s="11"/>
    </row>
    <row r="370" customFormat="false" ht="15" hidden="false" customHeight="false" outlineLevel="0" collapsed="false">
      <c r="A370" s="11"/>
      <c r="B370" s="13"/>
      <c r="C370" s="11"/>
      <c r="D370" s="11"/>
      <c r="E370" s="11"/>
      <c r="F370" s="19"/>
      <c r="G370" s="12" t="str">
        <f aca="false">IF(F370="","",IF(F370&lt;=Parâmetros!$B$7,"Faixa 1",IF(F370&lt;=Parâmetros!$B$8,"Faixa 2","Faixa 3")))</f>
        <v/>
      </c>
      <c r="H370" s="12" t="str">
        <f aca="false">IF(G370="","",IF(G370="Faixa 1","Rodízio/Sorteio",IF(G370="Faixa 2","Cotação (≥3 propostas)","Chamada pública")))</f>
        <v/>
      </c>
      <c r="I370" s="11"/>
      <c r="J370" s="17" t="str">
        <f aca="false">IF(I370="","",IFERROR(INDEX(Cadastro!$B$5:$B$304,MATCH(I370,Cadastro!$A$5:$A$304,0)),"ID não encontrado"))</f>
        <v/>
      </c>
      <c r="K370" s="17" t="str">
        <f aca="false">IF(I370="","",IFERROR(INDEX(Cadastro!$E$5:$E$304,MATCH(I370,Cadastro!$A$5:$A$304,0)),""))</f>
        <v/>
      </c>
      <c r="L370" s="17" t="str">
        <f aca="false">IF(I370="","",IFERROR(INDEX(Cadastro!$F$5:$F$304,MATCH(I370,Cadastro!$A$5:$A$304,0)),""))</f>
        <v/>
      </c>
      <c r="M370" s="17" t="str">
        <f aca="false">IF(I370="","",IFERROR(INDEX(Cadastro!$I$5:$I$304,MATCH(I370,Cadastro!$A$5:$A$304,0)),""))</f>
        <v/>
      </c>
      <c r="N370" s="19"/>
      <c r="O370" s="13"/>
      <c r="P370" s="12" t="str">
        <f aca="false">IF(OR(B370="",O370=""),"",NETWORKDAYS(B370,O370)-1)</f>
        <v/>
      </c>
      <c r="Q370" s="13"/>
      <c r="R370" s="11"/>
      <c r="S370" s="13"/>
      <c r="T370" s="11"/>
      <c r="U370" s="11"/>
      <c r="V370" s="11"/>
      <c r="W370" s="11"/>
      <c r="X370" s="11"/>
    </row>
    <row r="371" customFormat="false" ht="15" hidden="false" customHeight="false" outlineLevel="0" collapsed="false">
      <c r="A371" s="11"/>
      <c r="B371" s="13"/>
      <c r="C371" s="11"/>
      <c r="D371" s="11"/>
      <c r="E371" s="11"/>
      <c r="F371" s="19"/>
      <c r="G371" s="12" t="str">
        <f aca="false">IF(F371="","",IF(F371&lt;=Parâmetros!$B$7,"Faixa 1",IF(F371&lt;=Parâmetros!$B$8,"Faixa 2","Faixa 3")))</f>
        <v/>
      </c>
      <c r="H371" s="12" t="str">
        <f aca="false">IF(G371="","",IF(G371="Faixa 1","Rodízio/Sorteio",IF(G371="Faixa 2","Cotação (≥3 propostas)","Chamada pública")))</f>
        <v/>
      </c>
      <c r="I371" s="11"/>
      <c r="J371" s="17" t="str">
        <f aca="false">IF(I371="","",IFERROR(INDEX(Cadastro!$B$5:$B$304,MATCH(I371,Cadastro!$A$5:$A$304,0)),"ID não encontrado"))</f>
        <v/>
      </c>
      <c r="K371" s="17" t="str">
        <f aca="false">IF(I371="","",IFERROR(INDEX(Cadastro!$E$5:$E$304,MATCH(I371,Cadastro!$A$5:$A$304,0)),""))</f>
        <v/>
      </c>
      <c r="L371" s="17" t="str">
        <f aca="false">IF(I371="","",IFERROR(INDEX(Cadastro!$F$5:$F$304,MATCH(I371,Cadastro!$A$5:$A$304,0)),""))</f>
        <v/>
      </c>
      <c r="M371" s="17" t="str">
        <f aca="false">IF(I371="","",IFERROR(INDEX(Cadastro!$I$5:$I$304,MATCH(I371,Cadastro!$A$5:$A$304,0)),""))</f>
        <v/>
      </c>
      <c r="N371" s="19"/>
      <c r="O371" s="13"/>
      <c r="P371" s="12" t="str">
        <f aca="false">IF(OR(B371="",O371=""),"",NETWORKDAYS(B371,O371)-1)</f>
        <v/>
      </c>
      <c r="Q371" s="13"/>
      <c r="R371" s="11"/>
      <c r="S371" s="13"/>
      <c r="T371" s="11"/>
      <c r="U371" s="11"/>
      <c r="V371" s="11"/>
      <c r="W371" s="11"/>
      <c r="X371" s="11"/>
    </row>
    <row r="372" customFormat="false" ht="15" hidden="false" customHeight="false" outlineLevel="0" collapsed="false">
      <c r="A372" s="11"/>
      <c r="B372" s="13"/>
      <c r="C372" s="11"/>
      <c r="D372" s="11"/>
      <c r="E372" s="11"/>
      <c r="F372" s="19"/>
      <c r="G372" s="12" t="str">
        <f aca="false">IF(F372="","",IF(F372&lt;=Parâmetros!$B$7,"Faixa 1",IF(F372&lt;=Parâmetros!$B$8,"Faixa 2","Faixa 3")))</f>
        <v/>
      </c>
      <c r="H372" s="12" t="str">
        <f aca="false">IF(G372="","",IF(G372="Faixa 1","Rodízio/Sorteio",IF(G372="Faixa 2","Cotação (≥3 propostas)","Chamada pública")))</f>
        <v/>
      </c>
      <c r="I372" s="11"/>
      <c r="J372" s="17" t="str">
        <f aca="false">IF(I372="","",IFERROR(INDEX(Cadastro!$B$5:$B$304,MATCH(I372,Cadastro!$A$5:$A$304,0)),"ID não encontrado"))</f>
        <v/>
      </c>
      <c r="K372" s="17" t="str">
        <f aca="false">IF(I372="","",IFERROR(INDEX(Cadastro!$E$5:$E$304,MATCH(I372,Cadastro!$A$5:$A$304,0)),""))</f>
        <v/>
      </c>
      <c r="L372" s="17" t="str">
        <f aca="false">IF(I372="","",IFERROR(INDEX(Cadastro!$F$5:$F$304,MATCH(I372,Cadastro!$A$5:$A$304,0)),""))</f>
        <v/>
      </c>
      <c r="M372" s="17" t="str">
        <f aca="false">IF(I372="","",IFERROR(INDEX(Cadastro!$I$5:$I$304,MATCH(I372,Cadastro!$A$5:$A$304,0)),""))</f>
        <v/>
      </c>
      <c r="N372" s="19"/>
      <c r="O372" s="13"/>
      <c r="P372" s="12" t="str">
        <f aca="false">IF(OR(B372="",O372=""),"",NETWORKDAYS(B372,O372)-1)</f>
        <v/>
      </c>
      <c r="Q372" s="13"/>
      <c r="R372" s="11"/>
      <c r="S372" s="13"/>
      <c r="T372" s="11"/>
      <c r="U372" s="11"/>
      <c r="V372" s="11"/>
      <c r="W372" s="11"/>
      <c r="X372" s="11"/>
    </row>
    <row r="373" customFormat="false" ht="15" hidden="false" customHeight="false" outlineLevel="0" collapsed="false">
      <c r="A373" s="11"/>
      <c r="B373" s="13"/>
      <c r="C373" s="11"/>
      <c r="D373" s="11"/>
      <c r="E373" s="11"/>
      <c r="F373" s="19"/>
      <c r="G373" s="12" t="str">
        <f aca="false">IF(F373="","",IF(F373&lt;=Parâmetros!$B$7,"Faixa 1",IF(F373&lt;=Parâmetros!$B$8,"Faixa 2","Faixa 3")))</f>
        <v/>
      </c>
      <c r="H373" s="12" t="str">
        <f aca="false">IF(G373="","",IF(G373="Faixa 1","Rodízio/Sorteio",IF(G373="Faixa 2","Cotação (≥3 propostas)","Chamada pública")))</f>
        <v/>
      </c>
      <c r="I373" s="11"/>
      <c r="J373" s="17" t="str">
        <f aca="false">IF(I373="","",IFERROR(INDEX(Cadastro!$B$5:$B$304,MATCH(I373,Cadastro!$A$5:$A$304,0)),"ID não encontrado"))</f>
        <v/>
      </c>
      <c r="K373" s="17" t="str">
        <f aca="false">IF(I373="","",IFERROR(INDEX(Cadastro!$E$5:$E$304,MATCH(I373,Cadastro!$A$5:$A$304,0)),""))</f>
        <v/>
      </c>
      <c r="L373" s="17" t="str">
        <f aca="false">IF(I373="","",IFERROR(INDEX(Cadastro!$F$5:$F$304,MATCH(I373,Cadastro!$A$5:$A$304,0)),""))</f>
        <v/>
      </c>
      <c r="M373" s="17" t="str">
        <f aca="false">IF(I373="","",IFERROR(INDEX(Cadastro!$I$5:$I$304,MATCH(I373,Cadastro!$A$5:$A$304,0)),""))</f>
        <v/>
      </c>
      <c r="N373" s="19"/>
      <c r="O373" s="13"/>
      <c r="P373" s="12" t="str">
        <f aca="false">IF(OR(B373="",O373=""),"",NETWORKDAYS(B373,O373)-1)</f>
        <v/>
      </c>
      <c r="Q373" s="13"/>
      <c r="R373" s="11"/>
      <c r="S373" s="13"/>
      <c r="T373" s="11"/>
      <c r="U373" s="11"/>
      <c r="V373" s="11"/>
      <c r="W373" s="11"/>
      <c r="X373" s="11"/>
    </row>
    <row r="374" customFormat="false" ht="15" hidden="false" customHeight="false" outlineLevel="0" collapsed="false">
      <c r="A374" s="11"/>
      <c r="B374" s="13"/>
      <c r="C374" s="11"/>
      <c r="D374" s="11"/>
      <c r="E374" s="11"/>
      <c r="F374" s="19"/>
      <c r="G374" s="12" t="str">
        <f aca="false">IF(F374="","",IF(F374&lt;=Parâmetros!$B$7,"Faixa 1",IF(F374&lt;=Parâmetros!$B$8,"Faixa 2","Faixa 3")))</f>
        <v/>
      </c>
      <c r="H374" s="12" t="str">
        <f aca="false">IF(G374="","",IF(G374="Faixa 1","Rodízio/Sorteio",IF(G374="Faixa 2","Cotação (≥3 propostas)","Chamada pública")))</f>
        <v/>
      </c>
      <c r="I374" s="11"/>
      <c r="J374" s="17" t="str">
        <f aca="false">IF(I374="","",IFERROR(INDEX(Cadastro!$B$5:$B$304,MATCH(I374,Cadastro!$A$5:$A$304,0)),"ID não encontrado"))</f>
        <v/>
      </c>
      <c r="K374" s="17" t="str">
        <f aca="false">IF(I374="","",IFERROR(INDEX(Cadastro!$E$5:$E$304,MATCH(I374,Cadastro!$A$5:$A$304,0)),""))</f>
        <v/>
      </c>
      <c r="L374" s="17" t="str">
        <f aca="false">IF(I374="","",IFERROR(INDEX(Cadastro!$F$5:$F$304,MATCH(I374,Cadastro!$A$5:$A$304,0)),""))</f>
        <v/>
      </c>
      <c r="M374" s="17" t="str">
        <f aca="false">IF(I374="","",IFERROR(INDEX(Cadastro!$I$5:$I$304,MATCH(I374,Cadastro!$A$5:$A$304,0)),""))</f>
        <v/>
      </c>
      <c r="N374" s="19"/>
      <c r="O374" s="13"/>
      <c r="P374" s="12" t="str">
        <f aca="false">IF(OR(B374="",O374=""),"",NETWORKDAYS(B374,O374)-1)</f>
        <v/>
      </c>
      <c r="Q374" s="13"/>
      <c r="R374" s="11"/>
      <c r="S374" s="13"/>
      <c r="T374" s="11"/>
      <c r="U374" s="11"/>
      <c r="V374" s="11"/>
      <c r="W374" s="11"/>
      <c r="X374" s="11"/>
    </row>
    <row r="375" customFormat="false" ht="15" hidden="false" customHeight="false" outlineLevel="0" collapsed="false">
      <c r="A375" s="11"/>
      <c r="B375" s="13"/>
      <c r="C375" s="11"/>
      <c r="D375" s="11"/>
      <c r="E375" s="11"/>
      <c r="F375" s="19"/>
      <c r="G375" s="12" t="str">
        <f aca="false">IF(F375="","",IF(F375&lt;=Parâmetros!$B$7,"Faixa 1",IF(F375&lt;=Parâmetros!$B$8,"Faixa 2","Faixa 3")))</f>
        <v/>
      </c>
      <c r="H375" s="12" t="str">
        <f aca="false">IF(G375="","",IF(G375="Faixa 1","Rodízio/Sorteio",IF(G375="Faixa 2","Cotação (≥3 propostas)","Chamada pública")))</f>
        <v/>
      </c>
      <c r="I375" s="11"/>
      <c r="J375" s="17" t="str">
        <f aca="false">IF(I375="","",IFERROR(INDEX(Cadastro!$B$5:$B$304,MATCH(I375,Cadastro!$A$5:$A$304,0)),"ID não encontrado"))</f>
        <v/>
      </c>
      <c r="K375" s="17" t="str">
        <f aca="false">IF(I375="","",IFERROR(INDEX(Cadastro!$E$5:$E$304,MATCH(I375,Cadastro!$A$5:$A$304,0)),""))</f>
        <v/>
      </c>
      <c r="L375" s="17" t="str">
        <f aca="false">IF(I375="","",IFERROR(INDEX(Cadastro!$F$5:$F$304,MATCH(I375,Cadastro!$A$5:$A$304,0)),""))</f>
        <v/>
      </c>
      <c r="M375" s="17" t="str">
        <f aca="false">IF(I375="","",IFERROR(INDEX(Cadastro!$I$5:$I$304,MATCH(I375,Cadastro!$A$5:$A$304,0)),""))</f>
        <v/>
      </c>
      <c r="N375" s="19"/>
      <c r="O375" s="13"/>
      <c r="P375" s="12" t="str">
        <f aca="false">IF(OR(B375="",O375=""),"",NETWORKDAYS(B375,O375)-1)</f>
        <v/>
      </c>
      <c r="Q375" s="13"/>
      <c r="R375" s="11"/>
      <c r="S375" s="13"/>
      <c r="T375" s="11"/>
      <c r="U375" s="11"/>
      <c r="V375" s="11"/>
      <c r="W375" s="11"/>
      <c r="X375" s="11"/>
    </row>
    <row r="376" customFormat="false" ht="15" hidden="false" customHeight="false" outlineLevel="0" collapsed="false">
      <c r="A376" s="11"/>
      <c r="B376" s="13"/>
      <c r="C376" s="11"/>
      <c r="D376" s="11"/>
      <c r="E376" s="11"/>
      <c r="F376" s="19"/>
      <c r="G376" s="12" t="str">
        <f aca="false">IF(F376="","",IF(F376&lt;=Parâmetros!$B$7,"Faixa 1",IF(F376&lt;=Parâmetros!$B$8,"Faixa 2","Faixa 3")))</f>
        <v/>
      </c>
      <c r="H376" s="12" t="str">
        <f aca="false">IF(G376="","",IF(G376="Faixa 1","Rodízio/Sorteio",IF(G376="Faixa 2","Cotação (≥3 propostas)","Chamada pública")))</f>
        <v/>
      </c>
      <c r="I376" s="11"/>
      <c r="J376" s="17" t="str">
        <f aca="false">IF(I376="","",IFERROR(INDEX(Cadastro!$B$5:$B$304,MATCH(I376,Cadastro!$A$5:$A$304,0)),"ID não encontrado"))</f>
        <v/>
      </c>
      <c r="K376" s="17" t="str">
        <f aca="false">IF(I376="","",IFERROR(INDEX(Cadastro!$E$5:$E$304,MATCH(I376,Cadastro!$A$5:$A$304,0)),""))</f>
        <v/>
      </c>
      <c r="L376" s="17" t="str">
        <f aca="false">IF(I376="","",IFERROR(INDEX(Cadastro!$F$5:$F$304,MATCH(I376,Cadastro!$A$5:$A$304,0)),""))</f>
        <v/>
      </c>
      <c r="M376" s="17" t="str">
        <f aca="false">IF(I376="","",IFERROR(INDEX(Cadastro!$I$5:$I$304,MATCH(I376,Cadastro!$A$5:$A$304,0)),""))</f>
        <v/>
      </c>
      <c r="N376" s="19"/>
      <c r="O376" s="13"/>
      <c r="P376" s="12" t="str">
        <f aca="false">IF(OR(B376="",O376=""),"",NETWORKDAYS(B376,O376)-1)</f>
        <v/>
      </c>
      <c r="Q376" s="13"/>
      <c r="R376" s="11"/>
      <c r="S376" s="13"/>
      <c r="T376" s="11"/>
      <c r="U376" s="11"/>
      <c r="V376" s="11"/>
      <c r="W376" s="11"/>
      <c r="X376" s="11"/>
    </row>
    <row r="377" customFormat="false" ht="15" hidden="false" customHeight="false" outlineLevel="0" collapsed="false">
      <c r="A377" s="11"/>
      <c r="B377" s="13"/>
      <c r="C377" s="11"/>
      <c r="D377" s="11"/>
      <c r="E377" s="11"/>
      <c r="F377" s="19"/>
      <c r="G377" s="12" t="str">
        <f aca="false">IF(F377="","",IF(F377&lt;=Parâmetros!$B$7,"Faixa 1",IF(F377&lt;=Parâmetros!$B$8,"Faixa 2","Faixa 3")))</f>
        <v/>
      </c>
      <c r="H377" s="12" t="str">
        <f aca="false">IF(G377="","",IF(G377="Faixa 1","Rodízio/Sorteio",IF(G377="Faixa 2","Cotação (≥3 propostas)","Chamada pública")))</f>
        <v/>
      </c>
      <c r="I377" s="11"/>
      <c r="J377" s="17" t="str">
        <f aca="false">IF(I377="","",IFERROR(INDEX(Cadastro!$B$5:$B$304,MATCH(I377,Cadastro!$A$5:$A$304,0)),"ID não encontrado"))</f>
        <v/>
      </c>
      <c r="K377" s="17" t="str">
        <f aca="false">IF(I377="","",IFERROR(INDEX(Cadastro!$E$5:$E$304,MATCH(I377,Cadastro!$A$5:$A$304,0)),""))</f>
        <v/>
      </c>
      <c r="L377" s="17" t="str">
        <f aca="false">IF(I377="","",IFERROR(INDEX(Cadastro!$F$5:$F$304,MATCH(I377,Cadastro!$A$5:$A$304,0)),""))</f>
        <v/>
      </c>
      <c r="M377" s="17" t="str">
        <f aca="false">IF(I377="","",IFERROR(INDEX(Cadastro!$I$5:$I$304,MATCH(I377,Cadastro!$A$5:$A$304,0)),""))</f>
        <v/>
      </c>
      <c r="N377" s="19"/>
      <c r="O377" s="13"/>
      <c r="P377" s="12" t="str">
        <f aca="false">IF(OR(B377="",O377=""),"",NETWORKDAYS(B377,O377)-1)</f>
        <v/>
      </c>
      <c r="Q377" s="13"/>
      <c r="R377" s="11"/>
      <c r="S377" s="13"/>
      <c r="T377" s="11"/>
      <c r="U377" s="11"/>
      <c r="V377" s="11"/>
      <c r="W377" s="11"/>
      <c r="X377" s="11"/>
    </row>
    <row r="378" customFormat="false" ht="15" hidden="false" customHeight="false" outlineLevel="0" collapsed="false">
      <c r="A378" s="11"/>
      <c r="B378" s="13"/>
      <c r="C378" s="11"/>
      <c r="D378" s="11"/>
      <c r="E378" s="11"/>
      <c r="F378" s="19"/>
      <c r="G378" s="12" t="str">
        <f aca="false">IF(F378="","",IF(F378&lt;=Parâmetros!$B$7,"Faixa 1",IF(F378&lt;=Parâmetros!$B$8,"Faixa 2","Faixa 3")))</f>
        <v/>
      </c>
      <c r="H378" s="12" t="str">
        <f aca="false">IF(G378="","",IF(G378="Faixa 1","Rodízio/Sorteio",IF(G378="Faixa 2","Cotação (≥3 propostas)","Chamada pública")))</f>
        <v/>
      </c>
      <c r="I378" s="11"/>
      <c r="J378" s="17" t="str">
        <f aca="false">IF(I378="","",IFERROR(INDEX(Cadastro!$B$5:$B$304,MATCH(I378,Cadastro!$A$5:$A$304,0)),"ID não encontrado"))</f>
        <v/>
      </c>
      <c r="K378" s="17" t="str">
        <f aca="false">IF(I378="","",IFERROR(INDEX(Cadastro!$E$5:$E$304,MATCH(I378,Cadastro!$A$5:$A$304,0)),""))</f>
        <v/>
      </c>
      <c r="L378" s="17" t="str">
        <f aca="false">IF(I378="","",IFERROR(INDEX(Cadastro!$F$5:$F$304,MATCH(I378,Cadastro!$A$5:$A$304,0)),""))</f>
        <v/>
      </c>
      <c r="M378" s="17" t="str">
        <f aca="false">IF(I378="","",IFERROR(INDEX(Cadastro!$I$5:$I$304,MATCH(I378,Cadastro!$A$5:$A$304,0)),""))</f>
        <v/>
      </c>
      <c r="N378" s="19"/>
      <c r="O378" s="13"/>
      <c r="P378" s="12" t="str">
        <f aca="false">IF(OR(B378="",O378=""),"",NETWORKDAYS(B378,O378)-1)</f>
        <v/>
      </c>
      <c r="Q378" s="13"/>
      <c r="R378" s="11"/>
      <c r="S378" s="13"/>
      <c r="T378" s="11"/>
      <c r="U378" s="11"/>
      <c r="V378" s="11"/>
      <c r="W378" s="11"/>
      <c r="X378" s="11"/>
    </row>
    <row r="379" customFormat="false" ht="15" hidden="false" customHeight="false" outlineLevel="0" collapsed="false">
      <c r="A379" s="11"/>
      <c r="B379" s="13"/>
      <c r="C379" s="11"/>
      <c r="D379" s="11"/>
      <c r="E379" s="11"/>
      <c r="F379" s="19"/>
      <c r="G379" s="12" t="str">
        <f aca="false">IF(F379="","",IF(F379&lt;=Parâmetros!$B$7,"Faixa 1",IF(F379&lt;=Parâmetros!$B$8,"Faixa 2","Faixa 3")))</f>
        <v/>
      </c>
      <c r="H379" s="12" t="str">
        <f aca="false">IF(G379="","",IF(G379="Faixa 1","Rodízio/Sorteio",IF(G379="Faixa 2","Cotação (≥3 propostas)","Chamada pública")))</f>
        <v/>
      </c>
      <c r="I379" s="11"/>
      <c r="J379" s="17" t="str">
        <f aca="false">IF(I379="","",IFERROR(INDEX(Cadastro!$B$5:$B$304,MATCH(I379,Cadastro!$A$5:$A$304,0)),"ID não encontrado"))</f>
        <v/>
      </c>
      <c r="K379" s="17" t="str">
        <f aca="false">IF(I379="","",IFERROR(INDEX(Cadastro!$E$5:$E$304,MATCH(I379,Cadastro!$A$5:$A$304,0)),""))</f>
        <v/>
      </c>
      <c r="L379" s="17" t="str">
        <f aca="false">IF(I379="","",IFERROR(INDEX(Cadastro!$F$5:$F$304,MATCH(I379,Cadastro!$A$5:$A$304,0)),""))</f>
        <v/>
      </c>
      <c r="M379" s="17" t="str">
        <f aca="false">IF(I379="","",IFERROR(INDEX(Cadastro!$I$5:$I$304,MATCH(I379,Cadastro!$A$5:$A$304,0)),""))</f>
        <v/>
      </c>
      <c r="N379" s="19"/>
      <c r="O379" s="13"/>
      <c r="P379" s="12" t="str">
        <f aca="false">IF(OR(B379="",O379=""),"",NETWORKDAYS(B379,O379)-1)</f>
        <v/>
      </c>
      <c r="Q379" s="13"/>
      <c r="R379" s="11"/>
      <c r="S379" s="13"/>
      <c r="T379" s="11"/>
      <c r="U379" s="11"/>
      <c r="V379" s="11"/>
      <c r="W379" s="11"/>
      <c r="X379" s="11"/>
    </row>
    <row r="380" customFormat="false" ht="15" hidden="false" customHeight="false" outlineLevel="0" collapsed="false">
      <c r="A380" s="11"/>
      <c r="B380" s="13"/>
      <c r="C380" s="11"/>
      <c r="D380" s="11"/>
      <c r="E380" s="11"/>
      <c r="F380" s="19"/>
      <c r="G380" s="12" t="str">
        <f aca="false">IF(F380="","",IF(F380&lt;=Parâmetros!$B$7,"Faixa 1",IF(F380&lt;=Parâmetros!$B$8,"Faixa 2","Faixa 3")))</f>
        <v/>
      </c>
      <c r="H380" s="12" t="str">
        <f aca="false">IF(G380="","",IF(G380="Faixa 1","Rodízio/Sorteio",IF(G380="Faixa 2","Cotação (≥3 propostas)","Chamada pública")))</f>
        <v/>
      </c>
      <c r="I380" s="11"/>
      <c r="J380" s="17" t="str">
        <f aca="false">IF(I380="","",IFERROR(INDEX(Cadastro!$B$5:$B$304,MATCH(I380,Cadastro!$A$5:$A$304,0)),"ID não encontrado"))</f>
        <v/>
      </c>
      <c r="K380" s="17" t="str">
        <f aca="false">IF(I380="","",IFERROR(INDEX(Cadastro!$E$5:$E$304,MATCH(I380,Cadastro!$A$5:$A$304,0)),""))</f>
        <v/>
      </c>
      <c r="L380" s="17" t="str">
        <f aca="false">IF(I380="","",IFERROR(INDEX(Cadastro!$F$5:$F$304,MATCH(I380,Cadastro!$A$5:$A$304,0)),""))</f>
        <v/>
      </c>
      <c r="M380" s="17" t="str">
        <f aca="false">IF(I380="","",IFERROR(INDEX(Cadastro!$I$5:$I$304,MATCH(I380,Cadastro!$A$5:$A$304,0)),""))</f>
        <v/>
      </c>
      <c r="N380" s="19"/>
      <c r="O380" s="13"/>
      <c r="P380" s="12" t="str">
        <f aca="false">IF(OR(B380="",O380=""),"",NETWORKDAYS(B380,O380)-1)</f>
        <v/>
      </c>
      <c r="Q380" s="13"/>
      <c r="R380" s="11"/>
      <c r="S380" s="13"/>
      <c r="T380" s="11"/>
      <c r="U380" s="11"/>
      <c r="V380" s="11"/>
      <c r="W380" s="11"/>
      <c r="X380" s="11"/>
    </row>
    <row r="381" customFormat="false" ht="15" hidden="false" customHeight="false" outlineLevel="0" collapsed="false">
      <c r="A381" s="11"/>
      <c r="B381" s="13"/>
      <c r="C381" s="11"/>
      <c r="D381" s="11"/>
      <c r="E381" s="11"/>
      <c r="F381" s="19"/>
      <c r="G381" s="12" t="str">
        <f aca="false">IF(F381="","",IF(F381&lt;=Parâmetros!$B$7,"Faixa 1",IF(F381&lt;=Parâmetros!$B$8,"Faixa 2","Faixa 3")))</f>
        <v/>
      </c>
      <c r="H381" s="12" t="str">
        <f aca="false">IF(G381="","",IF(G381="Faixa 1","Rodízio/Sorteio",IF(G381="Faixa 2","Cotação (≥3 propostas)","Chamada pública")))</f>
        <v/>
      </c>
      <c r="I381" s="11"/>
      <c r="J381" s="17" t="str">
        <f aca="false">IF(I381="","",IFERROR(INDEX(Cadastro!$B$5:$B$304,MATCH(I381,Cadastro!$A$5:$A$304,0)),"ID não encontrado"))</f>
        <v/>
      </c>
      <c r="K381" s="17" t="str">
        <f aca="false">IF(I381="","",IFERROR(INDEX(Cadastro!$E$5:$E$304,MATCH(I381,Cadastro!$A$5:$A$304,0)),""))</f>
        <v/>
      </c>
      <c r="L381" s="17" t="str">
        <f aca="false">IF(I381="","",IFERROR(INDEX(Cadastro!$F$5:$F$304,MATCH(I381,Cadastro!$A$5:$A$304,0)),""))</f>
        <v/>
      </c>
      <c r="M381" s="17" t="str">
        <f aca="false">IF(I381="","",IFERROR(INDEX(Cadastro!$I$5:$I$304,MATCH(I381,Cadastro!$A$5:$A$304,0)),""))</f>
        <v/>
      </c>
      <c r="N381" s="19"/>
      <c r="O381" s="13"/>
      <c r="P381" s="12" t="str">
        <f aca="false">IF(OR(B381="",O381=""),"",NETWORKDAYS(B381,O381)-1)</f>
        <v/>
      </c>
      <c r="Q381" s="13"/>
      <c r="R381" s="11"/>
      <c r="S381" s="13"/>
      <c r="T381" s="11"/>
      <c r="U381" s="11"/>
      <c r="V381" s="11"/>
      <c r="W381" s="11"/>
      <c r="X381" s="11"/>
    </row>
    <row r="382" customFormat="false" ht="15" hidden="false" customHeight="false" outlineLevel="0" collapsed="false">
      <c r="A382" s="11"/>
      <c r="B382" s="13"/>
      <c r="C382" s="11"/>
      <c r="D382" s="11"/>
      <c r="E382" s="11"/>
      <c r="F382" s="19"/>
      <c r="G382" s="12" t="str">
        <f aca="false">IF(F382="","",IF(F382&lt;=Parâmetros!$B$7,"Faixa 1",IF(F382&lt;=Parâmetros!$B$8,"Faixa 2","Faixa 3")))</f>
        <v/>
      </c>
      <c r="H382" s="12" t="str">
        <f aca="false">IF(G382="","",IF(G382="Faixa 1","Rodízio/Sorteio",IF(G382="Faixa 2","Cotação (≥3 propostas)","Chamada pública")))</f>
        <v/>
      </c>
      <c r="I382" s="11"/>
      <c r="J382" s="17" t="str">
        <f aca="false">IF(I382="","",IFERROR(INDEX(Cadastro!$B$5:$B$304,MATCH(I382,Cadastro!$A$5:$A$304,0)),"ID não encontrado"))</f>
        <v/>
      </c>
      <c r="K382" s="17" t="str">
        <f aca="false">IF(I382="","",IFERROR(INDEX(Cadastro!$E$5:$E$304,MATCH(I382,Cadastro!$A$5:$A$304,0)),""))</f>
        <v/>
      </c>
      <c r="L382" s="17" t="str">
        <f aca="false">IF(I382="","",IFERROR(INDEX(Cadastro!$F$5:$F$304,MATCH(I382,Cadastro!$A$5:$A$304,0)),""))</f>
        <v/>
      </c>
      <c r="M382" s="17" t="str">
        <f aca="false">IF(I382="","",IFERROR(INDEX(Cadastro!$I$5:$I$304,MATCH(I382,Cadastro!$A$5:$A$304,0)),""))</f>
        <v/>
      </c>
      <c r="N382" s="19"/>
      <c r="O382" s="13"/>
      <c r="P382" s="12" t="str">
        <f aca="false">IF(OR(B382="",O382=""),"",NETWORKDAYS(B382,O382)-1)</f>
        <v/>
      </c>
      <c r="Q382" s="13"/>
      <c r="R382" s="11"/>
      <c r="S382" s="13"/>
      <c r="T382" s="11"/>
      <c r="U382" s="11"/>
      <c r="V382" s="11"/>
      <c r="W382" s="11"/>
      <c r="X382" s="11"/>
    </row>
    <row r="383" customFormat="false" ht="15" hidden="false" customHeight="false" outlineLevel="0" collapsed="false">
      <c r="A383" s="11"/>
      <c r="B383" s="13"/>
      <c r="C383" s="11"/>
      <c r="D383" s="11"/>
      <c r="E383" s="11"/>
      <c r="F383" s="19"/>
      <c r="G383" s="12" t="str">
        <f aca="false">IF(F383="","",IF(F383&lt;=Parâmetros!$B$7,"Faixa 1",IF(F383&lt;=Parâmetros!$B$8,"Faixa 2","Faixa 3")))</f>
        <v/>
      </c>
      <c r="H383" s="12" t="str">
        <f aca="false">IF(G383="","",IF(G383="Faixa 1","Rodízio/Sorteio",IF(G383="Faixa 2","Cotação (≥3 propostas)","Chamada pública")))</f>
        <v/>
      </c>
      <c r="I383" s="11"/>
      <c r="J383" s="17" t="str">
        <f aca="false">IF(I383="","",IFERROR(INDEX(Cadastro!$B$5:$B$304,MATCH(I383,Cadastro!$A$5:$A$304,0)),"ID não encontrado"))</f>
        <v/>
      </c>
      <c r="K383" s="17" t="str">
        <f aca="false">IF(I383="","",IFERROR(INDEX(Cadastro!$E$5:$E$304,MATCH(I383,Cadastro!$A$5:$A$304,0)),""))</f>
        <v/>
      </c>
      <c r="L383" s="17" t="str">
        <f aca="false">IF(I383="","",IFERROR(INDEX(Cadastro!$F$5:$F$304,MATCH(I383,Cadastro!$A$5:$A$304,0)),""))</f>
        <v/>
      </c>
      <c r="M383" s="17" t="str">
        <f aca="false">IF(I383="","",IFERROR(INDEX(Cadastro!$I$5:$I$304,MATCH(I383,Cadastro!$A$5:$A$304,0)),""))</f>
        <v/>
      </c>
      <c r="N383" s="19"/>
      <c r="O383" s="13"/>
      <c r="P383" s="12" t="str">
        <f aca="false">IF(OR(B383="",O383=""),"",NETWORKDAYS(B383,O383)-1)</f>
        <v/>
      </c>
      <c r="Q383" s="13"/>
      <c r="R383" s="11"/>
      <c r="S383" s="13"/>
      <c r="T383" s="11"/>
      <c r="U383" s="11"/>
      <c r="V383" s="11"/>
      <c r="W383" s="11"/>
      <c r="X383" s="11"/>
    </row>
    <row r="384" customFormat="false" ht="15" hidden="false" customHeight="false" outlineLevel="0" collapsed="false">
      <c r="A384" s="11"/>
      <c r="B384" s="13"/>
      <c r="C384" s="11"/>
      <c r="D384" s="11"/>
      <c r="E384" s="11"/>
      <c r="F384" s="19"/>
      <c r="G384" s="12" t="str">
        <f aca="false">IF(F384="","",IF(F384&lt;=Parâmetros!$B$7,"Faixa 1",IF(F384&lt;=Parâmetros!$B$8,"Faixa 2","Faixa 3")))</f>
        <v/>
      </c>
      <c r="H384" s="12" t="str">
        <f aca="false">IF(G384="","",IF(G384="Faixa 1","Rodízio/Sorteio",IF(G384="Faixa 2","Cotação (≥3 propostas)","Chamada pública")))</f>
        <v/>
      </c>
      <c r="I384" s="11"/>
      <c r="J384" s="17" t="str">
        <f aca="false">IF(I384="","",IFERROR(INDEX(Cadastro!$B$5:$B$304,MATCH(I384,Cadastro!$A$5:$A$304,0)),"ID não encontrado"))</f>
        <v/>
      </c>
      <c r="K384" s="17" t="str">
        <f aca="false">IF(I384="","",IFERROR(INDEX(Cadastro!$E$5:$E$304,MATCH(I384,Cadastro!$A$5:$A$304,0)),""))</f>
        <v/>
      </c>
      <c r="L384" s="17" t="str">
        <f aca="false">IF(I384="","",IFERROR(INDEX(Cadastro!$F$5:$F$304,MATCH(I384,Cadastro!$A$5:$A$304,0)),""))</f>
        <v/>
      </c>
      <c r="M384" s="17" t="str">
        <f aca="false">IF(I384="","",IFERROR(INDEX(Cadastro!$I$5:$I$304,MATCH(I384,Cadastro!$A$5:$A$304,0)),""))</f>
        <v/>
      </c>
      <c r="N384" s="19"/>
      <c r="O384" s="13"/>
      <c r="P384" s="12" t="str">
        <f aca="false">IF(OR(B384="",O384=""),"",NETWORKDAYS(B384,O384)-1)</f>
        <v/>
      </c>
      <c r="Q384" s="13"/>
      <c r="R384" s="11"/>
      <c r="S384" s="13"/>
      <c r="T384" s="11"/>
      <c r="U384" s="11"/>
      <c r="V384" s="11"/>
      <c r="W384" s="11"/>
      <c r="X384" s="11"/>
    </row>
    <row r="385" customFormat="false" ht="15" hidden="false" customHeight="false" outlineLevel="0" collapsed="false">
      <c r="A385" s="11"/>
      <c r="B385" s="13"/>
      <c r="C385" s="11"/>
      <c r="D385" s="11"/>
      <c r="E385" s="11"/>
      <c r="F385" s="19"/>
      <c r="G385" s="12" t="str">
        <f aca="false">IF(F385="","",IF(F385&lt;=Parâmetros!$B$7,"Faixa 1",IF(F385&lt;=Parâmetros!$B$8,"Faixa 2","Faixa 3")))</f>
        <v/>
      </c>
      <c r="H385" s="12" t="str">
        <f aca="false">IF(G385="","",IF(G385="Faixa 1","Rodízio/Sorteio",IF(G385="Faixa 2","Cotação (≥3 propostas)","Chamada pública")))</f>
        <v/>
      </c>
      <c r="I385" s="11"/>
      <c r="J385" s="17" t="str">
        <f aca="false">IF(I385="","",IFERROR(INDEX(Cadastro!$B$5:$B$304,MATCH(I385,Cadastro!$A$5:$A$304,0)),"ID não encontrado"))</f>
        <v/>
      </c>
      <c r="K385" s="17" t="str">
        <f aca="false">IF(I385="","",IFERROR(INDEX(Cadastro!$E$5:$E$304,MATCH(I385,Cadastro!$A$5:$A$304,0)),""))</f>
        <v/>
      </c>
      <c r="L385" s="17" t="str">
        <f aca="false">IF(I385="","",IFERROR(INDEX(Cadastro!$F$5:$F$304,MATCH(I385,Cadastro!$A$5:$A$304,0)),""))</f>
        <v/>
      </c>
      <c r="M385" s="17" t="str">
        <f aca="false">IF(I385="","",IFERROR(INDEX(Cadastro!$I$5:$I$304,MATCH(I385,Cadastro!$A$5:$A$304,0)),""))</f>
        <v/>
      </c>
      <c r="N385" s="19"/>
      <c r="O385" s="13"/>
      <c r="P385" s="12" t="str">
        <f aca="false">IF(OR(B385="",O385=""),"",NETWORKDAYS(B385,O385)-1)</f>
        <v/>
      </c>
      <c r="Q385" s="13"/>
      <c r="R385" s="11"/>
      <c r="S385" s="13"/>
      <c r="T385" s="11"/>
      <c r="U385" s="11"/>
      <c r="V385" s="11"/>
      <c r="W385" s="11"/>
      <c r="X385" s="11"/>
    </row>
    <row r="386" customFormat="false" ht="15" hidden="false" customHeight="false" outlineLevel="0" collapsed="false">
      <c r="A386" s="11"/>
      <c r="B386" s="13"/>
      <c r="C386" s="11"/>
      <c r="D386" s="11"/>
      <c r="E386" s="11"/>
      <c r="F386" s="19"/>
      <c r="G386" s="12" t="str">
        <f aca="false">IF(F386="","",IF(F386&lt;=Parâmetros!$B$7,"Faixa 1",IF(F386&lt;=Parâmetros!$B$8,"Faixa 2","Faixa 3")))</f>
        <v/>
      </c>
      <c r="H386" s="12" t="str">
        <f aca="false">IF(G386="","",IF(G386="Faixa 1","Rodízio/Sorteio",IF(G386="Faixa 2","Cotação (≥3 propostas)","Chamada pública")))</f>
        <v/>
      </c>
      <c r="I386" s="11"/>
      <c r="J386" s="17" t="str">
        <f aca="false">IF(I386="","",IFERROR(INDEX(Cadastro!$B$5:$B$304,MATCH(I386,Cadastro!$A$5:$A$304,0)),"ID não encontrado"))</f>
        <v/>
      </c>
      <c r="K386" s="17" t="str">
        <f aca="false">IF(I386="","",IFERROR(INDEX(Cadastro!$E$5:$E$304,MATCH(I386,Cadastro!$A$5:$A$304,0)),""))</f>
        <v/>
      </c>
      <c r="L386" s="17" t="str">
        <f aca="false">IF(I386="","",IFERROR(INDEX(Cadastro!$F$5:$F$304,MATCH(I386,Cadastro!$A$5:$A$304,0)),""))</f>
        <v/>
      </c>
      <c r="M386" s="17" t="str">
        <f aca="false">IF(I386="","",IFERROR(INDEX(Cadastro!$I$5:$I$304,MATCH(I386,Cadastro!$A$5:$A$304,0)),""))</f>
        <v/>
      </c>
      <c r="N386" s="19"/>
      <c r="O386" s="13"/>
      <c r="P386" s="12" t="str">
        <f aca="false">IF(OR(B386="",O386=""),"",NETWORKDAYS(B386,O386)-1)</f>
        <v/>
      </c>
      <c r="Q386" s="13"/>
      <c r="R386" s="11"/>
      <c r="S386" s="13"/>
      <c r="T386" s="11"/>
      <c r="U386" s="11"/>
      <c r="V386" s="11"/>
      <c r="W386" s="11"/>
      <c r="X386" s="11"/>
    </row>
    <row r="387" customFormat="false" ht="15" hidden="false" customHeight="false" outlineLevel="0" collapsed="false">
      <c r="A387" s="11"/>
      <c r="B387" s="13"/>
      <c r="C387" s="11"/>
      <c r="D387" s="11"/>
      <c r="E387" s="11"/>
      <c r="F387" s="19"/>
      <c r="G387" s="12" t="str">
        <f aca="false">IF(F387="","",IF(F387&lt;=Parâmetros!$B$7,"Faixa 1",IF(F387&lt;=Parâmetros!$B$8,"Faixa 2","Faixa 3")))</f>
        <v/>
      </c>
      <c r="H387" s="12" t="str">
        <f aca="false">IF(G387="","",IF(G387="Faixa 1","Rodízio/Sorteio",IF(G387="Faixa 2","Cotação (≥3 propostas)","Chamada pública")))</f>
        <v/>
      </c>
      <c r="I387" s="11"/>
      <c r="J387" s="17" t="str">
        <f aca="false">IF(I387="","",IFERROR(INDEX(Cadastro!$B$5:$B$304,MATCH(I387,Cadastro!$A$5:$A$304,0)),"ID não encontrado"))</f>
        <v/>
      </c>
      <c r="K387" s="17" t="str">
        <f aca="false">IF(I387="","",IFERROR(INDEX(Cadastro!$E$5:$E$304,MATCH(I387,Cadastro!$A$5:$A$304,0)),""))</f>
        <v/>
      </c>
      <c r="L387" s="17" t="str">
        <f aca="false">IF(I387="","",IFERROR(INDEX(Cadastro!$F$5:$F$304,MATCH(I387,Cadastro!$A$5:$A$304,0)),""))</f>
        <v/>
      </c>
      <c r="M387" s="17" t="str">
        <f aca="false">IF(I387="","",IFERROR(INDEX(Cadastro!$I$5:$I$304,MATCH(I387,Cadastro!$A$5:$A$304,0)),""))</f>
        <v/>
      </c>
      <c r="N387" s="19"/>
      <c r="O387" s="13"/>
      <c r="P387" s="12" t="str">
        <f aca="false">IF(OR(B387="",O387=""),"",NETWORKDAYS(B387,O387)-1)</f>
        <v/>
      </c>
      <c r="Q387" s="13"/>
      <c r="R387" s="11"/>
      <c r="S387" s="13"/>
      <c r="T387" s="11"/>
      <c r="U387" s="11"/>
      <c r="V387" s="11"/>
      <c r="W387" s="11"/>
      <c r="X387" s="11"/>
    </row>
    <row r="388" customFormat="false" ht="15" hidden="false" customHeight="false" outlineLevel="0" collapsed="false">
      <c r="A388" s="11"/>
      <c r="B388" s="13"/>
      <c r="C388" s="11"/>
      <c r="D388" s="11"/>
      <c r="E388" s="11"/>
      <c r="F388" s="19"/>
      <c r="G388" s="12" t="str">
        <f aca="false">IF(F388="","",IF(F388&lt;=Parâmetros!$B$7,"Faixa 1",IF(F388&lt;=Parâmetros!$B$8,"Faixa 2","Faixa 3")))</f>
        <v/>
      </c>
      <c r="H388" s="12" t="str">
        <f aca="false">IF(G388="","",IF(G388="Faixa 1","Rodízio/Sorteio",IF(G388="Faixa 2","Cotação (≥3 propostas)","Chamada pública")))</f>
        <v/>
      </c>
      <c r="I388" s="11"/>
      <c r="J388" s="17" t="str">
        <f aca="false">IF(I388="","",IFERROR(INDEX(Cadastro!$B$5:$B$304,MATCH(I388,Cadastro!$A$5:$A$304,0)),"ID não encontrado"))</f>
        <v/>
      </c>
      <c r="K388" s="17" t="str">
        <f aca="false">IF(I388="","",IFERROR(INDEX(Cadastro!$E$5:$E$304,MATCH(I388,Cadastro!$A$5:$A$304,0)),""))</f>
        <v/>
      </c>
      <c r="L388" s="17" t="str">
        <f aca="false">IF(I388="","",IFERROR(INDEX(Cadastro!$F$5:$F$304,MATCH(I388,Cadastro!$A$5:$A$304,0)),""))</f>
        <v/>
      </c>
      <c r="M388" s="17" t="str">
        <f aca="false">IF(I388="","",IFERROR(INDEX(Cadastro!$I$5:$I$304,MATCH(I388,Cadastro!$A$5:$A$304,0)),""))</f>
        <v/>
      </c>
      <c r="N388" s="19"/>
      <c r="O388" s="13"/>
      <c r="P388" s="12" t="str">
        <f aca="false">IF(OR(B388="",O388=""),"",NETWORKDAYS(B388,O388)-1)</f>
        <v/>
      </c>
      <c r="Q388" s="13"/>
      <c r="R388" s="11"/>
      <c r="S388" s="13"/>
      <c r="T388" s="11"/>
      <c r="U388" s="11"/>
      <c r="V388" s="11"/>
      <c r="W388" s="11"/>
      <c r="X388" s="11"/>
    </row>
    <row r="389" customFormat="false" ht="15" hidden="false" customHeight="false" outlineLevel="0" collapsed="false">
      <c r="A389" s="11"/>
      <c r="B389" s="13"/>
      <c r="C389" s="11"/>
      <c r="D389" s="11"/>
      <c r="E389" s="11"/>
      <c r="F389" s="19"/>
      <c r="G389" s="12" t="str">
        <f aca="false">IF(F389="","",IF(F389&lt;=Parâmetros!$B$7,"Faixa 1",IF(F389&lt;=Parâmetros!$B$8,"Faixa 2","Faixa 3")))</f>
        <v/>
      </c>
      <c r="H389" s="12" t="str">
        <f aca="false">IF(G389="","",IF(G389="Faixa 1","Rodízio/Sorteio",IF(G389="Faixa 2","Cotação (≥3 propostas)","Chamada pública")))</f>
        <v/>
      </c>
      <c r="I389" s="11"/>
      <c r="J389" s="17" t="str">
        <f aca="false">IF(I389="","",IFERROR(INDEX(Cadastro!$B$5:$B$304,MATCH(I389,Cadastro!$A$5:$A$304,0)),"ID não encontrado"))</f>
        <v/>
      </c>
      <c r="K389" s="17" t="str">
        <f aca="false">IF(I389="","",IFERROR(INDEX(Cadastro!$E$5:$E$304,MATCH(I389,Cadastro!$A$5:$A$304,0)),""))</f>
        <v/>
      </c>
      <c r="L389" s="17" t="str">
        <f aca="false">IF(I389="","",IFERROR(INDEX(Cadastro!$F$5:$F$304,MATCH(I389,Cadastro!$A$5:$A$304,0)),""))</f>
        <v/>
      </c>
      <c r="M389" s="17" t="str">
        <f aca="false">IF(I389="","",IFERROR(INDEX(Cadastro!$I$5:$I$304,MATCH(I389,Cadastro!$A$5:$A$304,0)),""))</f>
        <v/>
      </c>
      <c r="N389" s="19"/>
      <c r="O389" s="13"/>
      <c r="P389" s="12" t="str">
        <f aca="false">IF(OR(B389="",O389=""),"",NETWORKDAYS(B389,O389)-1)</f>
        <v/>
      </c>
      <c r="Q389" s="13"/>
      <c r="R389" s="11"/>
      <c r="S389" s="13"/>
      <c r="T389" s="11"/>
      <c r="U389" s="11"/>
      <c r="V389" s="11"/>
      <c r="W389" s="11"/>
      <c r="X389" s="11"/>
    </row>
    <row r="390" customFormat="false" ht="15" hidden="false" customHeight="false" outlineLevel="0" collapsed="false">
      <c r="A390" s="11"/>
      <c r="B390" s="13"/>
      <c r="C390" s="11"/>
      <c r="D390" s="11"/>
      <c r="E390" s="11"/>
      <c r="F390" s="19"/>
      <c r="G390" s="12" t="str">
        <f aca="false">IF(F390="","",IF(F390&lt;=Parâmetros!$B$7,"Faixa 1",IF(F390&lt;=Parâmetros!$B$8,"Faixa 2","Faixa 3")))</f>
        <v/>
      </c>
      <c r="H390" s="12" t="str">
        <f aca="false">IF(G390="","",IF(G390="Faixa 1","Rodízio/Sorteio",IF(G390="Faixa 2","Cotação (≥3 propostas)","Chamada pública")))</f>
        <v/>
      </c>
      <c r="I390" s="11"/>
      <c r="J390" s="17" t="str">
        <f aca="false">IF(I390="","",IFERROR(INDEX(Cadastro!$B$5:$B$304,MATCH(I390,Cadastro!$A$5:$A$304,0)),"ID não encontrado"))</f>
        <v/>
      </c>
      <c r="K390" s="17" t="str">
        <f aca="false">IF(I390="","",IFERROR(INDEX(Cadastro!$E$5:$E$304,MATCH(I390,Cadastro!$A$5:$A$304,0)),""))</f>
        <v/>
      </c>
      <c r="L390" s="17" t="str">
        <f aca="false">IF(I390="","",IFERROR(INDEX(Cadastro!$F$5:$F$304,MATCH(I390,Cadastro!$A$5:$A$304,0)),""))</f>
        <v/>
      </c>
      <c r="M390" s="17" t="str">
        <f aca="false">IF(I390="","",IFERROR(INDEX(Cadastro!$I$5:$I$304,MATCH(I390,Cadastro!$A$5:$A$304,0)),""))</f>
        <v/>
      </c>
      <c r="N390" s="19"/>
      <c r="O390" s="13"/>
      <c r="P390" s="12" t="str">
        <f aca="false">IF(OR(B390="",O390=""),"",NETWORKDAYS(B390,O390)-1)</f>
        <v/>
      </c>
      <c r="Q390" s="13"/>
      <c r="R390" s="11"/>
      <c r="S390" s="13"/>
      <c r="T390" s="11"/>
      <c r="U390" s="11"/>
      <c r="V390" s="11"/>
      <c r="W390" s="11"/>
      <c r="X390" s="11"/>
    </row>
    <row r="391" customFormat="false" ht="15" hidden="false" customHeight="false" outlineLevel="0" collapsed="false">
      <c r="A391" s="11"/>
      <c r="B391" s="13"/>
      <c r="C391" s="11"/>
      <c r="D391" s="11"/>
      <c r="E391" s="11"/>
      <c r="F391" s="19"/>
      <c r="G391" s="12" t="str">
        <f aca="false">IF(F391="","",IF(F391&lt;=Parâmetros!$B$7,"Faixa 1",IF(F391&lt;=Parâmetros!$B$8,"Faixa 2","Faixa 3")))</f>
        <v/>
      </c>
      <c r="H391" s="12" t="str">
        <f aca="false">IF(G391="","",IF(G391="Faixa 1","Rodízio/Sorteio",IF(G391="Faixa 2","Cotação (≥3 propostas)","Chamada pública")))</f>
        <v/>
      </c>
      <c r="I391" s="11"/>
      <c r="J391" s="17" t="str">
        <f aca="false">IF(I391="","",IFERROR(INDEX(Cadastro!$B$5:$B$304,MATCH(I391,Cadastro!$A$5:$A$304,0)),"ID não encontrado"))</f>
        <v/>
      </c>
      <c r="K391" s="17" t="str">
        <f aca="false">IF(I391="","",IFERROR(INDEX(Cadastro!$E$5:$E$304,MATCH(I391,Cadastro!$A$5:$A$304,0)),""))</f>
        <v/>
      </c>
      <c r="L391" s="17" t="str">
        <f aca="false">IF(I391="","",IFERROR(INDEX(Cadastro!$F$5:$F$304,MATCH(I391,Cadastro!$A$5:$A$304,0)),""))</f>
        <v/>
      </c>
      <c r="M391" s="17" t="str">
        <f aca="false">IF(I391="","",IFERROR(INDEX(Cadastro!$I$5:$I$304,MATCH(I391,Cadastro!$A$5:$A$304,0)),""))</f>
        <v/>
      </c>
      <c r="N391" s="19"/>
      <c r="O391" s="13"/>
      <c r="P391" s="12" t="str">
        <f aca="false">IF(OR(B391="",O391=""),"",NETWORKDAYS(B391,O391)-1)</f>
        <v/>
      </c>
      <c r="Q391" s="13"/>
      <c r="R391" s="11"/>
      <c r="S391" s="13"/>
      <c r="T391" s="11"/>
      <c r="U391" s="11"/>
      <c r="V391" s="11"/>
      <c r="W391" s="11"/>
      <c r="X391" s="11"/>
    </row>
    <row r="392" customFormat="false" ht="15" hidden="false" customHeight="false" outlineLevel="0" collapsed="false">
      <c r="A392" s="11"/>
      <c r="B392" s="13"/>
      <c r="C392" s="11"/>
      <c r="D392" s="11"/>
      <c r="E392" s="11"/>
      <c r="F392" s="19"/>
      <c r="G392" s="12" t="str">
        <f aca="false">IF(F392="","",IF(F392&lt;=Parâmetros!$B$7,"Faixa 1",IF(F392&lt;=Parâmetros!$B$8,"Faixa 2","Faixa 3")))</f>
        <v/>
      </c>
      <c r="H392" s="12" t="str">
        <f aca="false">IF(G392="","",IF(G392="Faixa 1","Rodízio/Sorteio",IF(G392="Faixa 2","Cotação (≥3 propostas)","Chamada pública")))</f>
        <v/>
      </c>
      <c r="I392" s="11"/>
      <c r="J392" s="17" t="str">
        <f aca="false">IF(I392="","",IFERROR(INDEX(Cadastro!$B$5:$B$304,MATCH(I392,Cadastro!$A$5:$A$304,0)),"ID não encontrado"))</f>
        <v/>
      </c>
      <c r="K392" s="17" t="str">
        <f aca="false">IF(I392="","",IFERROR(INDEX(Cadastro!$E$5:$E$304,MATCH(I392,Cadastro!$A$5:$A$304,0)),""))</f>
        <v/>
      </c>
      <c r="L392" s="17" t="str">
        <f aca="false">IF(I392="","",IFERROR(INDEX(Cadastro!$F$5:$F$304,MATCH(I392,Cadastro!$A$5:$A$304,0)),""))</f>
        <v/>
      </c>
      <c r="M392" s="17" t="str">
        <f aca="false">IF(I392="","",IFERROR(INDEX(Cadastro!$I$5:$I$304,MATCH(I392,Cadastro!$A$5:$A$304,0)),""))</f>
        <v/>
      </c>
      <c r="N392" s="19"/>
      <c r="O392" s="13"/>
      <c r="P392" s="12" t="str">
        <f aca="false">IF(OR(B392="",O392=""),"",NETWORKDAYS(B392,O392)-1)</f>
        <v/>
      </c>
      <c r="Q392" s="13"/>
      <c r="R392" s="11"/>
      <c r="S392" s="13"/>
      <c r="T392" s="11"/>
      <c r="U392" s="11"/>
      <c r="V392" s="11"/>
      <c r="W392" s="11"/>
      <c r="X392" s="11"/>
    </row>
    <row r="393" customFormat="false" ht="15" hidden="false" customHeight="false" outlineLevel="0" collapsed="false">
      <c r="A393" s="11"/>
      <c r="B393" s="13"/>
      <c r="C393" s="11"/>
      <c r="D393" s="11"/>
      <c r="E393" s="11"/>
      <c r="F393" s="19"/>
      <c r="G393" s="12" t="str">
        <f aca="false">IF(F393="","",IF(F393&lt;=Parâmetros!$B$7,"Faixa 1",IF(F393&lt;=Parâmetros!$B$8,"Faixa 2","Faixa 3")))</f>
        <v/>
      </c>
      <c r="H393" s="12" t="str">
        <f aca="false">IF(G393="","",IF(G393="Faixa 1","Rodízio/Sorteio",IF(G393="Faixa 2","Cotação (≥3 propostas)","Chamada pública")))</f>
        <v/>
      </c>
      <c r="I393" s="11"/>
      <c r="J393" s="17" t="str">
        <f aca="false">IF(I393="","",IFERROR(INDEX(Cadastro!$B$5:$B$304,MATCH(I393,Cadastro!$A$5:$A$304,0)),"ID não encontrado"))</f>
        <v/>
      </c>
      <c r="K393" s="17" t="str">
        <f aca="false">IF(I393="","",IFERROR(INDEX(Cadastro!$E$5:$E$304,MATCH(I393,Cadastro!$A$5:$A$304,0)),""))</f>
        <v/>
      </c>
      <c r="L393" s="17" t="str">
        <f aca="false">IF(I393="","",IFERROR(INDEX(Cadastro!$F$5:$F$304,MATCH(I393,Cadastro!$A$5:$A$304,0)),""))</f>
        <v/>
      </c>
      <c r="M393" s="17" t="str">
        <f aca="false">IF(I393="","",IFERROR(INDEX(Cadastro!$I$5:$I$304,MATCH(I393,Cadastro!$A$5:$A$304,0)),""))</f>
        <v/>
      </c>
      <c r="N393" s="19"/>
      <c r="O393" s="13"/>
      <c r="P393" s="12" t="str">
        <f aca="false">IF(OR(B393="",O393=""),"",NETWORKDAYS(B393,O393)-1)</f>
        <v/>
      </c>
      <c r="Q393" s="13"/>
      <c r="R393" s="11"/>
      <c r="S393" s="13"/>
      <c r="T393" s="11"/>
      <c r="U393" s="11"/>
      <c r="V393" s="11"/>
      <c r="W393" s="11"/>
      <c r="X393" s="11"/>
    </row>
    <row r="394" customFormat="false" ht="15" hidden="false" customHeight="false" outlineLevel="0" collapsed="false">
      <c r="A394" s="11"/>
      <c r="B394" s="13"/>
      <c r="C394" s="11"/>
      <c r="D394" s="11"/>
      <c r="E394" s="11"/>
      <c r="F394" s="19"/>
      <c r="G394" s="12" t="str">
        <f aca="false">IF(F394="","",IF(F394&lt;=Parâmetros!$B$7,"Faixa 1",IF(F394&lt;=Parâmetros!$B$8,"Faixa 2","Faixa 3")))</f>
        <v/>
      </c>
      <c r="H394" s="12" t="str">
        <f aca="false">IF(G394="","",IF(G394="Faixa 1","Rodízio/Sorteio",IF(G394="Faixa 2","Cotação (≥3 propostas)","Chamada pública")))</f>
        <v/>
      </c>
      <c r="I394" s="11"/>
      <c r="J394" s="17" t="str">
        <f aca="false">IF(I394="","",IFERROR(INDEX(Cadastro!$B$5:$B$304,MATCH(I394,Cadastro!$A$5:$A$304,0)),"ID não encontrado"))</f>
        <v/>
      </c>
      <c r="K394" s="17" t="str">
        <f aca="false">IF(I394="","",IFERROR(INDEX(Cadastro!$E$5:$E$304,MATCH(I394,Cadastro!$A$5:$A$304,0)),""))</f>
        <v/>
      </c>
      <c r="L394" s="17" t="str">
        <f aca="false">IF(I394="","",IFERROR(INDEX(Cadastro!$F$5:$F$304,MATCH(I394,Cadastro!$A$5:$A$304,0)),""))</f>
        <v/>
      </c>
      <c r="M394" s="17" t="str">
        <f aca="false">IF(I394="","",IFERROR(INDEX(Cadastro!$I$5:$I$304,MATCH(I394,Cadastro!$A$5:$A$304,0)),""))</f>
        <v/>
      </c>
      <c r="N394" s="19"/>
      <c r="O394" s="13"/>
      <c r="P394" s="12" t="str">
        <f aca="false">IF(OR(B394="",O394=""),"",NETWORKDAYS(B394,O394)-1)</f>
        <v/>
      </c>
      <c r="Q394" s="13"/>
      <c r="R394" s="11"/>
      <c r="S394" s="13"/>
      <c r="T394" s="11"/>
      <c r="U394" s="11"/>
      <c r="V394" s="11"/>
      <c r="W394" s="11"/>
      <c r="X394" s="11"/>
    </row>
    <row r="395" customFormat="false" ht="15" hidden="false" customHeight="false" outlineLevel="0" collapsed="false">
      <c r="A395" s="11"/>
      <c r="B395" s="13"/>
      <c r="C395" s="11"/>
      <c r="D395" s="11"/>
      <c r="E395" s="11"/>
      <c r="F395" s="19"/>
      <c r="G395" s="12" t="str">
        <f aca="false">IF(F395="","",IF(F395&lt;=Parâmetros!$B$7,"Faixa 1",IF(F395&lt;=Parâmetros!$B$8,"Faixa 2","Faixa 3")))</f>
        <v/>
      </c>
      <c r="H395" s="12" t="str">
        <f aca="false">IF(G395="","",IF(G395="Faixa 1","Rodízio/Sorteio",IF(G395="Faixa 2","Cotação (≥3 propostas)","Chamada pública")))</f>
        <v/>
      </c>
      <c r="I395" s="11"/>
      <c r="J395" s="17" t="str">
        <f aca="false">IF(I395="","",IFERROR(INDEX(Cadastro!$B$5:$B$304,MATCH(I395,Cadastro!$A$5:$A$304,0)),"ID não encontrado"))</f>
        <v/>
      </c>
      <c r="K395" s="17" t="str">
        <f aca="false">IF(I395="","",IFERROR(INDEX(Cadastro!$E$5:$E$304,MATCH(I395,Cadastro!$A$5:$A$304,0)),""))</f>
        <v/>
      </c>
      <c r="L395" s="17" t="str">
        <f aca="false">IF(I395="","",IFERROR(INDEX(Cadastro!$F$5:$F$304,MATCH(I395,Cadastro!$A$5:$A$304,0)),""))</f>
        <v/>
      </c>
      <c r="M395" s="17" t="str">
        <f aca="false">IF(I395="","",IFERROR(INDEX(Cadastro!$I$5:$I$304,MATCH(I395,Cadastro!$A$5:$A$304,0)),""))</f>
        <v/>
      </c>
      <c r="N395" s="19"/>
      <c r="O395" s="13"/>
      <c r="P395" s="12" t="str">
        <f aca="false">IF(OR(B395="",O395=""),"",NETWORKDAYS(B395,O395)-1)</f>
        <v/>
      </c>
      <c r="Q395" s="13"/>
      <c r="R395" s="11"/>
      <c r="S395" s="13"/>
      <c r="T395" s="11"/>
      <c r="U395" s="11"/>
      <c r="V395" s="11"/>
      <c r="W395" s="11"/>
      <c r="X395" s="11"/>
    </row>
    <row r="396" customFormat="false" ht="15" hidden="false" customHeight="false" outlineLevel="0" collapsed="false">
      <c r="A396" s="11"/>
      <c r="B396" s="13"/>
      <c r="C396" s="11"/>
      <c r="D396" s="11"/>
      <c r="E396" s="11"/>
      <c r="F396" s="19"/>
      <c r="G396" s="12" t="str">
        <f aca="false">IF(F396="","",IF(F396&lt;=Parâmetros!$B$7,"Faixa 1",IF(F396&lt;=Parâmetros!$B$8,"Faixa 2","Faixa 3")))</f>
        <v/>
      </c>
      <c r="H396" s="12" t="str">
        <f aca="false">IF(G396="","",IF(G396="Faixa 1","Rodízio/Sorteio",IF(G396="Faixa 2","Cotação (≥3 propostas)","Chamada pública")))</f>
        <v/>
      </c>
      <c r="I396" s="11"/>
      <c r="J396" s="17" t="str">
        <f aca="false">IF(I396="","",IFERROR(INDEX(Cadastro!$B$5:$B$304,MATCH(I396,Cadastro!$A$5:$A$304,0)),"ID não encontrado"))</f>
        <v/>
      </c>
      <c r="K396" s="17" t="str">
        <f aca="false">IF(I396="","",IFERROR(INDEX(Cadastro!$E$5:$E$304,MATCH(I396,Cadastro!$A$5:$A$304,0)),""))</f>
        <v/>
      </c>
      <c r="L396" s="17" t="str">
        <f aca="false">IF(I396="","",IFERROR(INDEX(Cadastro!$F$5:$F$304,MATCH(I396,Cadastro!$A$5:$A$304,0)),""))</f>
        <v/>
      </c>
      <c r="M396" s="17" t="str">
        <f aca="false">IF(I396="","",IFERROR(INDEX(Cadastro!$I$5:$I$304,MATCH(I396,Cadastro!$A$5:$A$304,0)),""))</f>
        <v/>
      </c>
      <c r="N396" s="19"/>
      <c r="O396" s="13"/>
      <c r="P396" s="12" t="str">
        <f aca="false">IF(OR(B396="",O396=""),"",NETWORKDAYS(B396,O396)-1)</f>
        <v/>
      </c>
      <c r="Q396" s="13"/>
      <c r="R396" s="11"/>
      <c r="S396" s="13"/>
      <c r="T396" s="11"/>
      <c r="U396" s="11"/>
      <c r="V396" s="11"/>
      <c r="W396" s="11"/>
      <c r="X396" s="11"/>
    </row>
    <row r="397" customFormat="false" ht="15" hidden="false" customHeight="false" outlineLevel="0" collapsed="false">
      <c r="A397" s="11"/>
      <c r="B397" s="13"/>
      <c r="C397" s="11"/>
      <c r="D397" s="11"/>
      <c r="E397" s="11"/>
      <c r="F397" s="19"/>
      <c r="G397" s="12" t="str">
        <f aca="false">IF(F397="","",IF(F397&lt;=Parâmetros!$B$7,"Faixa 1",IF(F397&lt;=Parâmetros!$B$8,"Faixa 2","Faixa 3")))</f>
        <v/>
      </c>
      <c r="H397" s="12" t="str">
        <f aca="false">IF(G397="","",IF(G397="Faixa 1","Rodízio/Sorteio",IF(G397="Faixa 2","Cotação (≥3 propostas)","Chamada pública")))</f>
        <v/>
      </c>
      <c r="I397" s="11"/>
      <c r="J397" s="17" t="str">
        <f aca="false">IF(I397="","",IFERROR(INDEX(Cadastro!$B$5:$B$304,MATCH(I397,Cadastro!$A$5:$A$304,0)),"ID não encontrado"))</f>
        <v/>
      </c>
      <c r="K397" s="17" t="str">
        <f aca="false">IF(I397="","",IFERROR(INDEX(Cadastro!$E$5:$E$304,MATCH(I397,Cadastro!$A$5:$A$304,0)),""))</f>
        <v/>
      </c>
      <c r="L397" s="17" t="str">
        <f aca="false">IF(I397="","",IFERROR(INDEX(Cadastro!$F$5:$F$304,MATCH(I397,Cadastro!$A$5:$A$304,0)),""))</f>
        <v/>
      </c>
      <c r="M397" s="17" t="str">
        <f aca="false">IF(I397="","",IFERROR(INDEX(Cadastro!$I$5:$I$304,MATCH(I397,Cadastro!$A$5:$A$304,0)),""))</f>
        <v/>
      </c>
      <c r="N397" s="19"/>
      <c r="O397" s="13"/>
      <c r="P397" s="12" t="str">
        <f aca="false">IF(OR(B397="",O397=""),"",NETWORKDAYS(B397,O397)-1)</f>
        <v/>
      </c>
      <c r="Q397" s="13"/>
      <c r="R397" s="11"/>
      <c r="S397" s="13"/>
      <c r="T397" s="11"/>
      <c r="U397" s="11"/>
      <c r="V397" s="11"/>
      <c r="W397" s="11"/>
      <c r="X397" s="11"/>
    </row>
    <row r="398" customFormat="false" ht="15" hidden="false" customHeight="false" outlineLevel="0" collapsed="false">
      <c r="A398" s="11"/>
      <c r="B398" s="13"/>
      <c r="C398" s="11"/>
      <c r="D398" s="11"/>
      <c r="E398" s="11"/>
      <c r="F398" s="19"/>
      <c r="G398" s="12" t="str">
        <f aca="false">IF(F398="","",IF(F398&lt;=Parâmetros!$B$7,"Faixa 1",IF(F398&lt;=Parâmetros!$B$8,"Faixa 2","Faixa 3")))</f>
        <v/>
      </c>
      <c r="H398" s="12" t="str">
        <f aca="false">IF(G398="","",IF(G398="Faixa 1","Rodízio/Sorteio",IF(G398="Faixa 2","Cotação (≥3 propostas)","Chamada pública")))</f>
        <v/>
      </c>
      <c r="I398" s="11"/>
      <c r="J398" s="17" t="str">
        <f aca="false">IF(I398="","",IFERROR(INDEX(Cadastro!$B$5:$B$304,MATCH(I398,Cadastro!$A$5:$A$304,0)),"ID não encontrado"))</f>
        <v/>
      </c>
      <c r="K398" s="17" t="str">
        <f aca="false">IF(I398="","",IFERROR(INDEX(Cadastro!$E$5:$E$304,MATCH(I398,Cadastro!$A$5:$A$304,0)),""))</f>
        <v/>
      </c>
      <c r="L398" s="17" t="str">
        <f aca="false">IF(I398="","",IFERROR(INDEX(Cadastro!$F$5:$F$304,MATCH(I398,Cadastro!$A$5:$A$304,0)),""))</f>
        <v/>
      </c>
      <c r="M398" s="17" t="str">
        <f aca="false">IF(I398="","",IFERROR(INDEX(Cadastro!$I$5:$I$304,MATCH(I398,Cadastro!$A$5:$A$304,0)),""))</f>
        <v/>
      </c>
      <c r="N398" s="19"/>
      <c r="O398" s="13"/>
      <c r="P398" s="12" t="str">
        <f aca="false">IF(OR(B398="",O398=""),"",NETWORKDAYS(B398,O398)-1)</f>
        <v/>
      </c>
      <c r="Q398" s="13"/>
      <c r="R398" s="11"/>
      <c r="S398" s="13"/>
      <c r="T398" s="11"/>
      <c r="U398" s="11"/>
      <c r="V398" s="11"/>
      <c r="W398" s="11"/>
      <c r="X398" s="11"/>
    </row>
    <row r="399" customFormat="false" ht="15" hidden="false" customHeight="false" outlineLevel="0" collapsed="false">
      <c r="A399" s="11"/>
      <c r="B399" s="13"/>
      <c r="C399" s="11"/>
      <c r="D399" s="11"/>
      <c r="E399" s="11"/>
      <c r="F399" s="19"/>
      <c r="G399" s="12" t="str">
        <f aca="false">IF(F399="","",IF(F399&lt;=Parâmetros!$B$7,"Faixa 1",IF(F399&lt;=Parâmetros!$B$8,"Faixa 2","Faixa 3")))</f>
        <v/>
      </c>
      <c r="H399" s="12" t="str">
        <f aca="false">IF(G399="","",IF(G399="Faixa 1","Rodízio/Sorteio",IF(G399="Faixa 2","Cotação (≥3 propostas)","Chamada pública")))</f>
        <v/>
      </c>
      <c r="I399" s="11"/>
      <c r="J399" s="17" t="str">
        <f aca="false">IF(I399="","",IFERROR(INDEX(Cadastro!$B$5:$B$304,MATCH(I399,Cadastro!$A$5:$A$304,0)),"ID não encontrado"))</f>
        <v/>
      </c>
      <c r="K399" s="17" t="str">
        <f aca="false">IF(I399="","",IFERROR(INDEX(Cadastro!$E$5:$E$304,MATCH(I399,Cadastro!$A$5:$A$304,0)),""))</f>
        <v/>
      </c>
      <c r="L399" s="17" t="str">
        <f aca="false">IF(I399="","",IFERROR(INDEX(Cadastro!$F$5:$F$304,MATCH(I399,Cadastro!$A$5:$A$304,0)),""))</f>
        <v/>
      </c>
      <c r="M399" s="17" t="str">
        <f aca="false">IF(I399="","",IFERROR(INDEX(Cadastro!$I$5:$I$304,MATCH(I399,Cadastro!$A$5:$A$304,0)),""))</f>
        <v/>
      </c>
      <c r="N399" s="19"/>
      <c r="O399" s="13"/>
      <c r="P399" s="12" t="str">
        <f aca="false">IF(OR(B399="",O399=""),"",NETWORKDAYS(B399,O399)-1)</f>
        <v/>
      </c>
      <c r="Q399" s="13"/>
      <c r="R399" s="11"/>
      <c r="S399" s="13"/>
      <c r="T399" s="11"/>
      <c r="U399" s="11"/>
      <c r="V399" s="11"/>
      <c r="W399" s="11"/>
      <c r="X399" s="11"/>
    </row>
    <row r="400" customFormat="false" ht="15" hidden="false" customHeight="false" outlineLevel="0" collapsed="false">
      <c r="A400" s="11"/>
      <c r="B400" s="13"/>
      <c r="C400" s="11"/>
      <c r="D400" s="11"/>
      <c r="E400" s="11"/>
      <c r="F400" s="19"/>
      <c r="G400" s="12" t="str">
        <f aca="false">IF(F400="","",IF(F400&lt;=Parâmetros!$B$7,"Faixa 1",IF(F400&lt;=Parâmetros!$B$8,"Faixa 2","Faixa 3")))</f>
        <v/>
      </c>
      <c r="H400" s="12" t="str">
        <f aca="false">IF(G400="","",IF(G400="Faixa 1","Rodízio/Sorteio",IF(G400="Faixa 2","Cotação (≥3 propostas)","Chamada pública")))</f>
        <v/>
      </c>
      <c r="I400" s="11"/>
      <c r="J400" s="17" t="str">
        <f aca="false">IF(I400="","",IFERROR(INDEX(Cadastro!$B$5:$B$304,MATCH(I400,Cadastro!$A$5:$A$304,0)),"ID não encontrado"))</f>
        <v/>
      </c>
      <c r="K400" s="17" t="str">
        <f aca="false">IF(I400="","",IFERROR(INDEX(Cadastro!$E$5:$E$304,MATCH(I400,Cadastro!$A$5:$A$304,0)),""))</f>
        <v/>
      </c>
      <c r="L400" s="17" t="str">
        <f aca="false">IF(I400="","",IFERROR(INDEX(Cadastro!$F$5:$F$304,MATCH(I400,Cadastro!$A$5:$A$304,0)),""))</f>
        <v/>
      </c>
      <c r="M400" s="17" t="str">
        <f aca="false">IF(I400="","",IFERROR(INDEX(Cadastro!$I$5:$I$304,MATCH(I400,Cadastro!$A$5:$A$304,0)),""))</f>
        <v/>
      </c>
      <c r="N400" s="19"/>
      <c r="O400" s="13"/>
      <c r="P400" s="12" t="str">
        <f aca="false">IF(OR(B400="",O400=""),"",NETWORKDAYS(B400,O400)-1)</f>
        <v/>
      </c>
      <c r="Q400" s="13"/>
      <c r="R400" s="11"/>
      <c r="S400" s="13"/>
      <c r="T400" s="11"/>
      <c r="U400" s="11"/>
      <c r="V400" s="11"/>
      <c r="W400" s="11"/>
      <c r="X400" s="11"/>
    </row>
    <row r="401" customFormat="false" ht="15" hidden="false" customHeight="false" outlineLevel="0" collapsed="false">
      <c r="A401" s="11"/>
      <c r="B401" s="13"/>
      <c r="C401" s="11"/>
      <c r="D401" s="11"/>
      <c r="E401" s="11"/>
      <c r="F401" s="19"/>
      <c r="G401" s="12" t="str">
        <f aca="false">IF(F401="","",IF(F401&lt;=Parâmetros!$B$7,"Faixa 1",IF(F401&lt;=Parâmetros!$B$8,"Faixa 2","Faixa 3")))</f>
        <v/>
      </c>
      <c r="H401" s="12" t="str">
        <f aca="false">IF(G401="","",IF(G401="Faixa 1","Rodízio/Sorteio",IF(G401="Faixa 2","Cotação (≥3 propostas)","Chamada pública")))</f>
        <v/>
      </c>
      <c r="I401" s="11"/>
      <c r="J401" s="17" t="str">
        <f aca="false">IF(I401="","",IFERROR(INDEX(Cadastro!$B$5:$B$304,MATCH(I401,Cadastro!$A$5:$A$304,0)),"ID não encontrado"))</f>
        <v/>
      </c>
      <c r="K401" s="17" t="str">
        <f aca="false">IF(I401="","",IFERROR(INDEX(Cadastro!$E$5:$E$304,MATCH(I401,Cadastro!$A$5:$A$304,0)),""))</f>
        <v/>
      </c>
      <c r="L401" s="17" t="str">
        <f aca="false">IF(I401="","",IFERROR(INDEX(Cadastro!$F$5:$F$304,MATCH(I401,Cadastro!$A$5:$A$304,0)),""))</f>
        <v/>
      </c>
      <c r="M401" s="17" t="str">
        <f aca="false">IF(I401="","",IFERROR(INDEX(Cadastro!$I$5:$I$304,MATCH(I401,Cadastro!$A$5:$A$304,0)),""))</f>
        <v/>
      </c>
      <c r="N401" s="19"/>
      <c r="O401" s="13"/>
      <c r="P401" s="12" t="str">
        <f aca="false">IF(OR(B401="",O401=""),"",NETWORKDAYS(B401,O401)-1)</f>
        <v/>
      </c>
      <c r="Q401" s="13"/>
      <c r="R401" s="11"/>
      <c r="S401" s="13"/>
      <c r="T401" s="11"/>
      <c r="U401" s="11"/>
      <c r="V401" s="11"/>
      <c r="W401" s="11"/>
      <c r="X401" s="11"/>
    </row>
    <row r="402" customFormat="false" ht="15" hidden="false" customHeight="false" outlineLevel="0" collapsed="false">
      <c r="A402" s="11"/>
      <c r="B402" s="13"/>
      <c r="C402" s="11"/>
      <c r="D402" s="11"/>
      <c r="E402" s="11"/>
      <c r="F402" s="19"/>
      <c r="G402" s="12" t="str">
        <f aca="false">IF(F402="","",IF(F402&lt;=Parâmetros!$B$7,"Faixa 1",IF(F402&lt;=Parâmetros!$B$8,"Faixa 2","Faixa 3")))</f>
        <v/>
      </c>
      <c r="H402" s="12" t="str">
        <f aca="false">IF(G402="","",IF(G402="Faixa 1","Rodízio/Sorteio",IF(G402="Faixa 2","Cotação (≥3 propostas)","Chamada pública")))</f>
        <v/>
      </c>
      <c r="I402" s="11"/>
      <c r="J402" s="17" t="str">
        <f aca="false">IF(I402="","",IFERROR(INDEX(Cadastro!$B$5:$B$304,MATCH(I402,Cadastro!$A$5:$A$304,0)),"ID não encontrado"))</f>
        <v/>
      </c>
      <c r="K402" s="17" t="str">
        <f aca="false">IF(I402="","",IFERROR(INDEX(Cadastro!$E$5:$E$304,MATCH(I402,Cadastro!$A$5:$A$304,0)),""))</f>
        <v/>
      </c>
      <c r="L402" s="17" t="str">
        <f aca="false">IF(I402="","",IFERROR(INDEX(Cadastro!$F$5:$F$304,MATCH(I402,Cadastro!$A$5:$A$304,0)),""))</f>
        <v/>
      </c>
      <c r="M402" s="17" t="str">
        <f aca="false">IF(I402="","",IFERROR(INDEX(Cadastro!$I$5:$I$304,MATCH(I402,Cadastro!$A$5:$A$304,0)),""))</f>
        <v/>
      </c>
      <c r="N402" s="19"/>
      <c r="O402" s="13"/>
      <c r="P402" s="12" t="str">
        <f aca="false">IF(OR(B402="",O402=""),"",NETWORKDAYS(B402,O402)-1)</f>
        <v/>
      </c>
      <c r="Q402" s="13"/>
      <c r="R402" s="11"/>
      <c r="S402" s="13"/>
      <c r="T402" s="11"/>
      <c r="U402" s="11"/>
      <c r="V402" s="11"/>
      <c r="W402" s="11"/>
      <c r="X402" s="11"/>
    </row>
    <row r="403" customFormat="false" ht="15" hidden="false" customHeight="false" outlineLevel="0" collapsed="false">
      <c r="A403" s="11"/>
      <c r="B403" s="13"/>
      <c r="C403" s="11"/>
      <c r="D403" s="11"/>
      <c r="E403" s="11"/>
      <c r="F403" s="19"/>
      <c r="G403" s="12" t="str">
        <f aca="false">IF(F403="","",IF(F403&lt;=Parâmetros!$B$7,"Faixa 1",IF(F403&lt;=Parâmetros!$B$8,"Faixa 2","Faixa 3")))</f>
        <v/>
      </c>
      <c r="H403" s="12" t="str">
        <f aca="false">IF(G403="","",IF(G403="Faixa 1","Rodízio/Sorteio",IF(G403="Faixa 2","Cotação (≥3 propostas)","Chamada pública")))</f>
        <v/>
      </c>
      <c r="I403" s="11"/>
      <c r="J403" s="17" t="str">
        <f aca="false">IF(I403="","",IFERROR(INDEX(Cadastro!$B$5:$B$304,MATCH(I403,Cadastro!$A$5:$A$304,0)),"ID não encontrado"))</f>
        <v/>
      </c>
      <c r="K403" s="17" t="str">
        <f aca="false">IF(I403="","",IFERROR(INDEX(Cadastro!$E$5:$E$304,MATCH(I403,Cadastro!$A$5:$A$304,0)),""))</f>
        <v/>
      </c>
      <c r="L403" s="17" t="str">
        <f aca="false">IF(I403="","",IFERROR(INDEX(Cadastro!$F$5:$F$304,MATCH(I403,Cadastro!$A$5:$A$304,0)),""))</f>
        <v/>
      </c>
      <c r="M403" s="17" t="str">
        <f aca="false">IF(I403="","",IFERROR(INDEX(Cadastro!$I$5:$I$304,MATCH(I403,Cadastro!$A$5:$A$304,0)),""))</f>
        <v/>
      </c>
      <c r="N403" s="19"/>
      <c r="O403" s="13"/>
      <c r="P403" s="12" t="str">
        <f aca="false">IF(OR(B403="",O403=""),"",NETWORKDAYS(B403,O403)-1)</f>
        <v/>
      </c>
      <c r="Q403" s="13"/>
      <c r="R403" s="11"/>
      <c r="S403" s="13"/>
      <c r="T403" s="11"/>
      <c r="U403" s="11"/>
      <c r="V403" s="11"/>
      <c r="W403" s="11"/>
      <c r="X403" s="11"/>
    </row>
    <row r="404" customFormat="false" ht="15" hidden="false" customHeight="false" outlineLevel="0" collapsed="false">
      <c r="A404" s="11"/>
      <c r="B404" s="13"/>
      <c r="C404" s="11"/>
      <c r="D404" s="11"/>
      <c r="E404" s="11"/>
      <c r="F404" s="19"/>
      <c r="G404" s="12" t="str">
        <f aca="false">IF(F404="","",IF(F404&lt;=Parâmetros!$B$7,"Faixa 1",IF(F404&lt;=Parâmetros!$B$8,"Faixa 2","Faixa 3")))</f>
        <v/>
      </c>
      <c r="H404" s="12" t="str">
        <f aca="false">IF(G404="","",IF(G404="Faixa 1","Rodízio/Sorteio",IF(G404="Faixa 2","Cotação (≥3 propostas)","Chamada pública")))</f>
        <v/>
      </c>
      <c r="I404" s="11"/>
      <c r="J404" s="17" t="str">
        <f aca="false">IF(I404="","",IFERROR(INDEX(Cadastro!$B$5:$B$304,MATCH(I404,Cadastro!$A$5:$A$304,0)),"ID não encontrado"))</f>
        <v/>
      </c>
      <c r="K404" s="17" t="str">
        <f aca="false">IF(I404="","",IFERROR(INDEX(Cadastro!$E$5:$E$304,MATCH(I404,Cadastro!$A$5:$A$304,0)),""))</f>
        <v/>
      </c>
      <c r="L404" s="17" t="str">
        <f aca="false">IF(I404="","",IFERROR(INDEX(Cadastro!$F$5:$F$304,MATCH(I404,Cadastro!$A$5:$A$304,0)),""))</f>
        <v/>
      </c>
      <c r="M404" s="17" t="str">
        <f aca="false">IF(I404="","",IFERROR(INDEX(Cadastro!$I$5:$I$304,MATCH(I404,Cadastro!$A$5:$A$304,0)),""))</f>
        <v/>
      </c>
      <c r="N404" s="19"/>
      <c r="O404" s="13"/>
      <c r="P404" s="12" t="str">
        <f aca="false">IF(OR(B404="",O404=""),"",NETWORKDAYS(B404,O404)-1)</f>
        <v/>
      </c>
      <c r="Q404" s="13"/>
      <c r="R404" s="11"/>
      <c r="S404" s="13"/>
      <c r="T404" s="11"/>
      <c r="U404" s="11"/>
      <c r="V404" s="11"/>
      <c r="W404" s="11"/>
      <c r="X404" s="11"/>
    </row>
    <row r="405" customFormat="false" ht="15" hidden="false" customHeight="false" outlineLevel="0" collapsed="false">
      <c r="A405" s="11"/>
      <c r="B405" s="13"/>
      <c r="C405" s="11"/>
      <c r="D405" s="11"/>
      <c r="E405" s="11"/>
      <c r="F405" s="19"/>
      <c r="G405" s="12" t="str">
        <f aca="false">IF(F405="","",IF(F405&lt;=Parâmetros!$B$7,"Faixa 1",IF(F405&lt;=Parâmetros!$B$8,"Faixa 2","Faixa 3")))</f>
        <v/>
      </c>
      <c r="H405" s="12" t="str">
        <f aca="false">IF(G405="","",IF(G405="Faixa 1","Rodízio/Sorteio",IF(G405="Faixa 2","Cotação (≥3 propostas)","Chamada pública")))</f>
        <v/>
      </c>
      <c r="I405" s="11"/>
      <c r="J405" s="17" t="str">
        <f aca="false">IF(I405="","",IFERROR(INDEX(Cadastro!$B$5:$B$304,MATCH(I405,Cadastro!$A$5:$A$304,0)),"ID não encontrado"))</f>
        <v/>
      </c>
      <c r="K405" s="17" t="str">
        <f aca="false">IF(I405="","",IFERROR(INDEX(Cadastro!$E$5:$E$304,MATCH(I405,Cadastro!$A$5:$A$304,0)),""))</f>
        <v/>
      </c>
      <c r="L405" s="17" t="str">
        <f aca="false">IF(I405="","",IFERROR(INDEX(Cadastro!$F$5:$F$304,MATCH(I405,Cadastro!$A$5:$A$304,0)),""))</f>
        <v/>
      </c>
      <c r="M405" s="17" t="str">
        <f aca="false">IF(I405="","",IFERROR(INDEX(Cadastro!$I$5:$I$304,MATCH(I405,Cadastro!$A$5:$A$304,0)),""))</f>
        <v/>
      </c>
      <c r="N405" s="19"/>
      <c r="O405" s="13"/>
      <c r="P405" s="12" t="str">
        <f aca="false">IF(OR(B405="",O405=""),"",NETWORKDAYS(B405,O405)-1)</f>
        <v/>
      </c>
      <c r="Q405" s="13"/>
      <c r="R405" s="11"/>
      <c r="S405" s="13"/>
      <c r="T405" s="11"/>
      <c r="U405" s="11"/>
      <c r="V405" s="11"/>
      <c r="W405" s="11"/>
      <c r="X405" s="11"/>
    </row>
    <row r="406" customFormat="false" ht="15" hidden="false" customHeight="false" outlineLevel="0" collapsed="false">
      <c r="A406" s="11"/>
      <c r="B406" s="13"/>
      <c r="C406" s="11"/>
      <c r="D406" s="11"/>
      <c r="E406" s="11"/>
      <c r="F406" s="19"/>
      <c r="G406" s="12" t="str">
        <f aca="false">IF(F406="","",IF(F406&lt;=Parâmetros!$B$7,"Faixa 1",IF(F406&lt;=Parâmetros!$B$8,"Faixa 2","Faixa 3")))</f>
        <v/>
      </c>
      <c r="H406" s="12" t="str">
        <f aca="false">IF(G406="","",IF(G406="Faixa 1","Rodízio/Sorteio",IF(G406="Faixa 2","Cotação (≥3 propostas)","Chamada pública")))</f>
        <v/>
      </c>
      <c r="I406" s="11"/>
      <c r="J406" s="17" t="str">
        <f aca="false">IF(I406="","",IFERROR(INDEX(Cadastro!$B$5:$B$304,MATCH(I406,Cadastro!$A$5:$A$304,0)),"ID não encontrado"))</f>
        <v/>
      </c>
      <c r="K406" s="17" t="str">
        <f aca="false">IF(I406="","",IFERROR(INDEX(Cadastro!$E$5:$E$304,MATCH(I406,Cadastro!$A$5:$A$304,0)),""))</f>
        <v/>
      </c>
      <c r="L406" s="17" t="str">
        <f aca="false">IF(I406="","",IFERROR(INDEX(Cadastro!$F$5:$F$304,MATCH(I406,Cadastro!$A$5:$A$304,0)),""))</f>
        <v/>
      </c>
      <c r="M406" s="17" t="str">
        <f aca="false">IF(I406="","",IFERROR(INDEX(Cadastro!$I$5:$I$304,MATCH(I406,Cadastro!$A$5:$A$304,0)),""))</f>
        <v/>
      </c>
      <c r="N406" s="19"/>
      <c r="O406" s="13"/>
      <c r="P406" s="12" t="str">
        <f aca="false">IF(OR(B406="",O406=""),"",NETWORKDAYS(B406,O406)-1)</f>
        <v/>
      </c>
      <c r="Q406" s="13"/>
      <c r="R406" s="11"/>
      <c r="S406" s="13"/>
      <c r="T406" s="11"/>
      <c r="U406" s="11"/>
      <c r="V406" s="11"/>
      <c r="W406" s="11"/>
      <c r="X406" s="11"/>
    </row>
    <row r="407" customFormat="false" ht="15" hidden="false" customHeight="false" outlineLevel="0" collapsed="false">
      <c r="A407" s="11"/>
      <c r="B407" s="13"/>
      <c r="C407" s="11"/>
      <c r="D407" s="11"/>
      <c r="E407" s="11"/>
      <c r="F407" s="19"/>
      <c r="G407" s="12" t="str">
        <f aca="false">IF(F407="","",IF(F407&lt;=Parâmetros!$B$7,"Faixa 1",IF(F407&lt;=Parâmetros!$B$8,"Faixa 2","Faixa 3")))</f>
        <v/>
      </c>
      <c r="H407" s="12" t="str">
        <f aca="false">IF(G407="","",IF(G407="Faixa 1","Rodízio/Sorteio",IF(G407="Faixa 2","Cotação (≥3 propostas)","Chamada pública")))</f>
        <v/>
      </c>
      <c r="I407" s="11"/>
      <c r="J407" s="17" t="str">
        <f aca="false">IF(I407="","",IFERROR(INDEX(Cadastro!$B$5:$B$304,MATCH(I407,Cadastro!$A$5:$A$304,0)),"ID não encontrado"))</f>
        <v/>
      </c>
      <c r="K407" s="17" t="str">
        <f aca="false">IF(I407="","",IFERROR(INDEX(Cadastro!$E$5:$E$304,MATCH(I407,Cadastro!$A$5:$A$304,0)),""))</f>
        <v/>
      </c>
      <c r="L407" s="17" t="str">
        <f aca="false">IF(I407="","",IFERROR(INDEX(Cadastro!$F$5:$F$304,MATCH(I407,Cadastro!$A$5:$A$304,0)),""))</f>
        <v/>
      </c>
      <c r="M407" s="17" t="str">
        <f aca="false">IF(I407="","",IFERROR(INDEX(Cadastro!$I$5:$I$304,MATCH(I407,Cadastro!$A$5:$A$304,0)),""))</f>
        <v/>
      </c>
      <c r="N407" s="19"/>
      <c r="O407" s="13"/>
      <c r="P407" s="12" t="str">
        <f aca="false">IF(OR(B407="",O407=""),"",NETWORKDAYS(B407,O407)-1)</f>
        <v/>
      </c>
      <c r="Q407" s="13"/>
      <c r="R407" s="11"/>
      <c r="S407" s="13"/>
      <c r="T407" s="11"/>
      <c r="U407" s="11"/>
      <c r="V407" s="11"/>
      <c r="W407" s="11"/>
      <c r="X407" s="11"/>
    </row>
    <row r="408" customFormat="false" ht="15" hidden="false" customHeight="false" outlineLevel="0" collapsed="false">
      <c r="A408" s="11"/>
      <c r="B408" s="13"/>
      <c r="C408" s="11"/>
      <c r="D408" s="11"/>
      <c r="E408" s="11"/>
      <c r="F408" s="19"/>
      <c r="G408" s="12" t="str">
        <f aca="false">IF(F408="","",IF(F408&lt;=Parâmetros!$B$7,"Faixa 1",IF(F408&lt;=Parâmetros!$B$8,"Faixa 2","Faixa 3")))</f>
        <v/>
      </c>
      <c r="H408" s="12" t="str">
        <f aca="false">IF(G408="","",IF(G408="Faixa 1","Rodízio/Sorteio",IF(G408="Faixa 2","Cotação (≥3 propostas)","Chamada pública")))</f>
        <v/>
      </c>
      <c r="I408" s="11"/>
      <c r="J408" s="17" t="str">
        <f aca="false">IF(I408="","",IFERROR(INDEX(Cadastro!$B$5:$B$304,MATCH(I408,Cadastro!$A$5:$A$304,0)),"ID não encontrado"))</f>
        <v/>
      </c>
      <c r="K408" s="17" t="str">
        <f aca="false">IF(I408="","",IFERROR(INDEX(Cadastro!$E$5:$E$304,MATCH(I408,Cadastro!$A$5:$A$304,0)),""))</f>
        <v/>
      </c>
      <c r="L408" s="17" t="str">
        <f aca="false">IF(I408="","",IFERROR(INDEX(Cadastro!$F$5:$F$304,MATCH(I408,Cadastro!$A$5:$A$304,0)),""))</f>
        <v/>
      </c>
      <c r="M408" s="17" t="str">
        <f aca="false">IF(I408="","",IFERROR(INDEX(Cadastro!$I$5:$I$304,MATCH(I408,Cadastro!$A$5:$A$304,0)),""))</f>
        <v/>
      </c>
      <c r="N408" s="19"/>
      <c r="O408" s="13"/>
      <c r="P408" s="12" t="str">
        <f aca="false">IF(OR(B408="",O408=""),"",NETWORKDAYS(B408,O408)-1)</f>
        <v/>
      </c>
      <c r="Q408" s="13"/>
      <c r="R408" s="11"/>
      <c r="S408" s="13"/>
      <c r="T408" s="11"/>
      <c r="U408" s="11"/>
      <c r="V408" s="11"/>
      <c r="W408" s="11"/>
      <c r="X408" s="11"/>
    </row>
    <row r="409" customFormat="false" ht="15" hidden="false" customHeight="false" outlineLevel="0" collapsed="false">
      <c r="A409" s="11"/>
      <c r="B409" s="13"/>
      <c r="C409" s="11"/>
      <c r="D409" s="11"/>
      <c r="E409" s="11"/>
      <c r="F409" s="19"/>
      <c r="G409" s="12" t="str">
        <f aca="false">IF(F409="","",IF(F409&lt;=Parâmetros!$B$7,"Faixa 1",IF(F409&lt;=Parâmetros!$B$8,"Faixa 2","Faixa 3")))</f>
        <v/>
      </c>
      <c r="H409" s="12" t="str">
        <f aca="false">IF(G409="","",IF(G409="Faixa 1","Rodízio/Sorteio",IF(G409="Faixa 2","Cotação (≥3 propostas)","Chamada pública")))</f>
        <v/>
      </c>
      <c r="I409" s="11"/>
      <c r="J409" s="17" t="str">
        <f aca="false">IF(I409="","",IFERROR(INDEX(Cadastro!$B$5:$B$304,MATCH(I409,Cadastro!$A$5:$A$304,0)),"ID não encontrado"))</f>
        <v/>
      </c>
      <c r="K409" s="17" t="str">
        <f aca="false">IF(I409="","",IFERROR(INDEX(Cadastro!$E$5:$E$304,MATCH(I409,Cadastro!$A$5:$A$304,0)),""))</f>
        <v/>
      </c>
      <c r="L409" s="17" t="str">
        <f aca="false">IF(I409="","",IFERROR(INDEX(Cadastro!$F$5:$F$304,MATCH(I409,Cadastro!$A$5:$A$304,0)),""))</f>
        <v/>
      </c>
      <c r="M409" s="17" t="str">
        <f aca="false">IF(I409="","",IFERROR(INDEX(Cadastro!$I$5:$I$304,MATCH(I409,Cadastro!$A$5:$A$304,0)),""))</f>
        <v/>
      </c>
      <c r="N409" s="19"/>
      <c r="O409" s="13"/>
      <c r="P409" s="12" t="str">
        <f aca="false">IF(OR(B409="",O409=""),"",NETWORKDAYS(B409,O409)-1)</f>
        <v/>
      </c>
      <c r="Q409" s="13"/>
      <c r="R409" s="11"/>
      <c r="S409" s="13"/>
      <c r="T409" s="11"/>
      <c r="U409" s="11"/>
      <c r="V409" s="11"/>
      <c r="W409" s="11"/>
      <c r="X409" s="11"/>
    </row>
    <row r="410" customFormat="false" ht="15" hidden="false" customHeight="false" outlineLevel="0" collapsed="false">
      <c r="A410" s="11"/>
      <c r="B410" s="13"/>
      <c r="C410" s="11"/>
      <c r="D410" s="11"/>
      <c r="E410" s="11"/>
      <c r="F410" s="19"/>
      <c r="G410" s="12" t="str">
        <f aca="false">IF(F410="","",IF(F410&lt;=Parâmetros!$B$7,"Faixa 1",IF(F410&lt;=Parâmetros!$B$8,"Faixa 2","Faixa 3")))</f>
        <v/>
      </c>
      <c r="H410" s="12" t="str">
        <f aca="false">IF(G410="","",IF(G410="Faixa 1","Rodízio/Sorteio",IF(G410="Faixa 2","Cotação (≥3 propostas)","Chamada pública")))</f>
        <v/>
      </c>
      <c r="I410" s="11"/>
      <c r="J410" s="17" t="str">
        <f aca="false">IF(I410="","",IFERROR(INDEX(Cadastro!$B$5:$B$304,MATCH(I410,Cadastro!$A$5:$A$304,0)),"ID não encontrado"))</f>
        <v/>
      </c>
      <c r="K410" s="17" t="str">
        <f aca="false">IF(I410="","",IFERROR(INDEX(Cadastro!$E$5:$E$304,MATCH(I410,Cadastro!$A$5:$A$304,0)),""))</f>
        <v/>
      </c>
      <c r="L410" s="17" t="str">
        <f aca="false">IF(I410="","",IFERROR(INDEX(Cadastro!$F$5:$F$304,MATCH(I410,Cadastro!$A$5:$A$304,0)),""))</f>
        <v/>
      </c>
      <c r="M410" s="17" t="str">
        <f aca="false">IF(I410="","",IFERROR(INDEX(Cadastro!$I$5:$I$304,MATCH(I410,Cadastro!$A$5:$A$304,0)),""))</f>
        <v/>
      </c>
      <c r="N410" s="19"/>
      <c r="O410" s="13"/>
      <c r="P410" s="12" t="str">
        <f aca="false">IF(OR(B410="",O410=""),"",NETWORKDAYS(B410,O410)-1)</f>
        <v/>
      </c>
      <c r="Q410" s="13"/>
      <c r="R410" s="11"/>
      <c r="S410" s="13"/>
      <c r="T410" s="11"/>
      <c r="U410" s="11"/>
      <c r="V410" s="11"/>
      <c r="W410" s="11"/>
      <c r="X410" s="11"/>
    </row>
    <row r="411" customFormat="false" ht="15" hidden="false" customHeight="false" outlineLevel="0" collapsed="false">
      <c r="A411" s="11"/>
      <c r="B411" s="13"/>
      <c r="C411" s="11"/>
      <c r="D411" s="11"/>
      <c r="E411" s="11"/>
      <c r="F411" s="19"/>
      <c r="G411" s="12" t="str">
        <f aca="false">IF(F411="","",IF(F411&lt;=Parâmetros!$B$7,"Faixa 1",IF(F411&lt;=Parâmetros!$B$8,"Faixa 2","Faixa 3")))</f>
        <v/>
      </c>
      <c r="H411" s="12" t="str">
        <f aca="false">IF(G411="","",IF(G411="Faixa 1","Rodízio/Sorteio",IF(G411="Faixa 2","Cotação (≥3 propostas)","Chamada pública")))</f>
        <v/>
      </c>
      <c r="I411" s="11"/>
      <c r="J411" s="17" t="str">
        <f aca="false">IF(I411="","",IFERROR(INDEX(Cadastro!$B$5:$B$304,MATCH(I411,Cadastro!$A$5:$A$304,0)),"ID não encontrado"))</f>
        <v/>
      </c>
      <c r="K411" s="17" t="str">
        <f aca="false">IF(I411="","",IFERROR(INDEX(Cadastro!$E$5:$E$304,MATCH(I411,Cadastro!$A$5:$A$304,0)),""))</f>
        <v/>
      </c>
      <c r="L411" s="17" t="str">
        <f aca="false">IF(I411="","",IFERROR(INDEX(Cadastro!$F$5:$F$304,MATCH(I411,Cadastro!$A$5:$A$304,0)),""))</f>
        <v/>
      </c>
      <c r="M411" s="17" t="str">
        <f aca="false">IF(I411="","",IFERROR(INDEX(Cadastro!$I$5:$I$304,MATCH(I411,Cadastro!$A$5:$A$304,0)),""))</f>
        <v/>
      </c>
      <c r="N411" s="19"/>
      <c r="O411" s="13"/>
      <c r="P411" s="12" t="str">
        <f aca="false">IF(OR(B411="",O411=""),"",NETWORKDAYS(B411,O411)-1)</f>
        <v/>
      </c>
      <c r="Q411" s="13"/>
      <c r="R411" s="11"/>
      <c r="S411" s="13"/>
      <c r="T411" s="11"/>
      <c r="U411" s="11"/>
      <c r="V411" s="11"/>
      <c r="W411" s="11"/>
      <c r="X411" s="11"/>
    </row>
    <row r="412" customFormat="false" ht="15" hidden="false" customHeight="false" outlineLevel="0" collapsed="false">
      <c r="A412" s="11"/>
      <c r="B412" s="13"/>
      <c r="C412" s="11"/>
      <c r="D412" s="11"/>
      <c r="E412" s="11"/>
      <c r="F412" s="19"/>
      <c r="G412" s="12" t="str">
        <f aca="false">IF(F412="","",IF(F412&lt;=Parâmetros!$B$7,"Faixa 1",IF(F412&lt;=Parâmetros!$B$8,"Faixa 2","Faixa 3")))</f>
        <v/>
      </c>
      <c r="H412" s="12" t="str">
        <f aca="false">IF(G412="","",IF(G412="Faixa 1","Rodízio/Sorteio",IF(G412="Faixa 2","Cotação (≥3 propostas)","Chamada pública")))</f>
        <v/>
      </c>
      <c r="I412" s="11"/>
      <c r="J412" s="17" t="str">
        <f aca="false">IF(I412="","",IFERROR(INDEX(Cadastro!$B$5:$B$304,MATCH(I412,Cadastro!$A$5:$A$304,0)),"ID não encontrado"))</f>
        <v/>
      </c>
      <c r="K412" s="17" t="str">
        <f aca="false">IF(I412="","",IFERROR(INDEX(Cadastro!$E$5:$E$304,MATCH(I412,Cadastro!$A$5:$A$304,0)),""))</f>
        <v/>
      </c>
      <c r="L412" s="17" t="str">
        <f aca="false">IF(I412="","",IFERROR(INDEX(Cadastro!$F$5:$F$304,MATCH(I412,Cadastro!$A$5:$A$304,0)),""))</f>
        <v/>
      </c>
      <c r="M412" s="17" t="str">
        <f aca="false">IF(I412="","",IFERROR(INDEX(Cadastro!$I$5:$I$304,MATCH(I412,Cadastro!$A$5:$A$304,0)),""))</f>
        <v/>
      </c>
      <c r="N412" s="19"/>
      <c r="O412" s="13"/>
      <c r="P412" s="12" t="str">
        <f aca="false">IF(OR(B412="",O412=""),"",NETWORKDAYS(B412,O412)-1)</f>
        <v/>
      </c>
      <c r="Q412" s="13"/>
      <c r="R412" s="11"/>
      <c r="S412" s="13"/>
      <c r="T412" s="11"/>
      <c r="U412" s="11"/>
      <c r="V412" s="11"/>
      <c r="W412" s="11"/>
      <c r="X412" s="11"/>
    </row>
    <row r="413" customFormat="false" ht="15" hidden="false" customHeight="false" outlineLevel="0" collapsed="false">
      <c r="A413" s="11"/>
      <c r="B413" s="13"/>
      <c r="C413" s="11"/>
      <c r="D413" s="11"/>
      <c r="E413" s="11"/>
      <c r="F413" s="19"/>
      <c r="G413" s="12" t="str">
        <f aca="false">IF(F413="","",IF(F413&lt;=Parâmetros!$B$7,"Faixa 1",IF(F413&lt;=Parâmetros!$B$8,"Faixa 2","Faixa 3")))</f>
        <v/>
      </c>
      <c r="H413" s="12" t="str">
        <f aca="false">IF(G413="","",IF(G413="Faixa 1","Rodízio/Sorteio",IF(G413="Faixa 2","Cotação (≥3 propostas)","Chamada pública")))</f>
        <v/>
      </c>
      <c r="I413" s="11"/>
      <c r="J413" s="17" t="str">
        <f aca="false">IF(I413="","",IFERROR(INDEX(Cadastro!$B$5:$B$304,MATCH(I413,Cadastro!$A$5:$A$304,0)),"ID não encontrado"))</f>
        <v/>
      </c>
      <c r="K413" s="17" t="str">
        <f aca="false">IF(I413="","",IFERROR(INDEX(Cadastro!$E$5:$E$304,MATCH(I413,Cadastro!$A$5:$A$304,0)),""))</f>
        <v/>
      </c>
      <c r="L413" s="17" t="str">
        <f aca="false">IF(I413="","",IFERROR(INDEX(Cadastro!$F$5:$F$304,MATCH(I413,Cadastro!$A$5:$A$304,0)),""))</f>
        <v/>
      </c>
      <c r="M413" s="17" t="str">
        <f aca="false">IF(I413="","",IFERROR(INDEX(Cadastro!$I$5:$I$304,MATCH(I413,Cadastro!$A$5:$A$304,0)),""))</f>
        <v/>
      </c>
      <c r="N413" s="19"/>
      <c r="O413" s="13"/>
      <c r="P413" s="12" t="str">
        <f aca="false">IF(OR(B413="",O413=""),"",NETWORKDAYS(B413,O413)-1)</f>
        <v/>
      </c>
      <c r="Q413" s="13"/>
      <c r="R413" s="11"/>
      <c r="S413" s="13"/>
      <c r="T413" s="11"/>
      <c r="U413" s="11"/>
      <c r="V413" s="11"/>
      <c r="W413" s="11"/>
      <c r="X413" s="11"/>
    </row>
    <row r="414" customFormat="false" ht="15" hidden="false" customHeight="false" outlineLevel="0" collapsed="false">
      <c r="A414" s="11"/>
      <c r="B414" s="13"/>
      <c r="C414" s="11"/>
      <c r="D414" s="11"/>
      <c r="E414" s="11"/>
      <c r="F414" s="19"/>
      <c r="G414" s="12" t="str">
        <f aca="false">IF(F414="","",IF(F414&lt;=Parâmetros!$B$7,"Faixa 1",IF(F414&lt;=Parâmetros!$B$8,"Faixa 2","Faixa 3")))</f>
        <v/>
      </c>
      <c r="H414" s="12" t="str">
        <f aca="false">IF(G414="","",IF(G414="Faixa 1","Rodízio/Sorteio",IF(G414="Faixa 2","Cotação (≥3 propostas)","Chamada pública")))</f>
        <v/>
      </c>
      <c r="I414" s="11"/>
      <c r="J414" s="17" t="str">
        <f aca="false">IF(I414="","",IFERROR(INDEX(Cadastro!$B$5:$B$304,MATCH(I414,Cadastro!$A$5:$A$304,0)),"ID não encontrado"))</f>
        <v/>
      </c>
      <c r="K414" s="17" t="str">
        <f aca="false">IF(I414="","",IFERROR(INDEX(Cadastro!$E$5:$E$304,MATCH(I414,Cadastro!$A$5:$A$304,0)),""))</f>
        <v/>
      </c>
      <c r="L414" s="17" t="str">
        <f aca="false">IF(I414="","",IFERROR(INDEX(Cadastro!$F$5:$F$304,MATCH(I414,Cadastro!$A$5:$A$304,0)),""))</f>
        <v/>
      </c>
      <c r="M414" s="17" t="str">
        <f aca="false">IF(I414="","",IFERROR(INDEX(Cadastro!$I$5:$I$304,MATCH(I414,Cadastro!$A$5:$A$304,0)),""))</f>
        <v/>
      </c>
      <c r="N414" s="19"/>
      <c r="O414" s="13"/>
      <c r="P414" s="12" t="str">
        <f aca="false">IF(OR(B414="",O414=""),"",NETWORKDAYS(B414,O414)-1)</f>
        <v/>
      </c>
      <c r="Q414" s="13"/>
      <c r="R414" s="11"/>
      <c r="S414" s="13"/>
      <c r="T414" s="11"/>
      <c r="U414" s="11"/>
      <c r="V414" s="11"/>
      <c r="W414" s="11"/>
      <c r="X414" s="11"/>
    </row>
    <row r="415" customFormat="false" ht="15" hidden="false" customHeight="false" outlineLevel="0" collapsed="false">
      <c r="A415" s="11"/>
      <c r="B415" s="13"/>
      <c r="C415" s="11"/>
      <c r="D415" s="11"/>
      <c r="E415" s="11"/>
      <c r="F415" s="19"/>
      <c r="G415" s="12" t="str">
        <f aca="false">IF(F415="","",IF(F415&lt;=Parâmetros!$B$7,"Faixa 1",IF(F415&lt;=Parâmetros!$B$8,"Faixa 2","Faixa 3")))</f>
        <v/>
      </c>
      <c r="H415" s="12" t="str">
        <f aca="false">IF(G415="","",IF(G415="Faixa 1","Rodízio/Sorteio",IF(G415="Faixa 2","Cotação (≥3 propostas)","Chamada pública")))</f>
        <v/>
      </c>
      <c r="I415" s="11"/>
      <c r="J415" s="17" t="str">
        <f aca="false">IF(I415="","",IFERROR(INDEX(Cadastro!$B$5:$B$304,MATCH(I415,Cadastro!$A$5:$A$304,0)),"ID não encontrado"))</f>
        <v/>
      </c>
      <c r="K415" s="17" t="str">
        <f aca="false">IF(I415="","",IFERROR(INDEX(Cadastro!$E$5:$E$304,MATCH(I415,Cadastro!$A$5:$A$304,0)),""))</f>
        <v/>
      </c>
      <c r="L415" s="17" t="str">
        <f aca="false">IF(I415="","",IFERROR(INDEX(Cadastro!$F$5:$F$304,MATCH(I415,Cadastro!$A$5:$A$304,0)),""))</f>
        <v/>
      </c>
      <c r="M415" s="17" t="str">
        <f aca="false">IF(I415="","",IFERROR(INDEX(Cadastro!$I$5:$I$304,MATCH(I415,Cadastro!$A$5:$A$304,0)),""))</f>
        <v/>
      </c>
      <c r="N415" s="19"/>
      <c r="O415" s="13"/>
      <c r="P415" s="12" t="str">
        <f aca="false">IF(OR(B415="",O415=""),"",NETWORKDAYS(B415,O415)-1)</f>
        <v/>
      </c>
      <c r="Q415" s="13"/>
      <c r="R415" s="11"/>
      <c r="S415" s="13"/>
      <c r="T415" s="11"/>
      <c r="U415" s="11"/>
      <c r="V415" s="11"/>
      <c r="W415" s="11"/>
      <c r="X415" s="11"/>
    </row>
    <row r="416" customFormat="false" ht="15" hidden="false" customHeight="false" outlineLevel="0" collapsed="false">
      <c r="A416" s="11"/>
      <c r="B416" s="13"/>
      <c r="C416" s="11"/>
      <c r="D416" s="11"/>
      <c r="E416" s="11"/>
      <c r="F416" s="19"/>
      <c r="G416" s="12" t="str">
        <f aca="false">IF(F416="","",IF(F416&lt;=Parâmetros!$B$7,"Faixa 1",IF(F416&lt;=Parâmetros!$B$8,"Faixa 2","Faixa 3")))</f>
        <v/>
      </c>
      <c r="H416" s="12" t="str">
        <f aca="false">IF(G416="","",IF(G416="Faixa 1","Rodízio/Sorteio",IF(G416="Faixa 2","Cotação (≥3 propostas)","Chamada pública")))</f>
        <v/>
      </c>
      <c r="I416" s="11"/>
      <c r="J416" s="17" t="str">
        <f aca="false">IF(I416="","",IFERROR(INDEX(Cadastro!$B$5:$B$304,MATCH(I416,Cadastro!$A$5:$A$304,0)),"ID não encontrado"))</f>
        <v/>
      </c>
      <c r="K416" s="17" t="str">
        <f aca="false">IF(I416="","",IFERROR(INDEX(Cadastro!$E$5:$E$304,MATCH(I416,Cadastro!$A$5:$A$304,0)),""))</f>
        <v/>
      </c>
      <c r="L416" s="17" t="str">
        <f aca="false">IF(I416="","",IFERROR(INDEX(Cadastro!$F$5:$F$304,MATCH(I416,Cadastro!$A$5:$A$304,0)),""))</f>
        <v/>
      </c>
      <c r="M416" s="17" t="str">
        <f aca="false">IF(I416="","",IFERROR(INDEX(Cadastro!$I$5:$I$304,MATCH(I416,Cadastro!$A$5:$A$304,0)),""))</f>
        <v/>
      </c>
      <c r="N416" s="19"/>
      <c r="O416" s="13"/>
      <c r="P416" s="12" t="str">
        <f aca="false">IF(OR(B416="",O416=""),"",NETWORKDAYS(B416,O416)-1)</f>
        <v/>
      </c>
      <c r="Q416" s="13"/>
      <c r="R416" s="11"/>
      <c r="S416" s="13"/>
      <c r="T416" s="11"/>
      <c r="U416" s="11"/>
      <c r="V416" s="11"/>
      <c r="W416" s="11"/>
      <c r="X416" s="11"/>
    </row>
    <row r="417" customFormat="false" ht="15" hidden="false" customHeight="false" outlineLevel="0" collapsed="false">
      <c r="A417" s="11"/>
      <c r="B417" s="13"/>
      <c r="C417" s="11"/>
      <c r="D417" s="11"/>
      <c r="E417" s="11"/>
      <c r="F417" s="19"/>
      <c r="G417" s="12" t="str">
        <f aca="false">IF(F417="","",IF(F417&lt;=Parâmetros!$B$7,"Faixa 1",IF(F417&lt;=Parâmetros!$B$8,"Faixa 2","Faixa 3")))</f>
        <v/>
      </c>
      <c r="H417" s="12" t="str">
        <f aca="false">IF(G417="","",IF(G417="Faixa 1","Rodízio/Sorteio",IF(G417="Faixa 2","Cotação (≥3 propostas)","Chamada pública")))</f>
        <v/>
      </c>
      <c r="I417" s="11"/>
      <c r="J417" s="17" t="str">
        <f aca="false">IF(I417="","",IFERROR(INDEX(Cadastro!$B$5:$B$304,MATCH(I417,Cadastro!$A$5:$A$304,0)),"ID não encontrado"))</f>
        <v/>
      </c>
      <c r="K417" s="17" t="str">
        <f aca="false">IF(I417="","",IFERROR(INDEX(Cadastro!$E$5:$E$304,MATCH(I417,Cadastro!$A$5:$A$304,0)),""))</f>
        <v/>
      </c>
      <c r="L417" s="17" t="str">
        <f aca="false">IF(I417="","",IFERROR(INDEX(Cadastro!$F$5:$F$304,MATCH(I417,Cadastro!$A$5:$A$304,0)),""))</f>
        <v/>
      </c>
      <c r="M417" s="17" t="str">
        <f aca="false">IF(I417="","",IFERROR(INDEX(Cadastro!$I$5:$I$304,MATCH(I417,Cadastro!$A$5:$A$304,0)),""))</f>
        <v/>
      </c>
      <c r="N417" s="19"/>
      <c r="O417" s="13"/>
      <c r="P417" s="12" t="str">
        <f aca="false">IF(OR(B417="",O417=""),"",NETWORKDAYS(B417,O417)-1)</f>
        <v/>
      </c>
      <c r="Q417" s="13"/>
      <c r="R417" s="11"/>
      <c r="S417" s="13"/>
      <c r="T417" s="11"/>
      <c r="U417" s="11"/>
      <c r="V417" s="11"/>
      <c r="W417" s="11"/>
      <c r="X417" s="11"/>
    </row>
    <row r="418" customFormat="false" ht="15" hidden="false" customHeight="false" outlineLevel="0" collapsed="false">
      <c r="A418" s="11"/>
      <c r="B418" s="13"/>
      <c r="C418" s="11"/>
      <c r="D418" s="11"/>
      <c r="E418" s="11"/>
      <c r="F418" s="19"/>
      <c r="G418" s="12" t="str">
        <f aca="false">IF(F418="","",IF(F418&lt;=Parâmetros!$B$7,"Faixa 1",IF(F418&lt;=Parâmetros!$B$8,"Faixa 2","Faixa 3")))</f>
        <v/>
      </c>
      <c r="H418" s="12" t="str">
        <f aca="false">IF(G418="","",IF(G418="Faixa 1","Rodízio/Sorteio",IF(G418="Faixa 2","Cotação (≥3 propostas)","Chamada pública")))</f>
        <v/>
      </c>
      <c r="I418" s="11"/>
      <c r="J418" s="17" t="str">
        <f aca="false">IF(I418="","",IFERROR(INDEX(Cadastro!$B$5:$B$304,MATCH(I418,Cadastro!$A$5:$A$304,0)),"ID não encontrado"))</f>
        <v/>
      </c>
      <c r="K418" s="17" t="str">
        <f aca="false">IF(I418="","",IFERROR(INDEX(Cadastro!$E$5:$E$304,MATCH(I418,Cadastro!$A$5:$A$304,0)),""))</f>
        <v/>
      </c>
      <c r="L418" s="17" t="str">
        <f aca="false">IF(I418="","",IFERROR(INDEX(Cadastro!$F$5:$F$304,MATCH(I418,Cadastro!$A$5:$A$304,0)),""))</f>
        <v/>
      </c>
      <c r="M418" s="17" t="str">
        <f aca="false">IF(I418="","",IFERROR(INDEX(Cadastro!$I$5:$I$304,MATCH(I418,Cadastro!$A$5:$A$304,0)),""))</f>
        <v/>
      </c>
      <c r="N418" s="19"/>
      <c r="O418" s="13"/>
      <c r="P418" s="12" t="str">
        <f aca="false">IF(OR(B418="",O418=""),"",NETWORKDAYS(B418,O418)-1)</f>
        <v/>
      </c>
      <c r="Q418" s="13"/>
      <c r="R418" s="11"/>
      <c r="S418" s="13"/>
      <c r="T418" s="11"/>
      <c r="U418" s="11"/>
      <c r="V418" s="11"/>
      <c r="W418" s="11"/>
      <c r="X418" s="11"/>
    </row>
    <row r="419" customFormat="false" ht="15" hidden="false" customHeight="false" outlineLevel="0" collapsed="false">
      <c r="A419" s="11"/>
      <c r="B419" s="13"/>
      <c r="C419" s="11"/>
      <c r="D419" s="11"/>
      <c r="E419" s="11"/>
      <c r="F419" s="19"/>
      <c r="G419" s="12" t="str">
        <f aca="false">IF(F419="","",IF(F419&lt;=Parâmetros!$B$7,"Faixa 1",IF(F419&lt;=Parâmetros!$B$8,"Faixa 2","Faixa 3")))</f>
        <v/>
      </c>
      <c r="H419" s="12" t="str">
        <f aca="false">IF(G419="","",IF(G419="Faixa 1","Rodízio/Sorteio",IF(G419="Faixa 2","Cotação (≥3 propostas)","Chamada pública")))</f>
        <v/>
      </c>
      <c r="I419" s="11"/>
      <c r="J419" s="17" t="str">
        <f aca="false">IF(I419="","",IFERROR(INDEX(Cadastro!$B$5:$B$304,MATCH(I419,Cadastro!$A$5:$A$304,0)),"ID não encontrado"))</f>
        <v/>
      </c>
      <c r="K419" s="17" t="str">
        <f aca="false">IF(I419="","",IFERROR(INDEX(Cadastro!$E$5:$E$304,MATCH(I419,Cadastro!$A$5:$A$304,0)),""))</f>
        <v/>
      </c>
      <c r="L419" s="17" t="str">
        <f aca="false">IF(I419="","",IFERROR(INDEX(Cadastro!$F$5:$F$304,MATCH(I419,Cadastro!$A$5:$A$304,0)),""))</f>
        <v/>
      </c>
      <c r="M419" s="17" t="str">
        <f aca="false">IF(I419="","",IFERROR(INDEX(Cadastro!$I$5:$I$304,MATCH(I419,Cadastro!$A$5:$A$304,0)),""))</f>
        <v/>
      </c>
      <c r="N419" s="19"/>
      <c r="O419" s="13"/>
      <c r="P419" s="12" t="str">
        <f aca="false">IF(OR(B419="",O419=""),"",NETWORKDAYS(B419,O419)-1)</f>
        <v/>
      </c>
      <c r="Q419" s="13"/>
      <c r="R419" s="11"/>
      <c r="S419" s="13"/>
      <c r="T419" s="11"/>
      <c r="U419" s="11"/>
      <c r="V419" s="11"/>
      <c r="W419" s="11"/>
      <c r="X419" s="11"/>
    </row>
    <row r="420" customFormat="false" ht="15" hidden="false" customHeight="false" outlineLevel="0" collapsed="false">
      <c r="A420" s="11"/>
      <c r="B420" s="13"/>
      <c r="C420" s="11"/>
      <c r="D420" s="11"/>
      <c r="E420" s="11"/>
      <c r="F420" s="19"/>
      <c r="G420" s="12" t="str">
        <f aca="false">IF(F420="","",IF(F420&lt;=Parâmetros!$B$7,"Faixa 1",IF(F420&lt;=Parâmetros!$B$8,"Faixa 2","Faixa 3")))</f>
        <v/>
      </c>
      <c r="H420" s="12" t="str">
        <f aca="false">IF(G420="","",IF(G420="Faixa 1","Rodízio/Sorteio",IF(G420="Faixa 2","Cotação (≥3 propostas)","Chamada pública")))</f>
        <v/>
      </c>
      <c r="I420" s="11"/>
      <c r="J420" s="17" t="str">
        <f aca="false">IF(I420="","",IFERROR(INDEX(Cadastro!$B$5:$B$304,MATCH(I420,Cadastro!$A$5:$A$304,0)),"ID não encontrado"))</f>
        <v/>
      </c>
      <c r="K420" s="17" t="str">
        <f aca="false">IF(I420="","",IFERROR(INDEX(Cadastro!$E$5:$E$304,MATCH(I420,Cadastro!$A$5:$A$304,0)),""))</f>
        <v/>
      </c>
      <c r="L420" s="17" t="str">
        <f aca="false">IF(I420="","",IFERROR(INDEX(Cadastro!$F$5:$F$304,MATCH(I420,Cadastro!$A$5:$A$304,0)),""))</f>
        <v/>
      </c>
      <c r="M420" s="17" t="str">
        <f aca="false">IF(I420="","",IFERROR(INDEX(Cadastro!$I$5:$I$304,MATCH(I420,Cadastro!$A$5:$A$304,0)),""))</f>
        <v/>
      </c>
      <c r="N420" s="19"/>
      <c r="O420" s="13"/>
      <c r="P420" s="12" t="str">
        <f aca="false">IF(OR(B420="",O420=""),"",NETWORKDAYS(B420,O420)-1)</f>
        <v/>
      </c>
      <c r="Q420" s="13"/>
      <c r="R420" s="11"/>
      <c r="S420" s="13"/>
      <c r="T420" s="11"/>
      <c r="U420" s="11"/>
      <c r="V420" s="11"/>
      <c r="W420" s="11"/>
      <c r="X420" s="11"/>
    </row>
    <row r="421" customFormat="false" ht="15" hidden="false" customHeight="false" outlineLevel="0" collapsed="false">
      <c r="A421" s="11"/>
      <c r="B421" s="13"/>
      <c r="C421" s="11"/>
      <c r="D421" s="11"/>
      <c r="E421" s="11"/>
      <c r="F421" s="19"/>
      <c r="G421" s="12" t="str">
        <f aca="false">IF(F421="","",IF(F421&lt;=Parâmetros!$B$7,"Faixa 1",IF(F421&lt;=Parâmetros!$B$8,"Faixa 2","Faixa 3")))</f>
        <v/>
      </c>
      <c r="H421" s="12" t="str">
        <f aca="false">IF(G421="","",IF(G421="Faixa 1","Rodízio/Sorteio",IF(G421="Faixa 2","Cotação (≥3 propostas)","Chamada pública")))</f>
        <v/>
      </c>
      <c r="I421" s="11"/>
      <c r="J421" s="17" t="str">
        <f aca="false">IF(I421="","",IFERROR(INDEX(Cadastro!$B$5:$B$304,MATCH(I421,Cadastro!$A$5:$A$304,0)),"ID não encontrado"))</f>
        <v/>
      </c>
      <c r="K421" s="17" t="str">
        <f aca="false">IF(I421="","",IFERROR(INDEX(Cadastro!$E$5:$E$304,MATCH(I421,Cadastro!$A$5:$A$304,0)),""))</f>
        <v/>
      </c>
      <c r="L421" s="17" t="str">
        <f aca="false">IF(I421="","",IFERROR(INDEX(Cadastro!$F$5:$F$304,MATCH(I421,Cadastro!$A$5:$A$304,0)),""))</f>
        <v/>
      </c>
      <c r="M421" s="17" t="str">
        <f aca="false">IF(I421="","",IFERROR(INDEX(Cadastro!$I$5:$I$304,MATCH(I421,Cadastro!$A$5:$A$304,0)),""))</f>
        <v/>
      </c>
      <c r="N421" s="19"/>
      <c r="O421" s="13"/>
      <c r="P421" s="12" t="str">
        <f aca="false">IF(OR(B421="",O421=""),"",NETWORKDAYS(B421,O421)-1)</f>
        <v/>
      </c>
      <c r="Q421" s="13"/>
      <c r="R421" s="11"/>
      <c r="S421" s="13"/>
      <c r="T421" s="11"/>
      <c r="U421" s="11"/>
      <c r="V421" s="11"/>
      <c r="W421" s="11"/>
      <c r="X421" s="11"/>
    </row>
    <row r="422" customFormat="false" ht="15" hidden="false" customHeight="false" outlineLevel="0" collapsed="false">
      <c r="A422" s="11"/>
      <c r="B422" s="13"/>
      <c r="C422" s="11"/>
      <c r="D422" s="11"/>
      <c r="E422" s="11"/>
      <c r="F422" s="19"/>
      <c r="G422" s="12" t="str">
        <f aca="false">IF(F422="","",IF(F422&lt;=Parâmetros!$B$7,"Faixa 1",IF(F422&lt;=Parâmetros!$B$8,"Faixa 2","Faixa 3")))</f>
        <v/>
      </c>
      <c r="H422" s="12" t="str">
        <f aca="false">IF(G422="","",IF(G422="Faixa 1","Rodízio/Sorteio",IF(G422="Faixa 2","Cotação (≥3 propostas)","Chamada pública")))</f>
        <v/>
      </c>
      <c r="I422" s="11"/>
      <c r="J422" s="17" t="str">
        <f aca="false">IF(I422="","",IFERROR(INDEX(Cadastro!$B$5:$B$304,MATCH(I422,Cadastro!$A$5:$A$304,0)),"ID não encontrado"))</f>
        <v/>
      </c>
      <c r="K422" s="17" t="str">
        <f aca="false">IF(I422="","",IFERROR(INDEX(Cadastro!$E$5:$E$304,MATCH(I422,Cadastro!$A$5:$A$304,0)),""))</f>
        <v/>
      </c>
      <c r="L422" s="17" t="str">
        <f aca="false">IF(I422="","",IFERROR(INDEX(Cadastro!$F$5:$F$304,MATCH(I422,Cadastro!$A$5:$A$304,0)),""))</f>
        <v/>
      </c>
      <c r="M422" s="17" t="str">
        <f aca="false">IF(I422="","",IFERROR(INDEX(Cadastro!$I$5:$I$304,MATCH(I422,Cadastro!$A$5:$A$304,0)),""))</f>
        <v/>
      </c>
      <c r="N422" s="19"/>
      <c r="O422" s="13"/>
      <c r="P422" s="12" t="str">
        <f aca="false">IF(OR(B422="",O422=""),"",NETWORKDAYS(B422,O422)-1)</f>
        <v/>
      </c>
      <c r="Q422" s="13"/>
      <c r="R422" s="11"/>
      <c r="S422" s="13"/>
      <c r="T422" s="11"/>
      <c r="U422" s="11"/>
      <c r="V422" s="11"/>
      <c r="W422" s="11"/>
      <c r="X422" s="11"/>
    </row>
    <row r="423" customFormat="false" ht="15" hidden="false" customHeight="false" outlineLevel="0" collapsed="false">
      <c r="A423" s="11"/>
      <c r="B423" s="13"/>
      <c r="C423" s="11"/>
      <c r="D423" s="11"/>
      <c r="E423" s="11"/>
      <c r="F423" s="19"/>
      <c r="G423" s="12" t="str">
        <f aca="false">IF(F423="","",IF(F423&lt;=Parâmetros!$B$7,"Faixa 1",IF(F423&lt;=Parâmetros!$B$8,"Faixa 2","Faixa 3")))</f>
        <v/>
      </c>
      <c r="H423" s="12" t="str">
        <f aca="false">IF(G423="","",IF(G423="Faixa 1","Rodízio/Sorteio",IF(G423="Faixa 2","Cotação (≥3 propostas)","Chamada pública")))</f>
        <v/>
      </c>
      <c r="I423" s="11"/>
      <c r="J423" s="17" t="str">
        <f aca="false">IF(I423="","",IFERROR(INDEX(Cadastro!$B$5:$B$304,MATCH(I423,Cadastro!$A$5:$A$304,0)),"ID não encontrado"))</f>
        <v/>
      </c>
      <c r="K423" s="17" t="str">
        <f aca="false">IF(I423="","",IFERROR(INDEX(Cadastro!$E$5:$E$304,MATCH(I423,Cadastro!$A$5:$A$304,0)),""))</f>
        <v/>
      </c>
      <c r="L423" s="17" t="str">
        <f aca="false">IF(I423="","",IFERROR(INDEX(Cadastro!$F$5:$F$304,MATCH(I423,Cadastro!$A$5:$A$304,0)),""))</f>
        <v/>
      </c>
      <c r="M423" s="17" t="str">
        <f aca="false">IF(I423="","",IFERROR(INDEX(Cadastro!$I$5:$I$304,MATCH(I423,Cadastro!$A$5:$A$304,0)),""))</f>
        <v/>
      </c>
      <c r="N423" s="19"/>
      <c r="O423" s="13"/>
      <c r="P423" s="12" t="str">
        <f aca="false">IF(OR(B423="",O423=""),"",NETWORKDAYS(B423,O423)-1)</f>
        <v/>
      </c>
      <c r="Q423" s="13"/>
      <c r="R423" s="11"/>
      <c r="S423" s="13"/>
      <c r="T423" s="11"/>
      <c r="U423" s="11"/>
      <c r="V423" s="11"/>
      <c r="W423" s="11"/>
      <c r="X423" s="11"/>
    </row>
    <row r="424" customFormat="false" ht="15" hidden="false" customHeight="false" outlineLevel="0" collapsed="false">
      <c r="A424" s="11"/>
      <c r="B424" s="13"/>
      <c r="C424" s="11"/>
      <c r="D424" s="11"/>
      <c r="E424" s="11"/>
      <c r="F424" s="19"/>
      <c r="G424" s="12" t="str">
        <f aca="false">IF(F424="","",IF(F424&lt;=Parâmetros!$B$7,"Faixa 1",IF(F424&lt;=Parâmetros!$B$8,"Faixa 2","Faixa 3")))</f>
        <v/>
      </c>
      <c r="H424" s="12" t="str">
        <f aca="false">IF(G424="","",IF(G424="Faixa 1","Rodízio/Sorteio",IF(G424="Faixa 2","Cotação (≥3 propostas)","Chamada pública")))</f>
        <v/>
      </c>
      <c r="I424" s="11"/>
      <c r="J424" s="17" t="str">
        <f aca="false">IF(I424="","",IFERROR(INDEX(Cadastro!$B$5:$B$304,MATCH(I424,Cadastro!$A$5:$A$304,0)),"ID não encontrado"))</f>
        <v/>
      </c>
      <c r="K424" s="17" t="str">
        <f aca="false">IF(I424="","",IFERROR(INDEX(Cadastro!$E$5:$E$304,MATCH(I424,Cadastro!$A$5:$A$304,0)),""))</f>
        <v/>
      </c>
      <c r="L424" s="17" t="str">
        <f aca="false">IF(I424="","",IFERROR(INDEX(Cadastro!$F$5:$F$304,MATCH(I424,Cadastro!$A$5:$A$304,0)),""))</f>
        <v/>
      </c>
      <c r="M424" s="17" t="str">
        <f aca="false">IF(I424="","",IFERROR(INDEX(Cadastro!$I$5:$I$304,MATCH(I424,Cadastro!$A$5:$A$304,0)),""))</f>
        <v/>
      </c>
      <c r="N424" s="19"/>
      <c r="O424" s="13"/>
      <c r="P424" s="12" t="str">
        <f aca="false">IF(OR(B424="",O424=""),"",NETWORKDAYS(B424,O424)-1)</f>
        <v/>
      </c>
      <c r="Q424" s="13"/>
      <c r="R424" s="11"/>
      <c r="S424" s="13"/>
      <c r="T424" s="11"/>
      <c r="U424" s="11"/>
      <c r="V424" s="11"/>
      <c r="W424" s="11"/>
      <c r="X424" s="11"/>
    </row>
    <row r="425" customFormat="false" ht="15" hidden="false" customHeight="false" outlineLevel="0" collapsed="false">
      <c r="A425" s="11"/>
      <c r="B425" s="13"/>
      <c r="C425" s="11"/>
      <c r="D425" s="11"/>
      <c r="E425" s="11"/>
      <c r="F425" s="19"/>
      <c r="G425" s="12" t="str">
        <f aca="false">IF(F425="","",IF(F425&lt;=Parâmetros!$B$7,"Faixa 1",IF(F425&lt;=Parâmetros!$B$8,"Faixa 2","Faixa 3")))</f>
        <v/>
      </c>
      <c r="H425" s="12" t="str">
        <f aca="false">IF(G425="","",IF(G425="Faixa 1","Rodízio/Sorteio",IF(G425="Faixa 2","Cotação (≥3 propostas)","Chamada pública")))</f>
        <v/>
      </c>
      <c r="I425" s="11"/>
      <c r="J425" s="17" t="str">
        <f aca="false">IF(I425="","",IFERROR(INDEX(Cadastro!$B$5:$B$304,MATCH(I425,Cadastro!$A$5:$A$304,0)),"ID não encontrado"))</f>
        <v/>
      </c>
      <c r="K425" s="17" t="str">
        <f aca="false">IF(I425="","",IFERROR(INDEX(Cadastro!$E$5:$E$304,MATCH(I425,Cadastro!$A$5:$A$304,0)),""))</f>
        <v/>
      </c>
      <c r="L425" s="17" t="str">
        <f aca="false">IF(I425="","",IFERROR(INDEX(Cadastro!$F$5:$F$304,MATCH(I425,Cadastro!$A$5:$A$304,0)),""))</f>
        <v/>
      </c>
      <c r="M425" s="17" t="str">
        <f aca="false">IF(I425="","",IFERROR(INDEX(Cadastro!$I$5:$I$304,MATCH(I425,Cadastro!$A$5:$A$304,0)),""))</f>
        <v/>
      </c>
      <c r="N425" s="19"/>
      <c r="O425" s="13"/>
      <c r="P425" s="12" t="str">
        <f aca="false">IF(OR(B425="",O425=""),"",NETWORKDAYS(B425,O425)-1)</f>
        <v/>
      </c>
      <c r="Q425" s="13"/>
      <c r="R425" s="11"/>
      <c r="S425" s="13"/>
      <c r="T425" s="11"/>
      <c r="U425" s="11"/>
      <c r="V425" s="11"/>
      <c r="W425" s="11"/>
      <c r="X425" s="11"/>
    </row>
    <row r="426" customFormat="false" ht="15" hidden="false" customHeight="false" outlineLevel="0" collapsed="false">
      <c r="A426" s="11"/>
      <c r="B426" s="13"/>
      <c r="C426" s="11"/>
      <c r="D426" s="11"/>
      <c r="E426" s="11"/>
      <c r="F426" s="19"/>
      <c r="G426" s="12" t="str">
        <f aca="false">IF(F426="","",IF(F426&lt;=Parâmetros!$B$7,"Faixa 1",IF(F426&lt;=Parâmetros!$B$8,"Faixa 2","Faixa 3")))</f>
        <v/>
      </c>
      <c r="H426" s="12" t="str">
        <f aca="false">IF(G426="","",IF(G426="Faixa 1","Rodízio/Sorteio",IF(G426="Faixa 2","Cotação (≥3 propostas)","Chamada pública")))</f>
        <v/>
      </c>
      <c r="I426" s="11"/>
      <c r="J426" s="17" t="str">
        <f aca="false">IF(I426="","",IFERROR(INDEX(Cadastro!$B$5:$B$304,MATCH(I426,Cadastro!$A$5:$A$304,0)),"ID não encontrado"))</f>
        <v/>
      </c>
      <c r="K426" s="17" t="str">
        <f aca="false">IF(I426="","",IFERROR(INDEX(Cadastro!$E$5:$E$304,MATCH(I426,Cadastro!$A$5:$A$304,0)),""))</f>
        <v/>
      </c>
      <c r="L426" s="17" t="str">
        <f aca="false">IF(I426="","",IFERROR(INDEX(Cadastro!$F$5:$F$304,MATCH(I426,Cadastro!$A$5:$A$304,0)),""))</f>
        <v/>
      </c>
      <c r="M426" s="17" t="str">
        <f aca="false">IF(I426="","",IFERROR(INDEX(Cadastro!$I$5:$I$304,MATCH(I426,Cadastro!$A$5:$A$304,0)),""))</f>
        <v/>
      </c>
      <c r="N426" s="19"/>
      <c r="O426" s="13"/>
      <c r="P426" s="12" t="str">
        <f aca="false">IF(OR(B426="",O426=""),"",NETWORKDAYS(B426,O426)-1)</f>
        <v/>
      </c>
      <c r="Q426" s="13"/>
      <c r="R426" s="11"/>
      <c r="S426" s="13"/>
      <c r="T426" s="11"/>
      <c r="U426" s="11"/>
      <c r="V426" s="11"/>
      <c r="W426" s="11"/>
      <c r="X426" s="11"/>
    </row>
    <row r="427" customFormat="false" ht="15" hidden="false" customHeight="false" outlineLevel="0" collapsed="false">
      <c r="A427" s="11"/>
      <c r="B427" s="13"/>
      <c r="C427" s="11"/>
      <c r="D427" s="11"/>
      <c r="E427" s="11"/>
      <c r="F427" s="19"/>
      <c r="G427" s="12" t="str">
        <f aca="false">IF(F427="","",IF(F427&lt;=Parâmetros!$B$7,"Faixa 1",IF(F427&lt;=Parâmetros!$B$8,"Faixa 2","Faixa 3")))</f>
        <v/>
      </c>
      <c r="H427" s="12" t="str">
        <f aca="false">IF(G427="","",IF(G427="Faixa 1","Rodízio/Sorteio",IF(G427="Faixa 2","Cotação (≥3 propostas)","Chamada pública")))</f>
        <v/>
      </c>
      <c r="I427" s="11"/>
      <c r="J427" s="17" t="str">
        <f aca="false">IF(I427="","",IFERROR(INDEX(Cadastro!$B$5:$B$304,MATCH(I427,Cadastro!$A$5:$A$304,0)),"ID não encontrado"))</f>
        <v/>
      </c>
      <c r="K427" s="17" t="str">
        <f aca="false">IF(I427="","",IFERROR(INDEX(Cadastro!$E$5:$E$304,MATCH(I427,Cadastro!$A$5:$A$304,0)),""))</f>
        <v/>
      </c>
      <c r="L427" s="17" t="str">
        <f aca="false">IF(I427="","",IFERROR(INDEX(Cadastro!$F$5:$F$304,MATCH(I427,Cadastro!$A$5:$A$304,0)),""))</f>
        <v/>
      </c>
      <c r="M427" s="17" t="str">
        <f aca="false">IF(I427="","",IFERROR(INDEX(Cadastro!$I$5:$I$304,MATCH(I427,Cadastro!$A$5:$A$304,0)),""))</f>
        <v/>
      </c>
      <c r="N427" s="19"/>
      <c r="O427" s="13"/>
      <c r="P427" s="12" t="str">
        <f aca="false">IF(OR(B427="",O427=""),"",NETWORKDAYS(B427,O427)-1)</f>
        <v/>
      </c>
      <c r="Q427" s="13"/>
      <c r="R427" s="11"/>
      <c r="S427" s="13"/>
      <c r="T427" s="11"/>
      <c r="U427" s="11"/>
      <c r="V427" s="11"/>
      <c r="W427" s="11"/>
      <c r="X427" s="11"/>
    </row>
    <row r="428" customFormat="false" ht="15" hidden="false" customHeight="false" outlineLevel="0" collapsed="false">
      <c r="A428" s="11"/>
      <c r="B428" s="13"/>
      <c r="C428" s="11"/>
      <c r="D428" s="11"/>
      <c r="E428" s="11"/>
      <c r="F428" s="19"/>
      <c r="G428" s="12" t="str">
        <f aca="false">IF(F428="","",IF(F428&lt;=Parâmetros!$B$7,"Faixa 1",IF(F428&lt;=Parâmetros!$B$8,"Faixa 2","Faixa 3")))</f>
        <v/>
      </c>
      <c r="H428" s="12" t="str">
        <f aca="false">IF(G428="","",IF(G428="Faixa 1","Rodízio/Sorteio",IF(G428="Faixa 2","Cotação (≥3 propostas)","Chamada pública")))</f>
        <v/>
      </c>
      <c r="I428" s="11"/>
      <c r="J428" s="17" t="str">
        <f aca="false">IF(I428="","",IFERROR(INDEX(Cadastro!$B$5:$B$304,MATCH(I428,Cadastro!$A$5:$A$304,0)),"ID não encontrado"))</f>
        <v/>
      </c>
      <c r="K428" s="17" t="str">
        <f aca="false">IF(I428="","",IFERROR(INDEX(Cadastro!$E$5:$E$304,MATCH(I428,Cadastro!$A$5:$A$304,0)),""))</f>
        <v/>
      </c>
      <c r="L428" s="17" t="str">
        <f aca="false">IF(I428="","",IFERROR(INDEX(Cadastro!$F$5:$F$304,MATCH(I428,Cadastro!$A$5:$A$304,0)),""))</f>
        <v/>
      </c>
      <c r="M428" s="17" t="str">
        <f aca="false">IF(I428="","",IFERROR(INDEX(Cadastro!$I$5:$I$304,MATCH(I428,Cadastro!$A$5:$A$304,0)),""))</f>
        <v/>
      </c>
      <c r="N428" s="19"/>
      <c r="O428" s="13"/>
      <c r="P428" s="12" t="str">
        <f aca="false">IF(OR(B428="",O428=""),"",NETWORKDAYS(B428,O428)-1)</f>
        <v/>
      </c>
      <c r="Q428" s="13"/>
      <c r="R428" s="11"/>
      <c r="S428" s="13"/>
      <c r="T428" s="11"/>
      <c r="U428" s="11"/>
      <c r="V428" s="11"/>
      <c r="W428" s="11"/>
      <c r="X428" s="11"/>
    </row>
    <row r="429" customFormat="false" ht="15" hidden="false" customHeight="false" outlineLevel="0" collapsed="false">
      <c r="A429" s="11"/>
      <c r="B429" s="13"/>
      <c r="C429" s="11"/>
      <c r="D429" s="11"/>
      <c r="E429" s="11"/>
      <c r="F429" s="19"/>
      <c r="G429" s="12" t="str">
        <f aca="false">IF(F429="","",IF(F429&lt;=Parâmetros!$B$7,"Faixa 1",IF(F429&lt;=Parâmetros!$B$8,"Faixa 2","Faixa 3")))</f>
        <v/>
      </c>
      <c r="H429" s="12" t="str">
        <f aca="false">IF(G429="","",IF(G429="Faixa 1","Rodízio/Sorteio",IF(G429="Faixa 2","Cotação (≥3 propostas)","Chamada pública")))</f>
        <v/>
      </c>
      <c r="I429" s="11"/>
      <c r="J429" s="17" t="str">
        <f aca="false">IF(I429="","",IFERROR(INDEX(Cadastro!$B$5:$B$304,MATCH(I429,Cadastro!$A$5:$A$304,0)),"ID não encontrado"))</f>
        <v/>
      </c>
      <c r="K429" s="17" t="str">
        <f aca="false">IF(I429="","",IFERROR(INDEX(Cadastro!$E$5:$E$304,MATCH(I429,Cadastro!$A$5:$A$304,0)),""))</f>
        <v/>
      </c>
      <c r="L429" s="17" t="str">
        <f aca="false">IF(I429="","",IFERROR(INDEX(Cadastro!$F$5:$F$304,MATCH(I429,Cadastro!$A$5:$A$304,0)),""))</f>
        <v/>
      </c>
      <c r="M429" s="17" t="str">
        <f aca="false">IF(I429="","",IFERROR(INDEX(Cadastro!$I$5:$I$304,MATCH(I429,Cadastro!$A$5:$A$304,0)),""))</f>
        <v/>
      </c>
      <c r="N429" s="19"/>
      <c r="O429" s="13"/>
      <c r="P429" s="12" t="str">
        <f aca="false">IF(OR(B429="",O429=""),"",NETWORKDAYS(B429,O429)-1)</f>
        <v/>
      </c>
      <c r="Q429" s="13"/>
      <c r="R429" s="11"/>
      <c r="S429" s="13"/>
      <c r="T429" s="11"/>
      <c r="U429" s="11"/>
      <c r="V429" s="11"/>
      <c r="W429" s="11"/>
      <c r="X429" s="11"/>
    </row>
    <row r="430" customFormat="false" ht="15" hidden="false" customHeight="false" outlineLevel="0" collapsed="false">
      <c r="A430" s="11"/>
      <c r="B430" s="13"/>
      <c r="C430" s="11"/>
      <c r="D430" s="11"/>
      <c r="E430" s="11"/>
      <c r="F430" s="19"/>
      <c r="G430" s="12" t="str">
        <f aca="false">IF(F430="","",IF(F430&lt;=Parâmetros!$B$7,"Faixa 1",IF(F430&lt;=Parâmetros!$B$8,"Faixa 2","Faixa 3")))</f>
        <v/>
      </c>
      <c r="H430" s="12" t="str">
        <f aca="false">IF(G430="","",IF(G430="Faixa 1","Rodízio/Sorteio",IF(G430="Faixa 2","Cotação (≥3 propostas)","Chamada pública")))</f>
        <v/>
      </c>
      <c r="I430" s="11"/>
      <c r="J430" s="17" t="str">
        <f aca="false">IF(I430="","",IFERROR(INDEX(Cadastro!$B$5:$B$304,MATCH(I430,Cadastro!$A$5:$A$304,0)),"ID não encontrado"))</f>
        <v/>
      </c>
      <c r="K430" s="17" t="str">
        <f aca="false">IF(I430="","",IFERROR(INDEX(Cadastro!$E$5:$E$304,MATCH(I430,Cadastro!$A$5:$A$304,0)),""))</f>
        <v/>
      </c>
      <c r="L430" s="17" t="str">
        <f aca="false">IF(I430="","",IFERROR(INDEX(Cadastro!$F$5:$F$304,MATCH(I430,Cadastro!$A$5:$A$304,0)),""))</f>
        <v/>
      </c>
      <c r="M430" s="17" t="str">
        <f aca="false">IF(I430="","",IFERROR(INDEX(Cadastro!$I$5:$I$304,MATCH(I430,Cadastro!$A$5:$A$304,0)),""))</f>
        <v/>
      </c>
      <c r="N430" s="19"/>
      <c r="O430" s="13"/>
      <c r="P430" s="12" t="str">
        <f aca="false">IF(OR(B430="",O430=""),"",NETWORKDAYS(B430,O430)-1)</f>
        <v/>
      </c>
      <c r="Q430" s="13"/>
      <c r="R430" s="11"/>
      <c r="S430" s="13"/>
      <c r="T430" s="11"/>
      <c r="U430" s="11"/>
      <c r="V430" s="11"/>
      <c r="W430" s="11"/>
      <c r="X430" s="11"/>
    </row>
    <row r="431" customFormat="false" ht="15" hidden="false" customHeight="false" outlineLevel="0" collapsed="false">
      <c r="A431" s="11"/>
      <c r="B431" s="13"/>
      <c r="C431" s="11"/>
      <c r="D431" s="11"/>
      <c r="E431" s="11"/>
      <c r="F431" s="19"/>
      <c r="G431" s="12" t="str">
        <f aca="false">IF(F431="","",IF(F431&lt;=Parâmetros!$B$7,"Faixa 1",IF(F431&lt;=Parâmetros!$B$8,"Faixa 2","Faixa 3")))</f>
        <v/>
      </c>
      <c r="H431" s="12" t="str">
        <f aca="false">IF(G431="","",IF(G431="Faixa 1","Rodízio/Sorteio",IF(G431="Faixa 2","Cotação (≥3 propostas)","Chamada pública")))</f>
        <v/>
      </c>
      <c r="I431" s="11"/>
      <c r="J431" s="17" t="str">
        <f aca="false">IF(I431="","",IFERROR(INDEX(Cadastro!$B$5:$B$304,MATCH(I431,Cadastro!$A$5:$A$304,0)),"ID não encontrado"))</f>
        <v/>
      </c>
      <c r="K431" s="17" t="str">
        <f aca="false">IF(I431="","",IFERROR(INDEX(Cadastro!$E$5:$E$304,MATCH(I431,Cadastro!$A$5:$A$304,0)),""))</f>
        <v/>
      </c>
      <c r="L431" s="17" t="str">
        <f aca="false">IF(I431="","",IFERROR(INDEX(Cadastro!$F$5:$F$304,MATCH(I431,Cadastro!$A$5:$A$304,0)),""))</f>
        <v/>
      </c>
      <c r="M431" s="17" t="str">
        <f aca="false">IF(I431="","",IFERROR(INDEX(Cadastro!$I$5:$I$304,MATCH(I431,Cadastro!$A$5:$A$304,0)),""))</f>
        <v/>
      </c>
      <c r="N431" s="19"/>
      <c r="O431" s="13"/>
      <c r="P431" s="12" t="str">
        <f aca="false">IF(OR(B431="",O431=""),"",NETWORKDAYS(B431,O431)-1)</f>
        <v/>
      </c>
      <c r="Q431" s="13"/>
      <c r="R431" s="11"/>
      <c r="S431" s="13"/>
      <c r="T431" s="11"/>
      <c r="U431" s="11"/>
      <c r="V431" s="11"/>
      <c r="W431" s="11"/>
      <c r="X431" s="11"/>
    </row>
    <row r="432" customFormat="false" ht="15" hidden="false" customHeight="false" outlineLevel="0" collapsed="false">
      <c r="A432" s="11"/>
      <c r="B432" s="13"/>
      <c r="C432" s="11"/>
      <c r="D432" s="11"/>
      <c r="E432" s="11"/>
      <c r="F432" s="19"/>
      <c r="G432" s="12" t="str">
        <f aca="false">IF(F432="","",IF(F432&lt;=Parâmetros!$B$7,"Faixa 1",IF(F432&lt;=Parâmetros!$B$8,"Faixa 2","Faixa 3")))</f>
        <v/>
      </c>
      <c r="H432" s="12" t="str">
        <f aca="false">IF(G432="","",IF(G432="Faixa 1","Rodízio/Sorteio",IF(G432="Faixa 2","Cotação (≥3 propostas)","Chamada pública")))</f>
        <v/>
      </c>
      <c r="I432" s="11"/>
      <c r="J432" s="17" t="str">
        <f aca="false">IF(I432="","",IFERROR(INDEX(Cadastro!$B$5:$B$304,MATCH(I432,Cadastro!$A$5:$A$304,0)),"ID não encontrado"))</f>
        <v/>
      </c>
      <c r="K432" s="17" t="str">
        <f aca="false">IF(I432="","",IFERROR(INDEX(Cadastro!$E$5:$E$304,MATCH(I432,Cadastro!$A$5:$A$304,0)),""))</f>
        <v/>
      </c>
      <c r="L432" s="17" t="str">
        <f aca="false">IF(I432="","",IFERROR(INDEX(Cadastro!$F$5:$F$304,MATCH(I432,Cadastro!$A$5:$A$304,0)),""))</f>
        <v/>
      </c>
      <c r="M432" s="17" t="str">
        <f aca="false">IF(I432="","",IFERROR(INDEX(Cadastro!$I$5:$I$304,MATCH(I432,Cadastro!$A$5:$A$304,0)),""))</f>
        <v/>
      </c>
      <c r="N432" s="19"/>
      <c r="O432" s="13"/>
      <c r="P432" s="12" t="str">
        <f aca="false">IF(OR(B432="",O432=""),"",NETWORKDAYS(B432,O432)-1)</f>
        <v/>
      </c>
      <c r="Q432" s="13"/>
      <c r="R432" s="11"/>
      <c r="S432" s="13"/>
      <c r="T432" s="11"/>
      <c r="U432" s="11"/>
      <c r="V432" s="11"/>
      <c r="W432" s="11"/>
      <c r="X432" s="11"/>
    </row>
    <row r="433" customFormat="false" ht="15" hidden="false" customHeight="false" outlineLevel="0" collapsed="false">
      <c r="A433" s="11"/>
      <c r="B433" s="13"/>
      <c r="C433" s="11"/>
      <c r="D433" s="11"/>
      <c r="E433" s="11"/>
      <c r="F433" s="19"/>
      <c r="G433" s="12" t="str">
        <f aca="false">IF(F433="","",IF(F433&lt;=Parâmetros!$B$7,"Faixa 1",IF(F433&lt;=Parâmetros!$B$8,"Faixa 2","Faixa 3")))</f>
        <v/>
      </c>
      <c r="H433" s="12" t="str">
        <f aca="false">IF(G433="","",IF(G433="Faixa 1","Rodízio/Sorteio",IF(G433="Faixa 2","Cotação (≥3 propostas)","Chamada pública")))</f>
        <v/>
      </c>
      <c r="I433" s="11"/>
      <c r="J433" s="17" t="str">
        <f aca="false">IF(I433="","",IFERROR(INDEX(Cadastro!$B$5:$B$304,MATCH(I433,Cadastro!$A$5:$A$304,0)),"ID não encontrado"))</f>
        <v/>
      </c>
      <c r="K433" s="17" t="str">
        <f aca="false">IF(I433="","",IFERROR(INDEX(Cadastro!$E$5:$E$304,MATCH(I433,Cadastro!$A$5:$A$304,0)),""))</f>
        <v/>
      </c>
      <c r="L433" s="17" t="str">
        <f aca="false">IF(I433="","",IFERROR(INDEX(Cadastro!$F$5:$F$304,MATCH(I433,Cadastro!$A$5:$A$304,0)),""))</f>
        <v/>
      </c>
      <c r="M433" s="17" t="str">
        <f aca="false">IF(I433="","",IFERROR(INDEX(Cadastro!$I$5:$I$304,MATCH(I433,Cadastro!$A$5:$A$304,0)),""))</f>
        <v/>
      </c>
      <c r="N433" s="19"/>
      <c r="O433" s="13"/>
      <c r="P433" s="12" t="str">
        <f aca="false">IF(OR(B433="",O433=""),"",NETWORKDAYS(B433,O433)-1)</f>
        <v/>
      </c>
      <c r="Q433" s="13"/>
      <c r="R433" s="11"/>
      <c r="S433" s="13"/>
      <c r="T433" s="11"/>
      <c r="U433" s="11"/>
      <c r="V433" s="11"/>
      <c r="W433" s="11"/>
      <c r="X433" s="11"/>
    </row>
    <row r="434" customFormat="false" ht="15" hidden="false" customHeight="false" outlineLevel="0" collapsed="false">
      <c r="A434" s="11"/>
      <c r="B434" s="13"/>
      <c r="C434" s="11"/>
      <c r="D434" s="11"/>
      <c r="E434" s="11"/>
      <c r="F434" s="19"/>
      <c r="G434" s="12" t="str">
        <f aca="false">IF(F434="","",IF(F434&lt;=Parâmetros!$B$7,"Faixa 1",IF(F434&lt;=Parâmetros!$B$8,"Faixa 2","Faixa 3")))</f>
        <v/>
      </c>
      <c r="H434" s="12" t="str">
        <f aca="false">IF(G434="","",IF(G434="Faixa 1","Rodízio/Sorteio",IF(G434="Faixa 2","Cotação (≥3 propostas)","Chamada pública")))</f>
        <v/>
      </c>
      <c r="I434" s="11"/>
      <c r="J434" s="17" t="str">
        <f aca="false">IF(I434="","",IFERROR(INDEX(Cadastro!$B$5:$B$304,MATCH(I434,Cadastro!$A$5:$A$304,0)),"ID não encontrado"))</f>
        <v/>
      </c>
      <c r="K434" s="17" t="str">
        <f aca="false">IF(I434="","",IFERROR(INDEX(Cadastro!$E$5:$E$304,MATCH(I434,Cadastro!$A$5:$A$304,0)),""))</f>
        <v/>
      </c>
      <c r="L434" s="17" t="str">
        <f aca="false">IF(I434="","",IFERROR(INDEX(Cadastro!$F$5:$F$304,MATCH(I434,Cadastro!$A$5:$A$304,0)),""))</f>
        <v/>
      </c>
      <c r="M434" s="17" t="str">
        <f aca="false">IF(I434="","",IFERROR(INDEX(Cadastro!$I$5:$I$304,MATCH(I434,Cadastro!$A$5:$A$304,0)),""))</f>
        <v/>
      </c>
      <c r="N434" s="19"/>
      <c r="O434" s="13"/>
      <c r="P434" s="12" t="str">
        <f aca="false">IF(OR(B434="",O434=""),"",NETWORKDAYS(B434,O434)-1)</f>
        <v/>
      </c>
      <c r="Q434" s="13"/>
      <c r="R434" s="11"/>
      <c r="S434" s="13"/>
      <c r="T434" s="11"/>
      <c r="U434" s="11"/>
      <c r="V434" s="11"/>
      <c r="W434" s="11"/>
      <c r="X434" s="11"/>
    </row>
    <row r="435" customFormat="false" ht="15" hidden="false" customHeight="false" outlineLevel="0" collapsed="false">
      <c r="A435" s="11"/>
      <c r="B435" s="13"/>
      <c r="C435" s="11"/>
      <c r="D435" s="11"/>
      <c r="E435" s="11"/>
      <c r="F435" s="19"/>
      <c r="G435" s="12" t="str">
        <f aca="false">IF(F435="","",IF(F435&lt;=Parâmetros!$B$7,"Faixa 1",IF(F435&lt;=Parâmetros!$B$8,"Faixa 2","Faixa 3")))</f>
        <v/>
      </c>
      <c r="H435" s="12" t="str">
        <f aca="false">IF(G435="","",IF(G435="Faixa 1","Rodízio/Sorteio",IF(G435="Faixa 2","Cotação (≥3 propostas)","Chamada pública")))</f>
        <v/>
      </c>
      <c r="I435" s="11"/>
      <c r="J435" s="17" t="str">
        <f aca="false">IF(I435="","",IFERROR(INDEX(Cadastro!$B$5:$B$304,MATCH(I435,Cadastro!$A$5:$A$304,0)),"ID não encontrado"))</f>
        <v/>
      </c>
      <c r="K435" s="17" t="str">
        <f aca="false">IF(I435="","",IFERROR(INDEX(Cadastro!$E$5:$E$304,MATCH(I435,Cadastro!$A$5:$A$304,0)),""))</f>
        <v/>
      </c>
      <c r="L435" s="17" t="str">
        <f aca="false">IF(I435="","",IFERROR(INDEX(Cadastro!$F$5:$F$304,MATCH(I435,Cadastro!$A$5:$A$304,0)),""))</f>
        <v/>
      </c>
      <c r="M435" s="17" t="str">
        <f aca="false">IF(I435="","",IFERROR(INDEX(Cadastro!$I$5:$I$304,MATCH(I435,Cadastro!$A$5:$A$304,0)),""))</f>
        <v/>
      </c>
      <c r="N435" s="19"/>
      <c r="O435" s="13"/>
      <c r="P435" s="12" t="str">
        <f aca="false">IF(OR(B435="",O435=""),"",NETWORKDAYS(B435,O435)-1)</f>
        <v/>
      </c>
      <c r="Q435" s="13"/>
      <c r="R435" s="11"/>
      <c r="S435" s="13"/>
      <c r="T435" s="11"/>
      <c r="U435" s="11"/>
      <c r="V435" s="11"/>
      <c r="W435" s="11"/>
      <c r="X435" s="11"/>
    </row>
    <row r="436" customFormat="false" ht="15" hidden="false" customHeight="false" outlineLevel="0" collapsed="false">
      <c r="A436" s="11"/>
      <c r="B436" s="13"/>
      <c r="C436" s="11"/>
      <c r="D436" s="11"/>
      <c r="E436" s="11"/>
      <c r="F436" s="19"/>
      <c r="G436" s="12" t="str">
        <f aca="false">IF(F436="","",IF(F436&lt;=Parâmetros!$B$7,"Faixa 1",IF(F436&lt;=Parâmetros!$B$8,"Faixa 2","Faixa 3")))</f>
        <v/>
      </c>
      <c r="H436" s="12" t="str">
        <f aca="false">IF(G436="","",IF(G436="Faixa 1","Rodízio/Sorteio",IF(G436="Faixa 2","Cotação (≥3 propostas)","Chamada pública")))</f>
        <v/>
      </c>
      <c r="I436" s="11"/>
      <c r="J436" s="17" t="str">
        <f aca="false">IF(I436="","",IFERROR(INDEX(Cadastro!$B$5:$B$304,MATCH(I436,Cadastro!$A$5:$A$304,0)),"ID não encontrado"))</f>
        <v/>
      </c>
      <c r="K436" s="17" t="str">
        <f aca="false">IF(I436="","",IFERROR(INDEX(Cadastro!$E$5:$E$304,MATCH(I436,Cadastro!$A$5:$A$304,0)),""))</f>
        <v/>
      </c>
      <c r="L436" s="17" t="str">
        <f aca="false">IF(I436="","",IFERROR(INDEX(Cadastro!$F$5:$F$304,MATCH(I436,Cadastro!$A$5:$A$304,0)),""))</f>
        <v/>
      </c>
      <c r="M436" s="17" t="str">
        <f aca="false">IF(I436="","",IFERROR(INDEX(Cadastro!$I$5:$I$304,MATCH(I436,Cadastro!$A$5:$A$304,0)),""))</f>
        <v/>
      </c>
      <c r="N436" s="19"/>
      <c r="O436" s="13"/>
      <c r="P436" s="12" t="str">
        <f aca="false">IF(OR(B436="",O436=""),"",NETWORKDAYS(B436,O436)-1)</f>
        <v/>
      </c>
      <c r="Q436" s="13"/>
      <c r="R436" s="11"/>
      <c r="S436" s="13"/>
      <c r="T436" s="11"/>
      <c r="U436" s="11"/>
      <c r="V436" s="11"/>
      <c r="W436" s="11"/>
      <c r="X436" s="11"/>
    </row>
    <row r="437" customFormat="false" ht="15" hidden="false" customHeight="false" outlineLevel="0" collapsed="false">
      <c r="A437" s="11"/>
      <c r="B437" s="13"/>
      <c r="C437" s="11"/>
      <c r="D437" s="11"/>
      <c r="E437" s="11"/>
      <c r="F437" s="19"/>
      <c r="G437" s="12" t="str">
        <f aca="false">IF(F437="","",IF(F437&lt;=Parâmetros!$B$7,"Faixa 1",IF(F437&lt;=Parâmetros!$B$8,"Faixa 2","Faixa 3")))</f>
        <v/>
      </c>
      <c r="H437" s="12" t="str">
        <f aca="false">IF(G437="","",IF(G437="Faixa 1","Rodízio/Sorteio",IF(G437="Faixa 2","Cotação (≥3 propostas)","Chamada pública")))</f>
        <v/>
      </c>
      <c r="I437" s="11"/>
      <c r="J437" s="17" t="str">
        <f aca="false">IF(I437="","",IFERROR(INDEX(Cadastro!$B$5:$B$304,MATCH(I437,Cadastro!$A$5:$A$304,0)),"ID não encontrado"))</f>
        <v/>
      </c>
      <c r="K437" s="17" t="str">
        <f aca="false">IF(I437="","",IFERROR(INDEX(Cadastro!$E$5:$E$304,MATCH(I437,Cadastro!$A$5:$A$304,0)),""))</f>
        <v/>
      </c>
      <c r="L437" s="17" t="str">
        <f aca="false">IF(I437="","",IFERROR(INDEX(Cadastro!$F$5:$F$304,MATCH(I437,Cadastro!$A$5:$A$304,0)),""))</f>
        <v/>
      </c>
      <c r="M437" s="17" t="str">
        <f aca="false">IF(I437="","",IFERROR(INDEX(Cadastro!$I$5:$I$304,MATCH(I437,Cadastro!$A$5:$A$304,0)),""))</f>
        <v/>
      </c>
      <c r="N437" s="19"/>
      <c r="O437" s="13"/>
      <c r="P437" s="12" t="str">
        <f aca="false">IF(OR(B437="",O437=""),"",NETWORKDAYS(B437,O437)-1)</f>
        <v/>
      </c>
      <c r="Q437" s="13"/>
      <c r="R437" s="11"/>
      <c r="S437" s="13"/>
      <c r="T437" s="11"/>
      <c r="U437" s="11"/>
      <c r="V437" s="11"/>
      <c r="W437" s="11"/>
      <c r="X437" s="11"/>
    </row>
    <row r="438" customFormat="false" ht="15" hidden="false" customHeight="false" outlineLevel="0" collapsed="false">
      <c r="A438" s="11"/>
      <c r="B438" s="13"/>
      <c r="C438" s="11"/>
      <c r="D438" s="11"/>
      <c r="E438" s="11"/>
      <c r="F438" s="19"/>
      <c r="G438" s="12" t="str">
        <f aca="false">IF(F438="","",IF(F438&lt;=Parâmetros!$B$7,"Faixa 1",IF(F438&lt;=Parâmetros!$B$8,"Faixa 2","Faixa 3")))</f>
        <v/>
      </c>
      <c r="H438" s="12" t="str">
        <f aca="false">IF(G438="","",IF(G438="Faixa 1","Rodízio/Sorteio",IF(G438="Faixa 2","Cotação (≥3 propostas)","Chamada pública")))</f>
        <v/>
      </c>
      <c r="I438" s="11"/>
      <c r="J438" s="17" t="str">
        <f aca="false">IF(I438="","",IFERROR(INDEX(Cadastro!$B$5:$B$304,MATCH(I438,Cadastro!$A$5:$A$304,0)),"ID não encontrado"))</f>
        <v/>
      </c>
      <c r="K438" s="17" t="str">
        <f aca="false">IF(I438="","",IFERROR(INDEX(Cadastro!$E$5:$E$304,MATCH(I438,Cadastro!$A$5:$A$304,0)),""))</f>
        <v/>
      </c>
      <c r="L438" s="17" t="str">
        <f aca="false">IF(I438="","",IFERROR(INDEX(Cadastro!$F$5:$F$304,MATCH(I438,Cadastro!$A$5:$A$304,0)),""))</f>
        <v/>
      </c>
      <c r="M438" s="17" t="str">
        <f aca="false">IF(I438="","",IFERROR(INDEX(Cadastro!$I$5:$I$304,MATCH(I438,Cadastro!$A$5:$A$304,0)),""))</f>
        <v/>
      </c>
      <c r="N438" s="19"/>
      <c r="O438" s="13"/>
      <c r="P438" s="12" t="str">
        <f aca="false">IF(OR(B438="",O438=""),"",NETWORKDAYS(B438,O438)-1)</f>
        <v/>
      </c>
      <c r="Q438" s="13"/>
      <c r="R438" s="11"/>
      <c r="S438" s="13"/>
      <c r="T438" s="11"/>
      <c r="U438" s="11"/>
      <c r="V438" s="11"/>
      <c r="W438" s="11"/>
      <c r="X438" s="11"/>
    </row>
    <row r="439" customFormat="false" ht="15" hidden="false" customHeight="false" outlineLevel="0" collapsed="false">
      <c r="A439" s="11"/>
      <c r="B439" s="13"/>
      <c r="C439" s="11"/>
      <c r="D439" s="11"/>
      <c r="E439" s="11"/>
      <c r="F439" s="19"/>
      <c r="G439" s="12" t="str">
        <f aca="false">IF(F439="","",IF(F439&lt;=Parâmetros!$B$7,"Faixa 1",IF(F439&lt;=Parâmetros!$B$8,"Faixa 2","Faixa 3")))</f>
        <v/>
      </c>
      <c r="H439" s="12" t="str">
        <f aca="false">IF(G439="","",IF(G439="Faixa 1","Rodízio/Sorteio",IF(G439="Faixa 2","Cotação (≥3 propostas)","Chamada pública")))</f>
        <v/>
      </c>
      <c r="I439" s="11"/>
      <c r="J439" s="17" t="str">
        <f aca="false">IF(I439="","",IFERROR(INDEX(Cadastro!$B$5:$B$304,MATCH(I439,Cadastro!$A$5:$A$304,0)),"ID não encontrado"))</f>
        <v/>
      </c>
      <c r="K439" s="17" t="str">
        <f aca="false">IF(I439="","",IFERROR(INDEX(Cadastro!$E$5:$E$304,MATCH(I439,Cadastro!$A$5:$A$304,0)),""))</f>
        <v/>
      </c>
      <c r="L439" s="17" t="str">
        <f aca="false">IF(I439="","",IFERROR(INDEX(Cadastro!$F$5:$F$304,MATCH(I439,Cadastro!$A$5:$A$304,0)),""))</f>
        <v/>
      </c>
      <c r="M439" s="17" t="str">
        <f aca="false">IF(I439="","",IFERROR(INDEX(Cadastro!$I$5:$I$304,MATCH(I439,Cadastro!$A$5:$A$304,0)),""))</f>
        <v/>
      </c>
      <c r="N439" s="19"/>
      <c r="O439" s="13"/>
      <c r="P439" s="12" t="str">
        <f aca="false">IF(OR(B439="",O439=""),"",NETWORKDAYS(B439,O439)-1)</f>
        <v/>
      </c>
      <c r="Q439" s="13"/>
      <c r="R439" s="11"/>
      <c r="S439" s="13"/>
      <c r="T439" s="11"/>
      <c r="U439" s="11"/>
      <c r="V439" s="11"/>
      <c r="W439" s="11"/>
      <c r="X439" s="11"/>
    </row>
    <row r="440" customFormat="false" ht="15" hidden="false" customHeight="false" outlineLevel="0" collapsed="false">
      <c r="A440" s="11"/>
      <c r="B440" s="13"/>
      <c r="C440" s="11"/>
      <c r="D440" s="11"/>
      <c r="E440" s="11"/>
      <c r="F440" s="19"/>
      <c r="G440" s="12" t="str">
        <f aca="false">IF(F440="","",IF(F440&lt;=Parâmetros!$B$7,"Faixa 1",IF(F440&lt;=Parâmetros!$B$8,"Faixa 2","Faixa 3")))</f>
        <v/>
      </c>
      <c r="H440" s="12" t="str">
        <f aca="false">IF(G440="","",IF(G440="Faixa 1","Rodízio/Sorteio",IF(G440="Faixa 2","Cotação (≥3 propostas)","Chamada pública")))</f>
        <v/>
      </c>
      <c r="I440" s="11"/>
      <c r="J440" s="17" t="str">
        <f aca="false">IF(I440="","",IFERROR(INDEX(Cadastro!$B$5:$B$304,MATCH(I440,Cadastro!$A$5:$A$304,0)),"ID não encontrado"))</f>
        <v/>
      </c>
      <c r="K440" s="17" t="str">
        <f aca="false">IF(I440="","",IFERROR(INDEX(Cadastro!$E$5:$E$304,MATCH(I440,Cadastro!$A$5:$A$304,0)),""))</f>
        <v/>
      </c>
      <c r="L440" s="17" t="str">
        <f aca="false">IF(I440="","",IFERROR(INDEX(Cadastro!$F$5:$F$304,MATCH(I440,Cadastro!$A$5:$A$304,0)),""))</f>
        <v/>
      </c>
      <c r="M440" s="17" t="str">
        <f aca="false">IF(I440="","",IFERROR(INDEX(Cadastro!$I$5:$I$304,MATCH(I440,Cadastro!$A$5:$A$304,0)),""))</f>
        <v/>
      </c>
      <c r="N440" s="19"/>
      <c r="O440" s="13"/>
      <c r="P440" s="12" t="str">
        <f aca="false">IF(OR(B440="",O440=""),"",NETWORKDAYS(B440,O440)-1)</f>
        <v/>
      </c>
      <c r="Q440" s="13"/>
      <c r="R440" s="11"/>
      <c r="S440" s="13"/>
      <c r="T440" s="11"/>
      <c r="U440" s="11"/>
      <c r="V440" s="11"/>
      <c r="W440" s="11"/>
      <c r="X440" s="11"/>
    </row>
    <row r="441" customFormat="false" ht="15" hidden="false" customHeight="false" outlineLevel="0" collapsed="false">
      <c r="A441" s="11"/>
      <c r="B441" s="13"/>
      <c r="C441" s="11"/>
      <c r="D441" s="11"/>
      <c r="E441" s="11"/>
      <c r="F441" s="19"/>
      <c r="G441" s="12" t="str">
        <f aca="false">IF(F441="","",IF(F441&lt;=Parâmetros!$B$7,"Faixa 1",IF(F441&lt;=Parâmetros!$B$8,"Faixa 2","Faixa 3")))</f>
        <v/>
      </c>
      <c r="H441" s="12" t="str">
        <f aca="false">IF(G441="","",IF(G441="Faixa 1","Rodízio/Sorteio",IF(G441="Faixa 2","Cotação (≥3 propostas)","Chamada pública")))</f>
        <v/>
      </c>
      <c r="I441" s="11"/>
      <c r="J441" s="17" t="str">
        <f aca="false">IF(I441="","",IFERROR(INDEX(Cadastro!$B$5:$B$304,MATCH(I441,Cadastro!$A$5:$A$304,0)),"ID não encontrado"))</f>
        <v/>
      </c>
      <c r="K441" s="17" t="str">
        <f aca="false">IF(I441="","",IFERROR(INDEX(Cadastro!$E$5:$E$304,MATCH(I441,Cadastro!$A$5:$A$304,0)),""))</f>
        <v/>
      </c>
      <c r="L441" s="17" t="str">
        <f aca="false">IF(I441="","",IFERROR(INDEX(Cadastro!$F$5:$F$304,MATCH(I441,Cadastro!$A$5:$A$304,0)),""))</f>
        <v/>
      </c>
      <c r="M441" s="17" t="str">
        <f aca="false">IF(I441="","",IFERROR(INDEX(Cadastro!$I$5:$I$304,MATCH(I441,Cadastro!$A$5:$A$304,0)),""))</f>
        <v/>
      </c>
      <c r="N441" s="19"/>
      <c r="O441" s="13"/>
      <c r="P441" s="12" t="str">
        <f aca="false">IF(OR(B441="",O441=""),"",NETWORKDAYS(B441,O441)-1)</f>
        <v/>
      </c>
      <c r="Q441" s="13"/>
      <c r="R441" s="11"/>
      <c r="S441" s="13"/>
      <c r="T441" s="11"/>
      <c r="U441" s="11"/>
      <c r="V441" s="11"/>
      <c r="W441" s="11"/>
      <c r="X441" s="11"/>
    </row>
    <row r="442" customFormat="false" ht="15" hidden="false" customHeight="false" outlineLevel="0" collapsed="false">
      <c r="A442" s="11"/>
      <c r="B442" s="13"/>
      <c r="C442" s="11"/>
      <c r="D442" s="11"/>
      <c r="E442" s="11"/>
      <c r="F442" s="19"/>
      <c r="G442" s="12" t="str">
        <f aca="false">IF(F442="","",IF(F442&lt;=Parâmetros!$B$7,"Faixa 1",IF(F442&lt;=Parâmetros!$B$8,"Faixa 2","Faixa 3")))</f>
        <v/>
      </c>
      <c r="H442" s="12" t="str">
        <f aca="false">IF(G442="","",IF(G442="Faixa 1","Rodízio/Sorteio",IF(G442="Faixa 2","Cotação (≥3 propostas)","Chamada pública")))</f>
        <v/>
      </c>
      <c r="I442" s="11"/>
      <c r="J442" s="17" t="str">
        <f aca="false">IF(I442="","",IFERROR(INDEX(Cadastro!$B$5:$B$304,MATCH(I442,Cadastro!$A$5:$A$304,0)),"ID não encontrado"))</f>
        <v/>
      </c>
      <c r="K442" s="17" t="str">
        <f aca="false">IF(I442="","",IFERROR(INDEX(Cadastro!$E$5:$E$304,MATCH(I442,Cadastro!$A$5:$A$304,0)),""))</f>
        <v/>
      </c>
      <c r="L442" s="17" t="str">
        <f aca="false">IF(I442="","",IFERROR(INDEX(Cadastro!$F$5:$F$304,MATCH(I442,Cadastro!$A$5:$A$304,0)),""))</f>
        <v/>
      </c>
      <c r="M442" s="17" t="str">
        <f aca="false">IF(I442="","",IFERROR(INDEX(Cadastro!$I$5:$I$304,MATCH(I442,Cadastro!$A$5:$A$304,0)),""))</f>
        <v/>
      </c>
      <c r="N442" s="19"/>
      <c r="O442" s="13"/>
      <c r="P442" s="12" t="str">
        <f aca="false">IF(OR(B442="",O442=""),"",NETWORKDAYS(B442,O442)-1)</f>
        <v/>
      </c>
      <c r="Q442" s="13"/>
      <c r="R442" s="11"/>
      <c r="S442" s="13"/>
      <c r="T442" s="11"/>
      <c r="U442" s="11"/>
      <c r="V442" s="11"/>
      <c r="W442" s="11"/>
      <c r="X442" s="11"/>
    </row>
    <row r="443" customFormat="false" ht="15" hidden="false" customHeight="false" outlineLevel="0" collapsed="false">
      <c r="A443" s="11"/>
      <c r="B443" s="13"/>
      <c r="C443" s="11"/>
      <c r="D443" s="11"/>
      <c r="E443" s="11"/>
      <c r="F443" s="19"/>
      <c r="G443" s="12" t="str">
        <f aca="false">IF(F443="","",IF(F443&lt;=Parâmetros!$B$7,"Faixa 1",IF(F443&lt;=Parâmetros!$B$8,"Faixa 2","Faixa 3")))</f>
        <v/>
      </c>
      <c r="H443" s="12" t="str">
        <f aca="false">IF(G443="","",IF(G443="Faixa 1","Rodízio/Sorteio",IF(G443="Faixa 2","Cotação (≥3 propostas)","Chamada pública")))</f>
        <v/>
      </c>
      <c r="I443" s="11"/>
      <c r="J443" s="17" t="str">
        <f aca="false">IF(I443="","",IFERROR(INDEX(Cadastro!$B$5:$B$304,MATCH(I443,Cadastro!$A$5:$A$304,0)),"ID não encontrado"))</f>
        <v/>
      </c>
      <c r="K443" s="17" t="str">
        <f aca="false">IF(I443="","",IFERROR(INDEX(Cadastro!$E$5:$E$304,MATCH(I443,Cadastro!$A$5:$A$304,0)),""))</f>
        <v/>
      </c>
      <c r="L443" s="17" t="str">
        <f aca="false">IF(I443="","",IFERROR(INDEX(Cadastro!$F$5:$F$304,MATCH(I443,Cadastro!$A$5:$A$304,0)),""))</f>
        <v/>
      </c>
      <c r="M443" s="17" t="str">
        <f aca="false">IF(I443="","",IFERROR(INDEX(Cadastro!$I$5:$I$304,MATCH(I443,Cadastro!$A$5:$A$304,0)),""))</f>
        <v/>
      </c>
      <c r="N443" s="19"/>
      <c r="O443" s="13"/>
      <c r="P443" s="12" t="str">
        <f aca="false">IF(OR(B443="",O443=""),"",NETWORKDAYS(B443,O443)-1)</f>
        <v/>
      </c>
      <c r="Q443" s="13"/>
      <c r="R443" s="11"/>
      <c r="S443" s="13"/>
      <c r="T443" s="11"/>
      <c r="U443" s="11"/>
      <c r="V443" s="11"/>
      <c r="W443" s="11"/>
      <c r="X443" s="11"/>
    </row>
    <row r="444" customFormat="false" ht="15" hidden="false" customHeight="false" outlineLevel="0" collapsed="false">
      <c r="A444" s="11"/>
      <c r="B444" s="13"/>
      <c r="C444" s="11"/>
      <c r="D444" s="11"/>
      <c r="E444" s="11"/>
      <c r="F444" s="19"/>
      <c r="G444" s="12" t="str">
        <f aca="false">IF(F444="","",IF(F444&lt;=Parâmetros!$B$7,"Faixa 1",IF(F444&lt;=Parâmetros!$B$8,"Faixa 2","Faixa 3")))</f>
        <v/>
      </c>
      <c r="H444" s="12" t="str">
        <f aca="false">IF(G444="","",IF(G444="Faixa 1","Rodízio/Sorteio",IF(G444="Faixa 2","Cotação (≥3 propostas)","Chamada pública")))</f>
        <v/>
      </c>
      <c r="I444" s="11"/>
      <c r="J444" s="17" t="str">
        <f aca="false">IF(I444="","",IFERROR(INDEX(Cadastro!$B$5:$B$304,MATCH(I444,Cadastro!$A$5:$A$304,0)),"ID não encontrado"))</f>
        <v/>
      </c>
      <c r="K444" s="17" t="str">
        <f aca="false">IF(I444="","",IFERROR(INDEX(Cadastro!$E$5:$E$304,MATCH(I444,Cadastro!$A$5:$A$304,0)),""))</f>
        <v/>
      </c>
      <c r="L444" s="17" t="str">
        <f aca="false">IF(I444="","",IFERROR(INDEX(Cadastro!$F$5:$F$304,MATCH(I444,Cadastro!$A$5:$A$304,0)),""))</f>
        <v/>
      </c>
      <c r="M444" s="17" t="str">
        <f aca="false">IF(I444="","",IFERROR(INDEX(Cadastro!$I$5:$I$304,MATCH(I444,Cadastro!$A$5:$A$304,0)),""))</f>
        <v/>
      </c>
      <c r="N444" s="19"/>
      <c r="O444" s="13"/>
      <c r="P444" s="12" t="str">
        <f aca="false">IF(OR(B444="",O444=""),"",NETWORKDAYS(B444,O444)-1)</f>
        <v/>
      </c>
      <c r="Q444" s="13"/>
      <c r="R444" s="11"/>
      <c r="S444" s="13"/>
      <c r="T444" s="11"/>
      <c r="U444" s="11"/>
      <c r="V444" s="11"/>
      <c r="W444" s="11"/>
      <c r="X444" s="11"/>
    </row>
    <row r="445" customFormat="false" ht="15" hidden="false" customHeight="false" outlineLevel="0" collapsed="false">
      <c r="A445" s="11"/>
      <c r="B445" s="13"/>
      <c r="C445" s="11"/>
      <c r="D445" s="11"/>
      <c r="E445" s="11"/>
      <c r="F445" s="19"/>
      <c r="G445" s="12" t="str">
        <f aca="false">IF(F445="","",IF(F445&lt;=Parâmetros!$B$7,"Faixa 1",IF(F445&lt;=Parâmetros!$B$8,"Faixa 2","Faixa 3")))</f>
        <v/>
      </c>
      <c r="H445" s="12" t="str">
        <f aca="false">IF(G445="","",IF(G445="Faixa 1","Rodízio/Sorteio",IF(G445="Faixa 2","Cotação (≥3 propostas)","Chamada pública")))</f>
        <v/>
      </c>
      <c r="I445" s="11"/>
      <c r="J445" s="17" t="str">
        <f aca="false">IF(I445="","",IFERROR(INDEX(Cadastro!$B$5:$B$304,MATCH(I445,Cadastro!$A$5:$A$304,0)),"ID não encontrado"))</f>
        <v/>
      </c>
      <c r="K445" s="17" t="str">
        <f aca="false">IF(I445="","",IFERROR(INDEX(Cadastro!$E$5:$E$304,MATCH(I445,Cadastro!$A$5:$A$304,0)),""))</f>
        <v/>
      </c>
      <c r="L445" s="17" t="str">
        <f aca="false">IF(I445="","",IFERROR(INDEX(Cadastro!$F$5:$F$304,MATCH(I445,Cadastro!$A$5:$A$304,0)),""))</f>
        <v/>
      </c>
      <c r="M445" s="17" t="str">
        <f aca="false">IF(I445="","",IFERROR(INDEX(Cadastro!$I$5:$I$304,MATCH(I445,Cadastro!$A$5:$A$304,0)),""))</f>
        <v/>
      </c>
      <c r="N445" s="19"/>
      <c r="O445" s="13"/>
      <c r="P445" s="12" t="str">
        <f aca="false">IF(OR(B445="",O445=""),"",NETWORKDAYS(B445,O445)-1)</f>
        <v/>
      </c>
      <c r="Q445" s="13"/>
      <c r="R445" s="11"/>
      <c r="S445" s="13"/>
      <c r="T445" s="11"/>
      <c r="U445" s="11"/>
      <c r="V445" s="11"/>
      <c r="W445" s="11"/>
      <c r="X445" s="11"/>
    </row>
    <row r="446" customFormat="false" ht="15" hidden="false" customHeight="false" outlineLevel="0" collapsed="false">
      <c r="A446" s="11"/>
      <c r="B446" s="13"/>
      <c r="C446" s="11"/>
      <c r="D446" s="11"/>
      <c r="E446" s="11"/>
      <c r="F446" s="19"/>
      <c r="G446" s="12" t="str">
        <f aca="false">IF(F446="","",IF(F446&lt;=Parâmetros!$B$7,"Faixa 1",IF(F446&lt;=Parâmetros!$B$8,"Faixa 2","Faixa 3")))</f>
        <v/>
      </c>
      <c r="H446" s="12" t="str">
        <f aca="false">IF(G446="","",IF(G446="Faixa 1","Rodízio/Sorteio",IF(G446="Faixa 2","Cotação (≥3 propostas)","Chamada pública")))</f>
        <v/>
      </c>
      <c r="I446" s="11"/>
      <c r="J446" s="17" t="str">
        <f aca="false">IF(I446="","",IFERROR(INDEX(Cadastro!$B$5:$B$304,MATCH(I446,Cadastro!$A$5:$A$304,0)),"ID não encontrado"))</f>
        <v/>
      </c>
      <c r="K446" s="17" t="str">
        <f aca="false">IF(I446="","",IFERROR(INDEX(Cadastro!$E$5:$E$304,MATCH(I446,Cadastro!$A$5:$A$304,0)),""))</f>
        <v/>
      </c>
      <c r="L446" s="17" t="str">
        <f aca="false">IF(I446="","",IFERROR(INDEX(Cadastro!$F$5:$F$304,MATCH(I446,Cadastro!$A$5:$A$304,0)),""))</f>
        <v/>
      </c>
      <c r="M446" s="17" t="str">
        <f aca="false">IF(I446="","",IFERROR(INDEX(Cadastro!$I$5:$I$304,MATCH(I446,Cadastro!$A$5:$A$304,0)),""))</f>
        <v/>
      </c>
      <c r="N446" s="19"/>
      <c r="O446" s="13"/>
      <c r="P446" s="12" t="str">
        <f aca="false">IF(OR(B446="",O446=""),"",NETWORKDAYS(B446,O446)-1)</f>
        <v/>
      </c>
      <c r="Q446" s="13"/>
      <c r="R446" s="11"/>
      <c r="S446" s="13"/>
      <c r="T446" s="11"/>
      <c r="U446" s="11"/>
      <c r="V446" s="11"/>
      <c r="W446" s="11"/>
      <c r="X446" s="11"/>
    </row>
    <row r="447" customFormat="false" ht="15" hidden="false" customHeight="false" outlineLevel="0" collapsed="false">
      <c r="A447" s="11"/>
      <c r="B447" s="13"/>
      <c r="C447" s="11"/>
      <c r="D447" s="11"/>
      <c r="E447" s="11"/>
      <c r="F447" s="19"/>
      <c r="G447" s="12" t="str">
        <f aca="false">IF(F447="","",IF(F447&lt;=Parâmetros!$B$7,"Faixa 1",IF(F447&lt;=Parâmetros!$B$8,"Faixa 2","Faixa 3")))</f>
        <v/>
      </c>
      <c r="H447" s="12" t="str">
        <f aca="false">IF(G447="","",IF(G447="Faixa 1","Rodízio/Sorteio",IF(G447="Faixa 2","Cotação (≥3 propostas)","Chamada pública")))</f>
        <v/>
      </c>
      <c r="I447" s="11"/>
      <c r="J447" s="17" t="str">
        <f aca="false">IF(I447="","",IFERROR(INDEX(Cadastro!$B$5:$B$304,MATCH(I447,Cadastro!$A$5:$A$304,0)),"ID não encontrado"))</f>
        <v/>
      </c>
      <c r="K447" s="17" t="str">
        <f aca="false">IF(I447="","",IFERROR(INDEX(Cadastro!$E$5:$E$304,MATCH(I447,Cadastro!$A$5:$A$304,0)),""))</f>
        <v/>
      </c>
      <c r="L447" s="17" t="str">
        <f aca="false">IF(I447="","",IFERROR(INDEX(Cadastro!$F$5:$F$304,MATCH(I447,Cadastro!$A$5:$A$304,0)),""))</f>
        <v/>
      </c>
      <c r="M447" s="17" t="str">
        <f aca="false">IF(I447="","",IFERROR(INDEX(Cadastro!$I$5:$I$304,MATCH(I447,Cadastro!$A$5:$A$304,0)),""))</f>
        <v/>
      </c>
      <c r="N447" s="19"/>
      <c r="O447" s="13"/>
      <c r="P447" s="12" t="str">
        <f aca="false">IF(OR(B447="",O447=""),"",NETWORKDAYS(B447,O447)-1)</f>
        <v/>
      </c>
      <c r="Q447" s="13"/>
      <c r="R447" s="11"/>
      <c r="S447" s="13"/>
      <c r="T447" s="11"/>
      <c r="U447" s="11"/>
      <c r="V447" s="11"/>
      <c r="W447" s="11"/>
      <c r="X447" s="11"/>
    </row>
    <row r="448" customFormat="false" ht="15" hidden="false" customHeight="false" outlineLevel="0" collapsed="false">
      <c r="A448" s="11"/>
      <c r="B448" s="13"/>
      <c r="C448" s="11"/>
      <c r="D448" s="11"/>
      <c r="E448" s="11"/>
      <c r="F448" s="19"/>
      <c r="G448" s="12" t="str">
        <f aca="false">IF(F448="","",IF(F448&lt;=Parâmetros!$B$7,"Faixa 1",IF(F448&lt;=Parâmetros!$B$8,"Faixa 2","Faixa 3")))</f>
        <v/>
      </c>
      <c r="H448" s="12" t="str">
        <f aca="false">IF(G448="","",IF(G448="Faixa 1","Rodízio/Sorteio",IF(G448="Faixa 2","Cotação (≥3 propostas)","Chamada pública")))</f>
        <v/>
      </c>
      <c r="I448" s="11"/>
      <c r="J448" s="17" t="str">
        <f aca="false">IF(I448="","",IFERROR(INDEX(Cadastro!$B$5:$B$304,MATCH(I448,Cadastro!$A$5:$A$304,0)),"ID não encontrado"))</f>
        <v/>
      </c>
      <c r="K448" s="17" t="str">
        <f aca="false">IF(I448="","",IFERROR(INDEX(Cadastro!$E$5:$E$304,MATCH(I448,Cadastro!$A$5:$A$304,0)),""))</f>
        <v/>
      </c>
      <c r="L448" s="17" t="str">
        <f aca="false">IF(I448="","",IFERROR(INDEX(Cadastro!$F$5:$F$304,MATCH(I448,Cadastro!$A$5:$A$304,0)),""))</f>
        <v/>
      </c>
      <c r="M448" s="17" t="str">
        <f aca="false">IF(I448="","",IFERROR(INDEX(Cadastro!$I$5:$I$304,MATCH(I448,Cadastro!$A$5:$A$304,0)),""))</f>
        <v/>
      </c>
      <c r="N448" s="19"/>
      <c r="O448" s="13"/>
      <c r="P448" s="12" t="str">
        <f aca="false">IF(OR(B448="",O448=""),"",NETWORKDAYS(B448,O448)-1)</f>
        <v/>
      </c>
      <c r="Q448" s="13"/>
      <c r="R448" s="11"/>
      <c r="S448" s="13"/>
      <c r="T448" s="11"/>
      <c r="U448" s="11"/>
      <c r="V448" s="11"/>
      <c r="W448" s="11"/>
      <c r="X448" s="11"/>
    </row>
    <row r="449" customFormat="false" ht="15" hidden="false" customHeight="false" outlineLevel="0" collapsed="false">
      <c r="A449" s="11"/>
      <c r="B449" s="13"/>
      <c r="C449" s="11"/>
      <c r="D449" s="11"/>
      <c r="E449" s="11"/>
      <c r="F449" s="19"/>
      <c r="G449" s="12" t="str">
        <f aca="false">IF(F449="","",IF(F449&lt;=Parâmetros!$B$7,"Faixa 1",IF(F449&lt;=Parâmetros!$B$8,"Faixa 2","Faixa 3")))</f>
        <v/>
      </c>
      <c r="H449" s="12" t="str">
        <f aca="false">IF(G449="","",IF(G449="Faixa 1","Rodízio/Sorteio",IF(G449="Faixa 2","Cotação (≥3 propostas)","Chamada pública")))</f>
        <v/>
      </c>
      <c r="I449" s="11"/>
      <c r="J449" s="17" t="str">
        <f aca="false">IF(I449="","",IFERROR(INDEX(Cadastro!$B$5:$B$304,MATCH(I449,Cadastro!$A$5:$A$304,0)),"ID não encontrado"))</f>
        <v/>
      </c>
      <c r="K449" s="17" t="str">
        <f aca="false">IF(I449="","",IFERROR(INDEX(Cadastro!$E$5:$E$304,MATCH(I449,Cadastro!$A$5:$A$304,0)),""))</f>
        <v/>
      </c>
      <c r="L449" s="17" t="str">
        <f aca="false">IF(I449="","",IFERROR(INDEX(Cadastro!$F$5:$F$304,MATCH(I449,Cadastro!$A$5:$A$304,0)),""))</f>
        <v/>
      </c>
      <c r="M449" s="17" t="str">
        <f aca="false">IF(I449="","",IFERROR(INDEX(Cadastro!$I$5:$I$304,MATCH(I449,Cadastro!$A$5:$A$304,0)),""))</f>
        <v/>
      </c>
      <c r="N449" s="19"/>
      <c r="O449" s="13"/>
      <c r="P449" s="12" t="str">
        <f aca="false">IF(OR(B449="",O449=""),"",NETWORKDAYS(B449,O449)-1)</f>
        <v/>
      </c>
      <c r="Q449" s="13"/>
      <c r="R449" s="11"/>
      <c r="S449" s="13"/>
      <c r="T449" s="11"/>
      <c r="U449" s="11"/>
      <c r="V449" s="11"/>
      <c r="W449" s="11"/>
      <c r="X449" s="11"/>
    </row>
    <row r="450" customFormat="false" ht="15" hidden="false" customHeight="false" outlineLevel="0" collapsed="false">
      <c r="A450" s="11"/>
      <c r="B450" s="13"/>
      <c r="C450" s="11"/>
      <c r="D450" s="11"/>
      <c r="E450" s="11"/>
      <c r="F450" s="19"/>
      <c r="G450" s="12" t="str">
        <f aca="false">IF(F450="","",IF(F450&lt;=Parâmetros!$B$7,"Faixa 1",IF(F450&lt;=Parâmetros!$B$8,"Faixa 2","Faixa 3")))</f>
        <v/>
      </c>
      <c r="H450" s="12" t="str">
        <f aca="false">IF(G450="","",IF(G450="Faixa 1","Rodízio/Sorteio",IF(G450="Faixa 2","Cotação (≥3 propostas)","Chamada pública")))</f>
        <v/>
      </c>
      <c r="I450" s="11"/>
      <c r="J450" s="17" t="str">
        <f aca="false">IF(I450="","",IFERROR(INDEX(Cadastro!$B$5:$B$304,MATCH(I450,Cadastro!$A$5:$A$304,0)),"ID não encontrado"))</f>
        <v/>
      </c>
      <c r="K450" s="17" t="str">
        <f aca="false">IF(I450="","",IFERROR(INDEX(Cadastro!$E$5:$E$304,MATCH(I450,Cadastro!$A$5:$A$304,0)),""))</f>
        <v/>
      </c>
      <c r="L450" s="17" t="str">
        <f aca="false">IF(I450="","",IFERROR(INDEX(Cadastro!$F$5:$F$304,MATCH(I450,Cadastro!$A$5:$A$304,0)),""))</f>
        <v/>
      </c>
      <c r="M450" s="17" t="str">
        <f aca="false">IF(I450="","",IFERROR(INDEX(Cadastro!$I$5:$I$304,MATCH(I450,Cadastro!$A$5:$A$304,0)),""))</f>
        <v/>
      </c>
      <c r="N450" s="19"/>
      <c r="O450" s="13"/>
      <c r="P450" s="12" t="str">
        <f aca="false">IF(OR(B450="",O450=""),"",NETWORKDAYS(B450,O450)-1)</f>
        <v/>
      </c>
      <c r="Q450" s="13"/>
      <c r="R450" s="11"/>
      <c r="S450" s="13"/>
      <c r="T450" s="11"/>
      <c r="U450" s="11"/>
      <c r="V450" s="11"/>
      <c r="W450" s="11"/>
      <c r="X450" s="11"/>
    </row>
    <row r="451" customFormat="false" ht="15" hidden="false" customHeight="false" outlineLevel="0" collapsed="false">
      <c r="A451" s="11"/>
      <c r="B451" s="13"/>
      <c r="C451" s="11"/>
      <c r="D451" s="11"/>
      <c r="E451" s="11"/>
      <c r="F451" s="19"/>
      <c r="G451" s="12" t="str">
        <f aca="false">IF(F451="","",IF(F451&lt;=Parâmetros!$B$7,"Faixa 1",IF(F451&lt;=Parâmetros!$B$8,"Faixa 2","Faixa 3")))</f>
        <v/>
      </c>
      <c r="H451" s="12" t="str">
        <f aca="false">IF(G451="","",IF(G451="Faixa 1","Rodízio/Sorteio",IF(G451="Faixa 2","Cotação (≥3 propostas)","Chamada pública")))</f>
        <v/>
      </c>
      <c r="I451" s="11"/>
      <c r="J451" s="17" t="str">
        <f aca="false">IF(I451="","",IFERROR(INDEX(Cadastro!$B$5:$B$304,MATCH(I451,Cadastro!$A$5:$A$304,0)),"ID não encontrado"))</f>
        <v/>
      </c>
      <c r="K451" s="17" t="str">
        <f aca="false">IF(I451="","",IFERROR(INDEX(Cadastro!$E$5:$E$304,MATCH(I451,Cadastro!$A$5:$A$304,0)),""))</f>
        <v/>
      </c>
      <c r="L451" s="17" t="str">
        <f aca="false">IF(I451="","",IFERROR(INDEX(Cadastro!$F$5:$F$304,MATCH(I451,Cadastro!$A$5:$A$304,0)),""))</f>
        <v/>
      </c>
      <c r="M451" s="17" t="str">
        <f aca="false">IF(I451="","",IFERROR(INDEX(Cadastro!$I$5:$I$304,MATCH(I451,Cadastro!$A$5:$A$304,0)),""))</f>
        <v/>
      </c>
      <c r="N451" s="19"/>
      <c r="O451" s="13"/>
      <c r="P451" s="12" t="str">
        <f aca="false">IF(OR(B451="",O451=""),"",NETWORKDAYS(B451,O451)-1)</f>
        <v/>
      </c>
      <c r="Q451" s="13"/>
      <c r="R451" s="11"/>
      <c r="S451" s="13"/>
      <c r="T451" s="11"/>
      <c r="U451" s="11"/>
      <c r="V451" s="11"/>
      <c r="W451" s="11"/>
      <c r="X451" s="11"/>
    </row>
    <row r="452" customFormat="false" ht="15" hidden="false" customHeight="false" outlineLevel="0" collapsed="false">
      <c r="A452" s="11"/>
      <c r="B452" s="13"/>
      <c r="C452" s="11"/>
      <c r="D452" s="11"/>
      <c r="E452" s="11"/>
      <c r="F452" s="19"/>
      <c r="G452" s="12" t="str">
        <f aca="false">IF(F452="","",IF(F452&lt;=Parâmetros!$B$7,"Faixa 1",IF(F452&lt;=Parâmetros!$B$8,"Faixa 2","Faixa 3")))</f>
        <v/>
      </c>
      <c r="H452" s="12" t="str">
        <f aca="false">IF(G452="","",IF(G452="Faixa 1","Rodízio/Sorteio",IF(G452="Faixa 2","Cotação (≥3 propostas)","Chamada pública")))</f>
        <v/>
      </c>
      <c r="I452" s="11"/>
      <c r="J452" s="17" t="str">
        <f aca="false">IF(I452="","",IFERROR(INDEX(Cadastro!$B$5:$B$304,MATCH(I452,Cadastro!$A$5:$A$304,0)),"ID não encontrado"))</f>
        <v/>
      </c>
      <c r="K452" s="17" t="str">
        <f aca="false">IF(I452="","",IFERROR(INDEX(Cadastro!$E$5:$E$304,MATCH(I452,Cadastro!$A$5:$A$304,0)),""))</f>
        <v/>
      </c>
      <c r="L452" s="17" t="str">
        <f aca="false">IF(I452="","",IFERROR(INDEX(Cadastro!$F$5:$F$304,MATCH(I452,Cadastro!$A$5:$A$304,0)),""))</f>
        <v/>
      </c>
      <c r="M452" s="17" t="str">
        <f aca="false">IF(I452="","",IFERROR(INDEX(Cadastro!$I$5:$I$304,MATCH(I452,Cadastro!$A$5:$A$304,0)),""))</f>
        <v/>
      </c>
      <c r="N452" s="19"/>
      <c r="O452" s="13"/>
      <c r="P452" s="12" t="str">
        <f aca="false">IF(OR(B452="",O452=""),"",NETWORKDAYS(B452,O452)-1)</f>
        <v/>
      </c>
      <c r="Q452" s="13"/>
      <c r="R452" s="11"/>
      <c r="S452" s="13"/>
      <c r="T452" s="11"/>
      <c r="U452" s="11"/>
      <c r="V452" s="11"/>
      <c r="W452" s="11"/>
      <c r="X452" s="11"/>
    </row>
    <row r="453" customFormat="false" ht="15" hidden="false" customHeight="false" outlineLevel="0" collapsed="false">
      <c r="A453" s="11"/>
      <c r="B453" s="13"/>
      <c r="C453" s="11"/>
      <c r="D453" s="11"/>
      <c r="E453" s="11"/>
      <c r="F453" s="19"/>
      <c r="G453" s="12" t="str">
        <f aca="false">IF(F453="","",IF(F453&lt;=Parâmetros!$B$7,"Faixa 1",IF(F453&lt;=Parâmetros!$B$8,"Faixa 2","Faixa 3")))</f>
        <v/>
      </c>
      <c r="H453" s="12" t="str">
        <f aca="false">IF(G453="","",IF(G453="Faixa 1","Rodízio/Sorteio",IF(G453="Faixa 2","Cotação (≥3 propostas)","Chamada pública")))</f>
        <v/>
      </c>
      <c r="I453" s="11"/>
      <c r="J453" s="17" t="str">
        <f aca="false">IF(I453="","",IFERROR(INDEX(Cadastro!$B$5:$B$304,MATCH(I453,Cadastro!$A$5:$A$304,0)),"ID não encontrado"))</f>
        <v/>
      </c>
      <c r="K453" s="17" t="str">
        <f aca="false">IF(I453="","",IFERROR(INDEX(Cadastro!$E$5:$E$304,MATCH(I453,Cadastro!$A$5:$A$304,0)),""))</f>
        <v/>
      </c>
      <c r="L453" s="17" t="str">
        <f aca="false">IF(I453="","",IFERROR(INDEX(Cadastro!$F$5:$F$304,MATCH(I453,Cadastro!$A$5:$A$304,0)),""))</f>
        <v/>
      </c>
      <c r="M453" s="17" t="str">
        <f aca="false">IF(I453="","",IFERROR(INDEX(Cadastro!$I$5:$I$304,MATCH(I453,Cadastro!$A$5:$A$304,0)),""))</f>
        <v/>
      </c>
      <c r="N453" s="19"/>
      <c r="O453" s="13"/>
      <c r="P453" s="12" t="str">
        <f aca="false">IF(OR(B453="",O453=""),"",NETWORKDAYS(B453,O453)-1)</f>
        <v/>
      </c>
      <c r="Q453" s="13"/>
      <c r="R453" s="11"/>
      <c r="S453" s="13"/>
      <c r="T453" s="11"/>
      <c r="U453" s="11"/>
      <c r="V453" s="11"/>
      <c r="W453" s="11"/>
      <c r="X453" s="11"/>
    </row>
    <row r="454" customFormat="false" ht="15" hidden="false" customHeight="false" outlineLevel="0" collapsed="false">
      <c r="A454" s="11"/>
      <c r="B454" s="13"/>
      <c r="C454" s="11"/>
      <c r="D454" s="11"/>
      <c r="E454" s="11"/>
      <c r="F454" s="19"/>
      <c r="G454" s="12" t="str">
        <f aca="false">IF(F454="","",IF(F454&lt;=Parâmetros!$B$7,"Faixa 1",IF(F454&lt;=Parâmetros!$B$8,"Faixa 2","Faixa 3")))</f>
        <v/>
      </c>
      <c r="H454" s="12" t="str">
        <f aca="false">IF(G454="","",IF(G454="Faixa 1","Rodízio/Sorteio",IF(G454="Faixa 2","Cotação (≥3 propostas)","Chamada pública")))</f>
        <v/>
      </c>
      <c r="I454" s="11"/>
      <c r="J454" s="17" t="str">
        <f aca="false">IF(I454="","",IFERROR(INDEX(Cadastro!$B$5:$B$304,MATCH(I454,Cadastro!$A$5:$A$304,0)),"ID não encontrado"))</f>
        <v/>
      </c>
      <c r="K454" s="17" t="str">
        <f aca="false">IF(I454="","",IFERROR(INDEX(Cadastro!$E$5:$E$304,MATCH(I454,Cadastro!$A$5:$A$304,0)),""))</f>
        <v/>
      </c>
      <c r="L454" s="17" t="str">
        <f aca="false">IF(I454="","",IFERROR(INDEX(Cadastro!$F$5:$F$304,MATCH(I454,Cadastro!$A$5:$A$304,0)),""))</f>
        <v/>
      </c>
      <c r="M454" s="17" t="str">
        <f aca="false">IF(I454="","",IFERROR(INDEX(Cadastro!$I$5:$I$304,MATCH(I454,Cadastro!$A$5:$A$304,0)),""))</f>
        <v/>
      </c>
      <c r="N454" s="19"/>
      <c r="O454" s="13"/>
      <c r="P454" s="12" t="str">
        <f aca="false">IF(OR(B454="",O454=""),"",NETWORKDAYS(B454,O454)-1)</f>
        <v/>
      </c>
      <c r="Q454" s="13"/>
      <c r="R454" s="11"/>
      <c r="S454" s="13"/>
      <c r="T454" s="11"/>
      <c r="U454" s="11"/>
      <c r="V454" s="11"/>
      <c r="W454" s="11"/>
      <c r="X454" s="11"/>
    </row>
    <row r="455" customFormat="false" ht="15" hidden="false" customHeight="false" outlineLevel="0" collapsed="false">
      <c r="A455" s="11"/>
      <c r="B455" s="13"/>
      <c r="C455" s="11"/>
      <c r="D455" s="11"/>
      <c r="E455" s="11"/>
      <c r="F455" s="19"/>
      <c r="G455" s="12" t="str">
        <f aca="false">IF(F455="","",IF(F455&lt;=Parâmetros!$B$7,"Faixa 1",IF(F455&lt;=Parâmetros!$B$8,"Faixa 2","Faixa 3")))</f>
        <v/>
      </c>
      <c r="H455" s="12" t="str">
        <f aca="false">IF(G455="","",IF(G455="Faixa 1","Rodízio/Sorteio",IF(G455="Faixa 2","Cotação (≥3 propostas)","Chamada pública")))</f>
        <v/>
      </c>
      <c r="I455" s="11"/>
      <c r="J455" s="17" t="str">
        <f aca="false">IF(I455="","",IFERROR(INDEX(Cadastro!$B$5:$B$304,MATCH(I455,Cadastro!$A$5:$A$304,0)),"ID não encontrado"))</f>
        <v/>
      </c>
      <c r="K455" s="17" t="str">
        <f aca="false">IF(I455="","",IFERROR(INDEX(Cadastro!$E$5:$E$304,MATCH(I455,Cadastro!$A$5:$A$304,0)),""))</f>
        <v/>
      </c>
      <c r="L455" s="17" t="str">
        <f aca="false">IF(I455="","",IFERROR(INDEX(Cadastro!$F$5:$F$304,MATCH(I455,Cadastro!$A$5:$A$304,0)),""))</f>
        <v/>
      </c>
      <c r="M455" s="17" t="str">
        <f aca="false">IF(I455="","",IFERROR(INDEX(Cadastro!$I$5:$I$304,MATCH(I455,Cadastro!$A$5:$A$304,0)),""))</f>
        <v/>
      </c>
      <c r="N455" s="19"/>
      <c r="O455" s="13"/>
      <c r="P455" s="12" t="str">
        <f aca="false">IF(OR(B455="",O455=""),"",NETWORKDAYS(B455,O455)-1)</f>
        <v/>
      </c>
      <c r="Q455" s="13"/>
      <c r="R455" s="11"/>
      <c r="S455" s="13"/>
      <c r="T455" s="11"/>
      <c r="U455" s="11"/>
      <c r="V455" s="11"/>
      <c r="W455" s="11"/>
      <c r="X455" s="11"/>
    </row>
    <row r="456" customFormat="false" ht="15" hidden="false" customHeight="false" outlineLevel="0" collapsed="false">
      <c r="A456" s="11"/>
      <c r="B456" s="13"/>
      <c r="C456" s="11"/>
      <c r="D456" s="11"/>
      <c r="E456" s="11"/>
      <c r="F456" s="19"/>
      <c r="G456" s="12" t="str">
        <f aca="false">IF(F456="","",IF(F456&lt;=Parâmetros!$B$7,"Faixa 1",IF(F456&lt;=Parâmetros!$B$8,"Faixa 2","Faixa 3")))</f>
        <v/>
      </c>
      <c r="H456" s="12" t="str">
        <f aca="false">IF(G456="","",IF(G456="Faixa 1","Rodízio/Sorteio",IF(G456="Faixa 2","Cotação (≥3 propostas)","Chamada pública")))</f>
        <v/>
      </c>
      <c r="I456" s="11"/>
      <c r="J456" s="17" t="str">
        <f aca="false">IF(I456="","",IFERROR(INDEX(Cadastro!$B$5:$B$304,MATCH(I456,Cadastro!$A$5:$A$304,0)),"ID não encontrado"))</f>
        <v/>
      </c>
      <c r="K456" s="17" t="str">
        <f aca="false">IF(I456="","",IFERROR(INDEX(Cadastro!$E$5:$E$304,MATCH(I456,Cadastro!$A$5:$A$304,0)),""))</f>
        <v/>
      </c>
      <c r="L456" s="17" t="str">
        <f aca="false">IF(I456="","",IFERROR(INDEX(Cadastro!$F$5:$F$304,MATCH(I456,Cadastro!$A$5:$A$304,0)),""))</f>
        <v/>
      </c>
      <c r="M456" s="17" t="str">
        <f aca="false">IF(I456="","",IFERROR(INDEX(Cadastro!$I$5:$I$304,MATCH(I456,Cadastro!$A$5:$A$304,0)),""))</f>
        <v/>
      </c>
      <c r="N456" s="19"/>
      <c r="O456" s="13"/>
      <c r="P456" s="12" t="str">
        <f aca="false">IF(OR(B456="",O456=""),"",NETWORKDAYS(B456,O456)-1)</f>
        <v/>
      </c>
      <c r="Q456" s="13"/>
      <c r="R456" s="11"/>
      <c r="S456" s="13"/>
      <c r="T456" s="11"/>
      <c r="U456" s="11"/>
      <c r="V456" s="11"/>
      <c r="W456" s="11"/>
      <c r="X456" s="11"/>
    </row>
    <row r="457" customFormat="false" ht="15" hidden="false" customHeight="false" outlineLevel="0" collapsed="false">
      <c r="A457" s="11"/>
      <c r="B457" s="13"/>
      <c r="C457" s="11"/>
      <c r="D457" s="11"/>
      <c r="E457" s="11"/>
      <c r="F457" s="19"/>
      <c r="G457" s="12" t="str">
        <f aca="false">IF(F457="","",IF(F457&lt;=Parâmetros!$B$7,"Faixa 1",IF(F457&lt;=Parâmetros!$B$8,"Faixa 2","Faixa 3")))</f>
        <v/>
      </c>
      <c r="H457" s="12" t="str">
        <f aca="false">IF(G457="","",IF(G457="Faixa 1","Rodízio/Sorteio",IF(G457="Faixa 2","Cotação (≥3 propostas)","Chamada pública")))</f>
        <v/>
      </c>
      <c r="I457" s="11"/>
      <c r="J457" s="17" t="str">
        <f aca="false">IF(I457="","",IFERROR(INDEX(Cadastro!$B$5:$B$304,MATCH(I457,Cadastro!$A$5:$A$304,0)),"ID não encontrado"))</f>
        <v/>
      </c>
      <c r="K457" s="17" t="str">
        <f aca="false">IF(I457="","",IFERROR(INDEX(Cadastro!$E$5:$E$304,MATCH(I457,Cadastro!$A$5:$A$304,0)),""))</f>
        <v/>
      </c>
      <c r="L457" s="17" t="str">
        <f aca="false">IF(I457="","",IFERROR(INDEX(Cadastro!$F$5:$F$304,MATCH(I457,Cadastro!$A$5:$A$304,0)),""))</f>
        <v/>
      </c>
      <c r="M457" s="17" t="str">
        <f aca="false">IF(I457="","",IFERROR(INDEX(Cadastro!$I$5:$I$304,MATCH(I457,Cadastro!$A$5:$A$304,0)),""))</f>
        <v/>
      </c>
      <c r="N457" s="19"/>
      <c r="O457" s="13"/>
      <c r="P457" s="12" t="str">
        <f aca="false">IF(OR(B457="",O457=""),"",NETWORKDAYS(B457,O457)-1)</f>
        <v/>
      </c>
      <c r="Q457" s="13"/>
      <c r="R457" s="11"/>
      <c r="S457" s="13"/>
      <c r="T457" s="11"/>
      <c r="U457" s="11"/>
      <c r="V457" s="11"/>
      <c r="W457" s="11"/>
      <c r="X457" s="11"/>
    </row>
    <row r="458" customFormat="false" ht="15" hidden="false" customHeight="false" outlineLevel="0" collapsed="false">
      <c r="A458" s="11"/>
      <c r="B458" s="13"/>
      <c r="C458" s="11"/>
      <c r="D458" s="11"/>
      <c r="E458" s="11"/>
      <c r="F458" s="19"/>
      <c r="G458" s="12" t="str">
        <f aca="false">IF(F458="","",IF(F458&lt;=Parâmetros!$B$7,"Faixa 1",IF(F458&lt;=Parâmetros!$B$8,"Faixa 2","Faixa 3")))</f>
        <v/>
      </c>
      <c r="H458" s="12" t="str">
        <f aca="false">IF(G458="","",IF(G458="Faixa 1","Rodízio/Sorteio",IF(G458="Faixa 2","Cotação (≥3 propostas)","Chamada pública")))</f>
        <v/>
      </c>
      <c r="I458" s="11"/>
      <c r="J458" s="17" t="str">
        <f aca="false">IF(I458="","",IFERROR(INDEX(Cadastro!$B$5:$B$304,MATCH(I458,Cadastro!$A$5:$A$304,0)),"ID não encontrado"))</f>
        <v/>
      </c>
      <c r="K458" s="17" t="str">
        <f aca="false">IF(I458="","",IFERROR(INDEX(Cadastro!$E$5:$E$304,MATCH(I458,Cadastro!$A$5:$A$304,0)),""))</f>
        <v/>
      </c>
      <c r="L458" s="17" t="str">
        <f aca="false">IF(I458="","",IFERROR(INDEX(Cadastro!$F$5:$F$304,MATCH(I458,Cadastro!$A$5:$A$304,0)),""))</f>
        <v/>
      </c>
      <c r="M458" s="17" t="str">
        <f aca="false">IF(I458="","",IFERROR(INDEX(Cadastro!$I$5:$I$304,MATCH(I458,Cadastro!$A$5:$A$304,0)),""))</f>
        <v/>
      </c>
      <c r="N458" s="19"/>
      <c r="O458" s="13"/>
      <c r="P458" s="12" t="str">
        <f aca="false">IF(OR(B458="",O458=""),"",NETWORKDAYS(B458,O458)-1)</f>
        <v/>
      </c>
      <c r="Q458" s="13"/>
      <c r="R458" s="11"/>
      <c r="S458" s="13"/>
      <c r="T458" s="11"/>
      <c r="U458" s="11"/>
      <c r="V458" s="11"/>
      <c r="W458" s="11"/>
      <c r="X458" s="11"/>
    </row>
    <row r="459" customFormat="false" ht="15" hidden="false" customHeight="false" outlineLevel="0" collapsed="false">
      <c r="A459" s="11"/>
      <c r="B459" s="13"/>
      <c r="C459" s="11"/>
      <c r="D459" s="11"/>
      <c r="E459" s="11"/>
      <c r="F459" s="19"/>
      <c r="G459" s="12" t="str">
        <f aca="false">IF(F459="","",IF(F459&lt;=Parâmetros!$B$7,"Faixa 1",IF(F459&lt;=Parâmetros!$B$8,"Faixa 2","Faixa 3")))</f>
        <v/>
      </c>
      <c r="H459" s="12" t="str">
        <f aca="false">IF(G459="","",IF(G459="Faixa 1","Rodízio/Sorteio",IF(G459="Faixa 2","Cotação (≥3 propostas)","Chamada pública")))</f>
        <v/>
      </c>
      <c r="I459" s="11"/>
      <c r="J459" s="17" t="str">
        <f aca="false">IF(I459="","",IFERROR(INDEX(Cadastro!$B$5:$B$304,MATCH(I459,Cadastro!$A$5:$A$304,0)),"ID não encontrado"))</f>
        <v/>
      </c>
      <c r="K459" s="17" t="str">
        <f aca="false">IF(I459="","",IFERROR(INDEX(Cadastro!$E$5:$E$304,MATCH(I459,Cadastro!$A$5:$A$304,0)),""))</f>
        <v/>
      </c>
      <c r="L459" s="17" t="str">
        <f aca="false">IF(I459="","",IFERROR(INDEX(Cadastro!$F$5:$F$304,MATCH(I459,Cadastro!$A$5:$A$304,0)),""))</f>
        <v/>
      </c>
      <c r="M459" s="17" t="str">
        <f aca="false">IF(I459="","",IFERROR(INDEX(Cadastro!$I$5:$I$304,MATCH(I459,Cadastro!$A$5:$A$304,0)),""))</f>
        <v/>
      </c>
      <c r="N459" s="19"/>
      <c r="O459" s="13"/>
      <c r="P459" s="12" t="str">
        <f aca="false">IF(OR(B459="",O459=""),"",NETWORKDAYS(B459,O459)-1)</f>
        <v/>
      </c>
      <c r="Q459" s="13"/>
      <c r="R459" s="11"/>
      <c r="S459" s="13"/>
      <c r="T459" s="11"/>
      <c r="U459" s="11"/>
      <c r="V459" s="11"/>
      <c r="W459" s="11"/>
      <c r="X459" s="11"/>
    </row>
    <row r="460" customFormat="false" ht="15" hidden="false" customHeight="false" outlineLevel="0" collapsed="false">
      <c r="A460" s="11"/>
      <c r="B460" s="13"/>
      <c r="C460" s="11"/>
      <c r="D460" s="11"/>
      <c r="E460" s="11"/>
      <c r="F460" s="19"/>
      <c r="G460" s="12" t="str">
        <f aca="false">IF(F460="","",IF(F460&lt;=Parâmetros!$B$7,"Faixa 1",IF(F460&lt;=Parâmetros!$B$8,"Faixa 2","Faixa 3")))</f>
        <v/>
      </c>
      <c r="H460" s="12" t="str">
        <f aca="false">IF(G460="","",IF(G460="Faixa 1","Rodízio/Sorteio",IF(G460="Faixa 2","Cotação (≥3 propostas)","Chamada pública")))</f>
        <v/>
      </c>
      <c r="I460" s="11"/>
      <c r="J460" s="17" t="str">
        <f aca="false">IF(I460="","",IFERROR(INDEX(Cadastro!$B$5:$B$304,MATCH(I460,Cadastro!$A$5:$A$304,0)),"ID não encontrado"))</f>
        <v/>
      </c>
      <c r="K460" s="17" t="str">
        <f aca="false">IF(I460="","",IFERROR(INDEX(Cadastro!$E$5:$E$304,MATCH(I460,Cadastro!$A$5:$A$304,0)),""))</f>
        <v/>
      </c>
      <c r="L460" s="17" t="str">
        <f aca="false">IF(I460="","",IFERROR(INDEX(Cadastro!$F$5:$F$304,MATCH(I460,Cadastro!$A$5:$A$304,0)),""))</f>
        <v/>
      </c>
      <c r="M460" s="17" t="str">
        <f aca="false">IF(I460="","",IFERROR(INDEX(Cadastro!$I$5:$I$304,MATCH(I460,Cadastro!$A$5:$A$304,0)),""))</f>
        <v/>
      </c>
      <c r="N460" s="19"/>
      <c r="O460" s="13"/>
      <c r="P460" s="12" t="str">
        <f aca="false">IF(OR(B460="",O460=""),"",NETWORKDAYS(B460,O460)-1)</f>
        <v/>
      </c>
      <c r="Q460" s="13"/>
      <c r="R460" s="11"/>
      <c r="S460" s="13"/>
      <c r="T460" s="11"/>
      <c r="U460" s="11"/>
      <c r="V460" s="11"/>
      <c r="W460" s="11"/>
      <c r="X460" s="11"/>
    </row>
    <row r="461" customFormat="false" ht="15" hidden="false" customHeight="false" outlineLevel="0" collapsed="false">
      <c r="A461" s="11"/>
      <c r="B461" s="13"/>
      <c r="C461" s="11"/>
      <c r="D461" s="11"/>
      <c r="E461" s="11"/>
      <c r="F461" s="19"/>
      <c r="G461" s="12" t="str">
        <f aca="false">IF(F461="","",IF(F461&lt;=Parâmetros!$B$7,"Faixa 1",IF(F461&lt;=Parâmetros!$B$8,"Faixa 2","Faixa 3")))</f>
        <v/>
      </c>
      <c r="H461" s="12" t="str">
        <f aca="false">IF(G461="","",IF(G461="Faixa 1","Rodízio/Sorteio",IF(G461="Faixa 2","Cotação (≥3 propostas)","Chamada pública")))</f>
        <v/>
      </c>
      <c r="I461" s="11"/>
      <c r="J461" s="17" t="str">
        <f aca="false">IF(I461="","",IFERROR(INDEX(Cadastro!$B$5:$B$304,MATCH(I461,Cadastro!$A$5:$A$304,0)),"ID não encontrado"))</f>
        <v/>
      </c>
      <c r="K461" s="17" t="str">
        <f aca="false">IF(I461="","",IFERROR(INDEX(Cadastro!$E$5:$E$304,MATCH(I461,Cadastro!$A$5:$A$304,0)),""))</f>
        <v/>
      </c>
      <c r="L461" s="17" t="str">
        <f aca="false">IF(I461="","",IFERROR(INDEX(Cadastro!$F$5:$F$304,MATCH(I461,Cadastro!$A$5:$A$304,0)),""))</f>
        <v/>
      </c>
      <c r="M461" s="17" t="str">
        <f aca="false">IF(I461="","",IFERROR(INDEX(Cadastro!$I$5:$I$304,MATCH(I461,Cadastro!$A$5:$A$304,0)),""))</f>
        <v/>
      </c>
      <c r="N461" s="19"/>
      <c r="O461" s="13"/>
      <c r="P461" s="12" t="str">
        <f aca="false">IF(OR(B461="",O461=""),"",NETWORKDAYS(B461,O461)-1)</f>
        <v/>
      </c>
      <c r="Q461" s="13"/>
      <c r="R461" s="11"/>
      <c r="S461" s="13"/>
      <c r="T461" s="11"/>
      <c r="U461" s="11"/>
      <c r="V461" s="11"/>
      <c r="W461" s="11"/>
      <c r="X461" s="11"/>
    </row>
    <row r="462" customFormat="false" ht="15" hidden="false" customHeight="false" outlineLevel="0" collapsed="false">
      <c r="A462" s="11"/>
      <c r="B462" s="13"/>
      <c r="C462" s="11"/>
      <c r="D462" s="11"/>
      <c r="E462" s="11"/>
      <c r="F462" s="19"/>
      <c r="G462" s="12" t="str">
        <f aca="false">IF(F462="","",IF(F462&lt;=Parâmetros!$B$7,"Faixa 1",IF(F462&lt;=Parâmetros!$B$8,"Faixa 2","Faixa 3")))</f>
        <v/>
      </c>
      <c r="H462" s="12" t="str">
        <f aca="false">IF(G462="","",IF(G462="Faixa 1","Rodízio/Sorteio",IF(G462="Faixa 2","Cotação (≥3 propostas)","Chamada pública")))</f>
        <v/>
      </c>
      <c r="I462" s="11"/>
      <c r="J462" s="17" t="str">
        <f aca="false">IF(I462="","",IFERROR(INDEX(Cadastro!$B$5:$B$304,MATCH(I462,Cadastro!$A$5:$A$304,0)),"ID não encontrado"))</f>
        <v/>
      </c>
      <c r="K462" s="17" t="str">
        <f aca="false">IF(I462="","",IFERROR(INDEX(Cadastro!$E$5:$E$304,MATCH(I462,Cadastro!$A$5:$A$304,0)),""))</f>
        <v/>
      </c>
      <c r="L462" s="17" t="str">
        <f aca="false">IF(I462="","",IFERROR(INDEX(Cadastro!$F$5:$F$304,MATCH(I462,Cadastro!$A$5:$A$304,0)),""))</f>
        <v/>
      </c>
      <c r="M462" s="17" t="str">
        <f aca="false">IF(I462="","",IFERROR(INDEX(Cadastro!$I$5:$I$304,MATCH(I462,Cadastro!$A$5:$A$304,0)),""))</f>
        <v/>
      </c>
      <c r="N462" s="19"/>
      <c r="O462" s="13"/>
      <c r="P462" s="12" t="str">
        <f aca="false">IF(OR(B462="",O462=""),"",NETWORKDAYS(B462,O462)-1)</f>
        <v/>
      </c>
      <c r="Q462" s="13"/>
      <c r="R462" s="11"/>
      <c r="S462" s="13"/>
      <c r="T462" s="11"/>
      <c r="U462" s="11"/>
      <c r="V462" s="11"/>
      <c r="W462" s="11"/>
      <c r="X462" s="11"/>
    </row>
    <row r="463" customFormat="false" ht="15" hidden="false" customHeight="false" outlineLevel="0" collapsed="false">
      <c r="A463" s="11"/>
      <c r="B463" s="13"/>
      <c r="C463" s="11"/>
      <c r="D463" s="11"/>
      <c r="E463" s="11"/>
      <c r="F463" s="19"/>
      <c r="G463" s="12" t="str">
        <f aca="false">IF(F463="","",IF(F463&lt;=Parâmetros!$B$7,"Faixa 1",IF(F463&lt;=Parâmetros!$B$8,"Faixa 2","Faixa 3")))</f>
        <v/>
      </c>
      <c r="H463" s="12" t="str">
        <f aca="false">IF(G463="","",IF(G463="Faixa 1","Rodízio/Sorteio",IF(G463="Faixa 2","Cotação (≥3 propostas)","Chamada pública")))</f>
        <v/>
      </c>
      <c r="I463" s="11"/>
      <c r="J463" s="17" t="str">
        <f aca="false">IF(I463="","",IFERROR(INDEX(Cadastro!$B$5:$B$304,MATCH(I463,Cadastro!$A$5:$A$304,0)),"ID não encontrado"))</f>
        <v/>
      </c>
      <c r="K463" s="17" t="str">
        <f aca="false">IF(I463="","",IFERROR(INDEX(Cadastro!$E$5:$E$304,MATCH(I463,Cadastro!$A$5:$A$304,0)),""))</f>
        <v/>
      </c>
      <c r="L463" s="17" t="str">
        <f aca="false">IF(I463="","",IFERROR(INDEX(Cadastro!$F$5:$F$304,MATCH(I463,Cadastro!$A$5:$A$304,0)),""))</f>
        <v/>
      </c>
      <c r="M463" s="17" t="str">
        <f aca="false">IF(I463="","",IFERROR(INDEX(Cadastro!$I$5:$I$304,MATCH(I463,Cadastro!$A$5:$A$304,0)),""))</f>
        <v/>
      </c>
      <c r="N463" s="19"/>
      <c r="O463" s="13"/>
      <c r="P463" s="12" t="str">
        <f aca="false">IF(OR(B463="",O463=""),"",NETWORKDAYS(B463,O463)-1)</f>
        <v/>
      </c>
      <c r="Q463" s="13"/>
      <c r="R463" s="11"/>
      <c r="S463" s="13"/>
      <c r="T463" s="11"/>
      <c r="U463" s="11"/>
      <c r="V463" s="11"/>
      <c r="W463" s="11"/>
      <c r="X463" s="11"/>
    </row>
    <row r="464" customFormat="false" ht="15" hidden="false" customHeight="false" outlineLevel="0" collapsed="false">
      <c r="A464" s="11"/>
      <c r="B464" s="13"/>
      <c r="C464" s="11"/>
      <c r="D464" s="11"/>
      <c r="E464" s="11"/>
      <c r="F464" s="19"/>
      <c r="G464" s="12" t="str">
        <f aca="false">IF(F464="","",IF(F464&lt;=Parâmetros!$B$7,"Faixa 1",IF(F464&lt;=Parâmetros!$B$8,"Faixa 2","Faixa 3")))</f>
        <v/>
      </c>
      <c r="H464" s="12" t="str">
        <f aca="false">IF(G464="","",IF(G464="Faixa 1","Rodízio/Sorteio",IF(G464="Faixa 2","Cotação (≥3 propostas)","Chamada pública")))</f>
        <v/>
      </c>
      <c r="I464" s="11"/>
      <c r="J464" s="17" t="str">
        <f aca="false">IF(I464="","",IFERROR(INDEX(Cadastro!$B$5:$B$304,MATCH(I464,Cadastro!$A$5:$A$304,0)),"ID não encontrado"))</f>
        <v/>
      </c>
      <c r="K464" s="17" t="str">
        <f aca="false">IF(I464="","",IFERROR(INDEX(Cadastro!$E$5:$E$304,MATCH(I464,Cadastro!$A$5:$A$304,0)),""))</f>
        <v/>
      </c>
      <c r="L464" s="17" t="str">
        <f aca="false">IF(I464="","",IFERROR(INDEX(Cadastro!$F$5:$F$304,MATCH(I464,Cadastro!$A$5:$A$304,0)),""))</f>
        <v/>
      </c>
      <c r="M464" s="17" t="str">
        <f aca="false">IF(I464="","",IFERROR(INDEX(Cadastro!$I$5:$I$304,MATCH(I464,Cadastro!$A$5:$A$304,0)),""))</f>
        <v/>
      </c>
      <c r="N464" s="19"/>
      <c r="O464" s="13"/>
      <c r="P464" s="12" t="str">
        <f aca="false">IF(OR(B464="",O464=""),"",NETWORKDAYS(B464,O464)-1)</f>
        <v/>
      </c>
      <c r="Q464" s="13"/>
      <c r="R464" s="11"/>
      <c r="S464" s="13"/>
      <c r="T464" s="11"/>
      <c r="U464" s="11"/>
      <c r="V464" s="11"/>
      <c r="W464" s="11"/>
      <c r="X464" s="11"/>
    </row>
    <row r="465" customFormat="false" ht="15" hidden="false" customHeight="false" outlineLevel="0" collapsed="false">
      <c r="A465" s="11"/>
      <c r="B465" s="13"/>
      <c r="C465" s="11"/>
      <c r="D465" s="11"/>
      <c r="E465" s="11"/>
      <c r="F465" s="19"/>
      <c r="G465" s="12" t="str">
        <f aca="false">IF(F465="","",IF(F465&lt;=Parâmetros!$B$7,"Faixa 1",IF(F465&lt;=Parâmetros!$B$8,"Faixa 2","Faixa 3")))</f>
        <v/>
      </c>
      <c r="H465" s="12" t="str">
        <f aca="false">IF(G465="","",IF(G465="Faixa 1","Rodízio/Sorteio",IF(G465="Faixa 2","Cotação (≥3 propostas)","Chamada pública")))</f>
        <v/>
      </c>
      <c r="I465" s="11"/>
      <c r="J465" s="17" t="str">
        <f aca="false">IF(I465="","",IFERROR(INDEX(Cadastro!$B$5:$B$304,MATCH(I465,Cadastro!$A$5:$A$304,0)),"ID não encontrado"))</f>
        <v/>
      </c>
      <c r="K465" s="17" t="str">
        <f aca="false">IF(I465="","",IFERROR(INDEX(Cadastro!$E$5:$E$304,MATCH(I465,Cadastro!$A$5:$A$304,0)),""))</f>
        <v/>
      </c>
      <c r="L465" s="17" t="str">
        <f aca="false">IF(I465="","",IFERROR(INDEX(Cadastro!$F$5:$F$304,MATCH(I465,Cadastro!$A$5:$A$304,0)),""))</f>
        <v/>
      </c>
      <c r="M465" s="17" t="str">
        <f aca="false">IF(I465="","",IFERROR(INDEX(Cadastro!$I$5:$I$304,MATCH(I465,Cadastro!$A$5:$A$304,0)),""))</f>
        <v/>
      </c>
      <c r="N465" s="19"/>
      <c r="O465" s="13"/>
      <c r="P465" s="12" t="str">
        <f aca="false">IF(OR(B465="",O465=""),"",NETWORKDAYS(B465,O465)-1)</f>
        <v/>
      </c>
      <c r="Q465" s="13"/>
      <c r="R465" s="11"/>
      <c r="S465" s="13"/>
      <c r="T465" s="11"/>
      <c r="U465" s="11"/>
      <c r="V465" s="11"/>
      <c r="W465" s="11"/>
      <c r="X465" s="11"/>
    </row>
    <row r="466" customFormat="false" ht="15" hidden="false" customHeight="false" outlineLevel="0" collapsed="false">
      <c r="A466" s="11"/>
      <c r="B466" s="13"/>
      <c r="C466" s="11"/>
      <c r="D466" s="11"/>
      <c r="E466" s="11"/>
      <c r="F466" s="19"/>
      <c r="G466" s="12" t="str">
        <f aca="false">IF(F466="","",IF(F466&lt;=Parâmetros!$B$7,"Faixa 1",IF(F466&lt;=Parâmetros!$B$8,"Faixa 2","Faixa 3")))</f>
        <v/>
      </c>
      <c r="H466" s="12" t="str">
        <f aca="false">IF(G466="","",IF(G466="Faixa 1","Rodízio/Sorteio",IF(G466="Faixa 2","Cotação (≥3 propostas)","Chamada pública")))</f>
        <v/>
      </c>
      <c r="I466" s="11"/>
      <c r="J466" s="17" t="str">
        <f aca="false">IF(I466="","",IFERROR(INDEX(Cadastro!$B$5:$B$304,MATCH(I466,Cadastro!$A$5:$A$304,0)),"ID não encontrado"))</f>
        <v/>
      </c>
      <c r="K466" s="17" t="str">
        <f aca="false">IF(I466="","",IFERROR(INDEX(Cadastro!$E$5:$E$304,MATCH(I466,Cadastro!$A$5:$A$304,0)),""))</f>
        <v/>
      </c>
      <c r="L466" s="17" t="str">
        <f aca="false">IF(I466="","",IFERROR(INDEX(Cadastro!$F$5:$F$304,MATCH(I466,Cadastro!$A$5:$A$304,0)),""))</f>
        <v/>
      </c>
      <c r="M466" s="17" t="str">
        <f aca="false">IF(I466="","",IFERROR(INDEX(Cadastro!$I$5:$I$304,MATCH(I466,Cadastro!$A$5:$A$304,0)),""))</f>
        <v/>
      </c>
      <c r="N466" s="19"/>
      <c r="O466" s="13"/>
      <c r="P466" s="12" t="str">
        <f aca="false">IF(OR(B466="",O466=""),"",NETWORKDAYS(B466,O466)-1)</f>
        <v/>
      </c>
      <c r="Q466" s="13"/>
      <c r="R466" s="11"/>
      <c r="S466" s="13"/>
      <c r="T466" s="11"/>
      <c r="U466" s="11"/>
      <c r="V466" s="11"/>
      <c r="W466" s="11"/>
      <c r="X466" s="11"/>
    </row>
    <row r="467" customFormat="false" ht="15" hidden="false" customHeight="false" outlineLevel="0" collapsed="false">
      <c r="A467" s="11"/>
      <c r="B467" s="13"/>
      <c r="C467" s="11"/>
      <c r="D467" s="11"/>
      <c r="E467" s="11"/>
      <c r="F467" s="19"/>
      <c r="G467" s="12" t="str">
        <f aca="false">IF(F467="","",IF(F467&lt;=Parâmetros!$B$7,"Faixa 1",IF(F467&lt;=Parâmetros!$B$8,"Faixa 2","Faixa 3")))</f>
        <v/>
      </c>
      <c r="H467" s="12" t="str">
        <f aca="false">IF(G467="","",IF(G467="Faixa 1","Rodízio/Sorteio",IF(G467="Faixa 2","Cotação (≥3 propostas)","Chamada pública")))</f>
        <v/>
      </c>
      <c r="I467" s="11"/>
      <c r="J467" s="17" t="str">
        <f aca="false">IF(I467="","",IFERROR(INDEX(Cadastro!$B$5:$B$304,MATCH(I467,Cadastro!$A$5:$A$304,0)),"ID não encontrado"))</f>
        <v/>
      </c>
      <c r="K467" s="17" t="str">
        <f aca="false">IF(I467="","",IFERROR(INDEX(Cadastro!$E$5:$E$304,MATCH(I467,Cadastro!$A$5:$A$304,0)),""))</f>
        <v/>
      </c>
      <c r="L467" s="17" t="str">
        <f aca="false">IF(I467="","",IFERROR(INDEX(Cadastro!$F$5:$F$304,MATCH(I467,Cadastro!$A$5:$A$304,0)),""))</f>
        <v/>
      </c>
      <c r="M467" s="17" t="str">
        <f aca="false">IF(I467="","",IFERROR(INDEX(Cadastro!$I$5:$I$304,MATCH(I467,Cadastro!$A$5:$A$304,0)),""))</f>
        <v/>
      </c>
      <c r="N467" s="19"/>
      <c r="O467" s="13"/>
      <c r="P467" s="12" t="str">
        <f aca="false">IF(OR(B467="",O467=""),"",NETWORKDAYS(B467,O467)-1)</f>
        <v/>
      </c>
      <c r="Q467" s="13"/>
      <c r="R467" s="11"/>
      <c r="S467" s="13"/>
      <c r="T467" s="11"/>
      <c r="U467" s="11"/>
      <c r="V467" s="11"/>
      <c r="W467" s="11"/>
      <c r="X467" s="11"/>
    </row>
    <row r="468" customFormat="false" ht="15" hidden="false" customHeight="false" outlineLevel="0" collapsed="false">
      <c r="A468" s="11"/>
      <c r="B468" s="13"/>
      <c r="C468" s="11"/>
      <c r="D468" s="11"/>
      <c r="E468" s="11"/>
      <c r="F468" s="19"/>
      <c r="G468" s="12" t="str">
        <f aca="false">IF(F468="","",IF(F468&lt;=Parâmetros!$B$7,"Faixa 1",IF(F468&lt;=Parâmetros!$B$8,"Faixa 2","Faixa 3")))</f>
        <v/>
      </c>
      <c r="H468" s="12" t="str">
        <f aca="false">IF(G468="","",IF(G468="Faixa 1","Rodízio/Sorteio",IF(G468="Faixa 2","Cotação (≥3 propostas)","Chamada pública")))</f>
        <v/>
      </c>
      <c r="I468" s="11"/>
      <c r="J468" s="17" t="str">
        <f aca="false">IF(I468="","",IFERROR(INDEX(Cadastro!$B$5:$B$304,MATCH(I468,Cadastro!$A$5:$A$304,0)),"ID não encontrado"))</f>
        <v/>
      </c>
      <c r="K468" s="17" t="str">
        <f aca="false">IF(I468="","",IFERROR(INDEX(Cadastro!$E$5:$E$304,MATCH(I468,Cadastro!$A$5:$A$304,0)),""))</f>
        <v/>
      </c>
      <c r="L468" s="17" t="str">
        <f aca="false">IF(I468="","",IFERROR(INDEX(Cadastro!$F$5:$F$304,MATCH(I468,Cadastro!$A$5:$A$304,0)),""))</f>
        <v/>
      </c>
      <c r="M468" s="17" t="str">
        <f aca="false">IF(I468="","",IFERROR(INDEX(Cadastro!$I$5:$I$304,MATCH(I468,Cadastro!$A$5:$A$304,0)),""))</f>
        <v/>
      </c>
      <c r="N468" s="19"/>
      <c r="O468" s="13"/>
      <c r="P468" s="12" t="str">
        <f aca="false">IF(OR(B468="",O468=""),"",NETWORKDAYS(B468,O468)-1)</f>
        <v/>
      </c>
      <c r="Q468" s="13"/>
      <c r="R468" s="11"/>
      <c r="S468" s="13"/>
      <c r="T468" s="11"/>
      <c r="U468" s="11"/>
      <c r="V468" s="11"/>
      <c r="W468" s="11"/>
      <c r="X468" s="11"/>
    </row>
    <row r="469" customFormat="false" ht="15" hidden="false" customHeight="false" outlineLevel="0" collapsed="false">
      <c r="A469" s="11"/>
      <c r="B469" s="13"/>
      <c r="C469" s="11"/>
      <c r="D469" s="11"/>
      <c r="E469" s="11"/>
      <c r="F469" s="19"/>
      <c r="G469" s="12" t="str">
        <f aca="false">IF(F469="","",IF(F469&lt;=Parâmetros!$B$7,"Faixa 1",IF(F469&lt;=Parâmetros!$B$8,"Faixa 2","Faixa 3")))</f>
        <v/>
      </c>
      <c r="H469" s="12" t="str">
        <f aca="false">IF(G469="","",IF(G469="Faixa 1","Rodízio/Sorteio",IF(G469="Faixa 2","Cotação (≥3 propostas)","Chamada pública")))</f>
        <v/>
      </c>
      <c r="I469" s="11"/>
      <c r="J469" s="17" t="str">
        <f aca="false">IF(I469="","",IFERROR(INDEX(Cadastro!$B$5:$B$304,MATCH(I469,Cadastro!$A$5:$A$304,0)),"ID não encontrado"))</f>
        <v/>
      </c>
      <c r="K469" s="17" t="str">
        <f aca="false">IF(I469="","",IFERROR(INDEX(Cadastro!$E$5:$E$304,MATCH(I469,Cadastro!$A$5:$A$304,0)),""))</f>
        <v/>
      </c>
      <c r="L469" s="17" t="str">
        <f aca="false">IF(I469="","",IFERROR(INDEX(Cadastro!$F$5:$F$304,MATCH(I469,Cadastro!$A$5:$A$304,0)),""))</f>
        <v/>
      </c>
      <c r="M469" s="17" t="str">
        <f aca="false">IF(I469="","",IFERROR(INDEX(Cadastro!$I$5:$I$304,MATCH(I469,Cadastro!$A$5:$A$304,0)),""))</f>
        <v/>
      </c>
      <c r="N469" s="19"/>
      <c r="O469" s="13"/>
      <c r="P469" s="12" t="str">
        <f aca="false">IF(OR(B469="",O469=""),"",NETWORKDAYS(B469,O469)-1)</f>
        <v/>
      </c>
      <c r="Q469" s="13"/>
      <c r="R469" s="11"/>
      <c r="S469" s="13"/>
      <c r="T469" s="11"/>
      <c r="U469" s="11"/>
      <c r="V469" s="11"/>
      <c r="W469" s="11"/>
      <c r="X469" s="11"/>
    </row>
    <row r="470" customFormat="false" ht="15" hidden="false" customHeight="false" outlineLevel="0" collapsed="false">
      <c r="A470" s="11"/>
      <c r="B470" s="13"/>
      <c r="C470" s="11"/>
      <c r="D470" s="11"/>
      <c r="E470" s="11"/>
      <c r="F470" s="19"/>
      <c r="G470" s="12" t="str">
        <f aca="false">IF(F470="","",IF(F470&lt;=Parâmetros!$B$7,"Faixa 1",IF(F470&lt;=Parâmetros!$B$8,"Faixa 2","Faixa 3")))</f>
        <v/>
      </c>
      <c r="H470" s="12" t="str">
        <f aca="false">IF(G470="","",IF(G470="Faixa 1","Rodízio/Sorteio",IF(G470="Faixa 2","Cotação (≥3 propostas)","Chamada pública")))</f>
        <v/>
      </c>
      <c r="I470" s="11"/>
      <c r="J470" s="17" t="str">
        <f aca="false">IF(I470="","",IFERROR(INDEX(Cadastro!$B$5:$B$304,MATCH(I470,Cadastro!$A$5:$A$304,0)),"ID não encontrado"))</f>
        <v/>
      </c>
      <c r="K470" s="17" t="str">
        <f aca="false">IF(I470="","",IFERROR(INDEX(Cadastro!$E$5:$E$304,MATCH(I470,Cadastro!$A$5:$A$304,0)),""))</f>
        <v/>
      </c>
      <c r="L470" s="17" t="str">
        <f aca="false">IF(I470="","",IFERROR(INDEX(Cadastro!$F$5:$F$304,MATCH(I470,Cadastro!$A$5:$A$304,0)),""))</f>
        <v/>
      </c>
      <c r="M470" s="17" t="str">
        <f aca="false">IF(I470="","",IFERROR(INDEX(Cadastro!$I$5:$I$304,MATCH(I470,Cadastro!$A$5:$A$304,0)),""))</f>
        <v/>
      </c>
      <c r="N470" s="19"/>
      <c r="O470" s="13"/>
      <c r="P470" s="12" t="str">
        <f aca="false">IF(OR(B470="",O470=""),"",NETWORKDAYS(B470,O470)-1)</f>
        <v/>
      </c>
      <c r="Q470" s="13"/>
      <c r="R470" s="11"/>
      <c r="S470" s="13"/>
      <c r="T470" s="11"/>
      <c r="U470" s="11"/>
      <c r="V470" s="11"/>
      <c r="W470" s="11"/>
      <c r="X470" s="11"/>
    </row>
    <row r="471" customFormat="false" ht="15" hidden="false" customHeight="false" outlineLevel="0" collapsed="false">
      <c r="A471" s="11"/>
      <c r="B471" s="13"/>
      <c r="C471" s="11"/>
      <c r="D471" s="11"/>
      <c r="E471" s="11"/>
      <c r="F471" s="19"/>
      <c r="G471" s="12" t="str">
        <f aca="false">IF(F471="","",IF(F471&lt;=Parâmetros!$B$7,"Faixa 1",IF(F471&lt;=Parâmetros!$B$8,"Faixa 2","Faixa 3")))</f>
        <v/>
      </c>
      <c r="H471" s="12" t="str">
        <f aca="false">IF(G471="","",IF(G471="Faixa 1","Rodízio/Sorteio",IF(G471="Faixa 2","Cotação (≥3 propostas)","Chamada pública")))</f>
        <v/>
      </c>
      <c r="I471" s="11"/>
      <c r="J471" s="17" t="str">
        <f aca="false">IF(I471="","",IFERROR(INDEX(Cadastro!$B$5:$B$304,MATCH(I471,Cadastro!$A$5:$A$304,0)),"ID não encontrado"))</f>
        <v/>
      </c>
      <c r="K471" s="17" t="str">
        <f aca="false">IF(I471="","",IFERROR(INDEX(Cadastro!$E$5:$E$304,MATCH(I471,Cadastro!$A$5:$A$304,0)),""))</f>
        <v/>
      </c>
      <c r="L471" s="17" t="str">
        <f aca="false">IF(I471="","",IFERROR(INDEX(Cadastro!$F$5:$F$304,MATCH(I471,Cadastro!$A$5:$A$304,0)),""))</f>
        <v/>
      </c>
      <c r="M471" s="17" t="str">
        <f aca="false">IF(I471="","",IFERROR(INDEX(Cadastro!$I$5:$I$304,MATCH(I471,Cadastro!$A$5:$A$304,0)),""))</f>
        <v/>
      </c>
      <c r="N471" s="19"/>
      <c r="O471" s="13"/>
      <c r="P471" s="12" t="str">
        <f aca="false">IF(OR(B471="",O471=""),"",NETWORKDAYS(B471,O471)-1)</f>
        <v/>
      </c>
      <c r="Q471" s="13"/>
      <c r="R471" s="11"/>
      <c r="S471" s="13"/>
      <c r="T471" s="11"/>
      <c r="U471" s="11"/>
      <c r="V471" s="11"/>
      <c r="W471" s="11"/>
      <c r="X471" s="11"/>
    </row>
    <row r="472" customFormat="false" ht="15" hidden="false" customHeight="false" outlineLevel="0" collapsed="false">
      <c r="A472" s="11"/>
      <c r="B472" s="13"/>
      <c r="C472" s="11"/>
      <c r="D472" s="11"/>
      <c r="E472" s="11"/>
      <c r="F472" s="19"/>
      <c r="G472" s="12" t="str">
        <f aca="false">IF(F472="","",IF(F472&lt;=Parâmetros!$B$7,"Faixa 1",IF(F472&lt;=Parâmetros!$B$8,"Faixa 2","Faixa 3")))</f>
        <v/>
      </c>
      <c r="H472" s="12" t="str">
        <f aca="false">IF(G472="","",IF(G472="Faixa 1","Rodízio/Sorteio",IF(G472="Faixa 2","Cotação (≥3 propostas)","Chamada pública")))</f>
        <v/>
      </c>
      <c r="I472" s="11"/>
      <c r="J472" s="17" t="str">
        <f aca="false">IF(I472="","",IFERROR(INDEX(Cadastro!$B$5:$B$304,MATCH(I472,Cadastro!$A$5:$A$304,0)),"ID não encontrado"))</f>
        <v/>
      </c>
      <c r="K472" s="17" t="str">
        <f aca="false">IF(I472="","",IFERROR(INDEX(Cadastro!$E$5:$E$304,MATCH(I472,Cadastro!$A$5:$A$304,0)),""))</f>
        <v/>
      </c>
      <c r="L472" s="17" t="str">
        <f aca="false">IF(I472="","",IFERROR(INDEX(Cadastro!$F$5:$F$304,MATCH(I472,Cadastro!$A$5:$A$304,0)),""))</f>
        <v/>
      </c>
      <c r="M472" s="17" t="str">
        <f aca="false">IF(I472="","",IFERROR(INDEX(Cadastro!$I$5:$I$304,MATCH(I472,Cadastro!$A$5:$A$304,0)),""))</f>
        <v/>
      </c>
      <c r="N472" s="19"/>
      <c r="O472" s="13"/>
      <c r="P472" s="12" t="str">
        <f aca="false">IF(OR(B472="",O472=""),"",NETWORKDAYS(B472,O472)-1)</f>
        <v/>
      </c>
      <c r="Q472" s="13"/>
      <c r="R472" s="11"/>
      <c r="S472" s="13"/>
      <c r="T472" s="11"/>
      <c r="U472" s="11"/>
      <c r="V472" s="11"/>
      <c r="W472" s="11"/>
      <c r="X472" s="11"/>
    </row>
    <row r="473" customFormat="false" ht="15" hidden="false" customHeight="false" outlineLevel="0" collapsed="false">
      <c r="A473" s="11"/>
      <c r="B473" s="13"/>
      <c r="C473" s="11"/>
      <c r="D473" s="11"/>
      <c r="E473" s="11"/>
      <c r="F473" s="19"/>
      <c r="G473" s="12" t="str">
        <f aca="false">IF(F473="","",IF(F473&lt;=Parâmetros!$B$7,"Faixa 1",IF(F473&lt;=Parâmetros!$B$8,"Faixa 2","Faixa 3")))</f>
        <v/>
      </c>
      <c r="H473" s="12" t="str">
        <f aca="false">IF(G473="","",IF(G473="Faixa 1","Rodízio/Sorteio",IF(G473="Faixa 2","Cotação (≥3 propostas)","Chamada pública")))</f>
        <v/>
      </c>
      <c r="I473" s="11"/>
      <c r="J473" s="17" t="str">
        <f aca="false">IF(I473="","",IFERROR(INDEX(Cadastro!$B$5:$B$304,MATCH(I473,Cadastro!$A$5:$A$304,0)),"ID não encontrado"))</f>
        <v/>
      </c>
      <c r="K473" s="17" t="str">
        <f aca="false">IF(I473="","",IFERROR(INDEX(Cadastro!$E$5:$E$304,MATCH(I473,Cadastro!$A$5:$A$304,0)),""))</f>
        <v/>
      </c>
      <c r="L473" s="17" t="str">
        <f aca="false">IF(I473="","",IFERROR(INDEX(Cadastro!$F$5:$F$304,MATCH(I473,Cadastro!$A$5:$A$304,0)),""))</f>
        <v/>
      </c>
      <c r="M473" s="17" t="str">
        <f aca="false">IF(I473="","",IFERROR(INDEX(Cadastro!$I$5:$I$304,MATCH(I473,Cadastro!$A$5:$A$304,0)),""))</f>
        <v/>
      </c>
      <c r="N473" s="19"/>
      <c r="O473" s="13"/>
      <c r="P473" s="12" t="str">
        <f aca="false">IF(OR(B473="",O473=""),"",NETWORKDAYS(B473,O473)-1)</f>
        <v/>
      </c>
      <c r="Q473" s="13"/>
      <c r="R473" s="11"/>
      <c r="S473" s="13"/>
      <c r="T473" s="11"/>
      <c r="U473" s="11"/>
      <c r="V473" s="11"/>
      <c r="W473" s="11"/>
      <c r="X473" s="11"/>
    </row>
    <row r="474" customFormat="false" ht="15" hidden="false" customHeight="false" outlineLevel="0" collapsed="false">
      <c r="A474" s="11"/>
      <c r="B474" s="13"/>
      <c r="C474" s="11"/>
      <c r="D474" s="11"/>
      <c r="E474" s="11"/>
      <c r="F474" s="19"/>
      <c r="G474" s="12" t="str">
        <f aca="false">IF(F474="","",IF(F474&lt;=Parâmetros!$B$7,"Faixa 1",IF(F474&lt;=Parâmetros!$B$8,"Faixa 2","Faixa 3")))</f>
        <v/>
      </c>
      <c r="H474" s="12" t="str">
        <f aca="false">IF(G474="","",IF(G474="Faixa 1","Rodízio/Sorteio",IF(G474="Faixa 2","Cotação (≥3 propostas)","Chamada pública")))</f>
        <v/>
      </c>
      <c r="I474" s="11"/>
      <c r="J474" s="17" t="str">
        <f aca="false">IF(I474="","",IFERROR(INDEX(Cadastro!$B$5:$B$304,MATCH(I474,Cadastro!$A$5:$A$304,0)),"ID não encontrado"))</f>
        <v/>
      </c>
      <c r="K474" s="17" t="str">
        <f aca="false">IF(I474="","",IFERROR(INDEX(Cadastro!$E$5:$E$304,MATCH(I474,Cadastro!$A$5:$A$304,0)),""))</f>
        <v/>
      </c>
      <c r="L474" s="17" t="str">
        <f aca="false">IF(I474="","",IFERROR(INDEX(Cadastro!$F$5:$F$304,MATCH(I474,Cadastro!$A$5:$A$304,0)),""))</f>
        <v/>
      </c>
      <c r="M474" s="17" t="str">
        <f aca="false">IF(I474="","",IFERROR(INDEX(Cadastro!$I$5:$I$304,MATCH(I474,Cadastro!$A$5:$A$304,0)),""))</f>
        <v/>
      </c>
      <c r="N474" s="19"/>
      <c r="O474" s="13"/>
      <c r="P474" s="12" t="str">
        <f aca="false">IF(OR(B474="",O474=""),"",NETWORKDAYS(B474,O474)-1)</f>
        <v/>
      </c>
      <c r="Q474" s="13"/>
      <c r="R474" s="11"/>
      <c r="S474" s="13"/>
      <c r="T474" s="11"/>
      <c r="U474" s="11"/>
      <c r="V474" s="11"/>
      <c r="W474" s="11"/>
      <c r="X474" s="11"/>
    </row>
    <row r="475" customFormat="false" ht="15" hidden="false" customHeight="false" outlineLevel="0" collapsed="false">
      <c r="A475" s="11"/>
      <c r="B475" s="13"/>
      <c r="C475" s="11"/>
      <c r="D475" s="11"/>
      <c r="E475" s="11"/>
      <c r="F475" s="19"/>
      <c r="G475" s="12" t="str">
        <f aca="false">IF(F475="","",IF(F475&lt;=Parâmetros!$B$7,"Faixa 1",IF(F475&lt;=Parâmetros!$B$8,"Faixa 2","Faixa 3")))</f>
        <v/>
      </c>
      <c r="H475" s="12" t="str">
        <f aca="false">IF(G475="","",IF(G475="Faixa 1","Rodízio/Sorteio",IF(G475="Faixa 2","Cotação (≥3 propostas)","Chamada pública")))</f>
        <v/>
      </c>
      <c r="I475" s="11"/>
      <c r="J475" s="17" t="str">
        <f aca="false">IF(I475="","",IFERROR(INDEX(Cadastro!$B$5:$B$304,MATCH(I475,Cadastro!$A$5:$A$304,0)),"ID não encontrado"))</f>
        <v/>
      </c>
      <c r="K475" s="17" t="str">
        <f aca="false">IF(I475="","",IFERROR(INDEX(Cadastro!$E$5:$E$304,MATCH(I475,Cadastro!$A$5:$A$304,0)),""))</f>
        <v/>
      </c>
      <c r="L475" s="17" t="str">
        <f aca="false">IF(I475="","",IFERROR(INDEX(Cadastro!$F$5:$F$304,MATCH(I475,Cadastro!$A$5:$A$304,0)),""))</f>
        <v/>
      </c>
      <c r="M475" s="17" t="str">
        <f aca="false">IF(I475="","",IFERROR(INDEX(Cadastro!$I$5:$I$304,MATCH(I475,Cadastro!$A$5:$A$304,0)),""))</f>
        <v/>
      </c>
      <c r="N475" s="19"/>
      <c r="O475" s="13"/>
      <c r="P475" s="12" t="str">
        <f aca="false">IF(OR(B475="",O475=""),"",NETWORKDAYS(B475,O475)-1)</f>
        <v/>
      </c>
      <c r="Q475" s="13"/>
      <c r="R475" s="11"/>
      <c r="S475" s="13"/>
      <c r="T475" s="11"/>
      <c r="U475" s="11"/>
      <c r="V475" s="11"/>
      <c r="W475" s="11"/>
      <c r="X475" s="11"/>
    </row>
    <row r="476" customFormat="false" ht="15" hidden="false" customHeight="false" outlineLevel="0" collapsed="false">
      <c r="A476" s="11"/>
      <c r="B476" s="13"/>
      <c r="C476" s="11"/>
      <c r="D476" s="11"/>
      <c r="E476" s="11"/>
      <c r="F476" s="19"/>
      <c r="G476" s="12" t="str">
        <f aca="false">IF(F476="","",IF(F476&lt;=Parâmetros!$B$7,"Faixa 1",IF(F476&lt;=Parâmetros!$B$8,"Faixa 2","Faixa 3")))</f>
        <v/>
      </c>
      <c r="H476" s="12" t="str">
        <f aca="false">IF(G476="","",IF(G476="Faixa 1","Rodízio/Sorteio",IF(G476="Faixa 2","Cotação (≥3 propostas)","Chamada pública")))</f>
        <v/>
      </c>
      <c r="I476" s="11"/>
      <c r="J476" s="17" t="str">
        <f aca="false">IF(I476="","",IFERROR(INDEX(Cadastro!$B$5:$B$304,MATCH(I476,Cadastro!$A$5:$A$304,0)),"ID não encontrado"))</f>
        <v/>
      </c>
      <c r="K476" s="17" t="str">
        <f aca="false">IF(I476="","",IFERROR(INDEX(Cadastro!$E$5:$E$304,MATCH(I476,Cadastro!$A$5:$A$304,0)),""))</f>
        <v/>
      </c>
      <c r="L476" s="17" t="str">
        <f aca="false">IF(I476="","",IFERROR(INDEX(Cadastro!$F$5:$F$304,MATCH(I476,Cadastro!$A$5:$A$304,0)),""))</f>
        <v/>
      </c>
      <c r="M476" s="17" t="str">
        <f aca="false">IF(I476="","",IFERROR(INDEX(Cadastro!$I$5:$I$304,MATCH(I476,Cadastro!$A$5:$A$304,0)),""))</f>
        <v/>
      </c>
      <c r="N476" s="19"/>
      <c r="O476" s="13"/>
      <c r="P476" s="12" t="str">
        <f aca="false">IF(OR(B476="",O476=""),"",NETWORKDAYS(B476,O476)-1)</f>
        <v/>
      </c>
      <c r="Q476" s="13"/>
      <c r="R476" s="11"/>
      <c r="S476" s="13"/>
      <c r="T476" s="11"/>
      <c r="U476" s="11"/>
      <c r="V476" s="11"/>
      <c r="W476" s="11"/>
      <c r="X476" s="11"/>
    </row>
    <row r="477" customFormat="false" ht="15" hidden="false" customHeight="false" outlineLevel="0" collapsed="false">
      <c r="A477" s="11"/>
      <c r="B477" s="13"/>
      <c r="C477" s="11"/>
      <c r="D477" s="11"/>
      <c r="E477" s="11"/>
      <c r="F477" s="19"/>
      <c r="G477" s="12" t="str">
        <f aca="false">IF(F477="","",IF(F477&lt;=Parâmetros!$B$7,"Faixa 1",IF(F477&lt;=Parâmetros!$B$8,"Faixa 2","Faixa 3")))</f>
        <v/>
      </c>
      <c r="H477" s="12" t="str">
        <f aca="false">IF(G477="","",IF(G477="Faixa 1","Rodízio/Sorteio",IF(G477="Faixa 2","Cotação (≥3 propostas)","Chamada pública")))</f>
        <v/>
      </c>
      <c r="I477" s="11"/>
      <c r="J477" s="17" t="str">
        <f aca="false">IF(I477="","",IFERROR(INDEX(Cadastro!$B$5:$B$304,MATCH(I477,Cadastro!$A$5:$A$304,0)),"ID não encontrado"))</f>
        <v/>
      </c>
      <c r="K477" s="17" t="str">
        <f aca="false">IF(I477="","",IFERROR(INDEX(Cadastro!$E$5:$E$304,MATCH(I477,Cadastro!$A$5:$A$304,0)),""))</f>
        <v/>
      </c>
      <c r="L477" s="17" t="str">
        <f aca="false">IF(I477="","",IFERROR(INDEX(Cadastro!$F$5:$F$304,MATCH(I477,Cadastro!$A$5:$A$304,0)),""))</f>
        <v/>
      </c>
      <c r="M477" s="17" t="str">
        <f aca="false">IF(I477="","",IFERROR(INDEX(Cadastro!$I$5:$I$304,MATCH(I477,Cadastro!$A$5:$A$304,0)),""))</f>
        <v/>
      </c>
      <c r="N477" s="19"/>
      <c r="O477" s="13"/>
      <c r="P477" s="12" t="str">
        <f aca="false">IF(OR(B477="",O477=""),"",NETWORKDAYS(B477,O477)-1)</f>
        <v/>
      </c>
      <c r="Q477" s="13"/>
      <c r="R477" s="11"/>
      <c r="S477" s="13"/>
      <c r="T477" s="11"/>
      <c r="U477" s="11"/>
      <c r="V477" s="11"/>
      <c r="W477" s="11"/>
      <c r="X477" s="11"/>
    </row>
    <row r="478" customFormat="false" ht="15" hidden="false" customHeight="false" outlineLevel="0" collapsed="false">
      <c r="A478" s="11"/>
      <c r="B478" s="13"/>
      <c r="C478" s="11"/>
      <c r="D478" s="11"/>
      <c r="E478" s="11"/>
      <c r="F478" s="19"/>
      <c r="G478" s="12" t="str">
        <f aca="false">IF(F478="","",IF(F478&lt;=Parâmetros!$B$7,"Faixa 1",IF(F478&lt;=Parâmetros!$B$8,"Faixa 2","Faixa 3")))</f>
        <v/>
      </c>
      <c r="H478" s="12" t="str">
        <f aca="false">IF(G478="","",IF(G478="Faixa 1","Rodízio/Sorteio",IF(G478="Faixa 2","Cotação (≥3 propostas)","Chamada pública")))</f>
        <v/>
      </c>
      <c r="I478" s="11"/>
      <c r="J478" s="17" t="str">
        <f aca="false">IF(I478="","",IFERROR(INDEX(Cadastro!$B$5:$B$304,MATCH(I478,Cadastro!$A$5:$A$304,0)),"ID não encontrado"))</f>
        <v/>
      </c>
      <c r="K478" s="17" t="str">
        <f aca="false">IF(I478="","",IFERROR(INDEX(Cadastro!$E$5:$E$304,MATCH(I478,Cadastro!$A$5:$A$304,0)),""))</f>
        <v/>
      </c>
      <c r="L478" s="17" t="str">
        <f aca="false">IF(I478="","",IFERROR(INDEX(Cadastro!$F$5:$F$304,MATCH(I478,Cadastro!$A$5:$A$304,0)),""))</f>
        <v/>
      </c>
      <c r="M478" s="17" t="str">
        <f aca="false">IF(I478="","",IFERROR(INDEX(Cadastro!$I$5:$I$304,MATCH(I478,Cadastro!$A$5:$A$304,0)),""))</f>
        <v/>
      </c>
      <c r="N478" s="19"/>
      <c r="O478" s="13"/>
      <c r="P478" s="12" t="str">
        <f aca="false">IF(OR(B478="",O478=""),"",NETWORKDAYS(B478,O478)-1)</f>
        <v/>
      </c>
      <c r="Q478" s="13"/>
      <c r="R478" s="11"/>
      <c r="S478" s="13"/>
      <c r="T478" s="11"/>
      <c r="U478" s="11"/>
      <c r="V478" s="11"/>
      <c r="W478" s="11"/>
      <c r="X478" s="11"/>
    </row>
    <row r="479" customFormat="false" ht="15" hidden="false" customHeight="false" outlineLevel="0" collapsed="false">
      <c r="A479" s="11"/>
      <c r="B479" s="13"/>
      <c r="C479" s="11"/>
      <c r="D479" s="11"/>
      <c r="E479" s="11"/>
      <c r="F479" s="19"/>
      <c r="G479" s="12" t="str">
        <f aca="false">IF(F479="","",IF(F479&lt;=Parâmetros!$B$7,"Faixa 1",IF(F479&lt;=Parâmetros!$B$8,"Faixa 2","Faixa 3")))</f>
        <v/>
      </c>
      <c r="H479" s="12" t="str">
        <f aca="false">IF(G479="","",IF(G479="Faixa 1","Rodízio/Sorteio",IF(G479="Faixa 2","Cotação (≥3 propostas)","Chamada pública")))</f>
        <v/>
      </c>
      <c r="I479" s="11"/>
      <c r="J479" s="17" t="str">
        <f aca="false">IF(I479="","",IFERROR(INDEX(Cadastro!$B$5:$B$304,MATCH(I479,Cadastro!$A$5:$A$304,0)),"ID não encontrado"))</f>
        <v/>
      </c>
      <c r="K479" s="17" t="str">
        <f aca="false">IF(I479="","",IFERROR(INDEX(Cadastro!$E$5:$E$304,MATCH(I479,Cadastro!$A$5:$A$304,0)),""))</f>
        <v/>
      </c>
      <c r="L479" s="17" t="str">
        <f aca="false">IF(I479="","",IFERROR(INDEX(Cadastro!$F$5:$F$304,MATCH(I479,Cadastro!$A$5:$A$304,0)),""))</f>
        <v/>
      </c>
      <c r="M479" s="17" t="str">
        <f aca="false">IF(I479="","",IFERROR(INDEX(Cadastro!$I$5:$I$304,MATCH(I479,Cadastro!$A$5:$A$304,0)),""))</f>
        <v/>
      </c>
      <c r="N479" s="19"/>
      <c r="O479" s="13"/>
      <c r="P479" s="12" t="str">
        <f aca="false">IF(OR(B479="",O479=""),"",NETWORKDAYS(B479,O479)-1)</f>
        <v/>
      </c>
      <c r="Q479" s="13"/>
      <c r="R479" s="11"/>
      <c r="S479" s="13"/>
      <c r="T479" s="11"/>
      <c r="U479" s="11"/>
      <c r="V479" s="11"/>
      <c r="W479" s="11"/>
      <c r="X479" s="11"/>
    </row>
    <row r="480" customFormat="false" ht="15" hidden="false" customHeight="false" outlineLevel="0" collapsed="false">
      <c r="A480" s="11"/>
      <c r="B480" s="13"/>
      <c r="C480" s="11"/>
      <c r="D480" s="11"/>
      <c r="E480" s="11"/>
      <c r="F480" s="19"/>
      <c r="G480" s="12" t="str">
        <f aca="false">IF(F480="","",IF(F480&lt;=Parâmetros!$B$7,"Faixa 1",IF(F480&lt;=Parâmetros!$B$8,"Faixa 2","Faixa 3")))</f>
        <v/>
      </c>
      <c r="H480" s="12" t="str">
        <f aca="false">IF(G480="","",IF(G480="Faixa 1","Rodízio/Sorteio",IF(G480="Faixa 2","Cotação (≥3 propostas)","Chamada pública")))</f>
        <v/>
      </c>
      <c r="I480" s="11"/>
      <c r="J480" s="17" t="str">
        <f aca="false">IF(I480="","",IFERROR(INDEX(Cadastro!$B$5:$B$304,MATCH(I480,Cadastro!$A$5:$A$304,0)),"ID não encontrado"))</f>
        <v/>
      </c>
      <c r="K480" s="17" t="str">
        <f aca="false">IF(I480="","",IFERROR(INDEX(Cadastro!$E$5:$E$304,MATCH(I480,Cadastro!$A$5:$A$304,0)),""))</f>
        <v/>
      </c>
      <c r="L480" s="17" t="str">
        <f aca="false">IF(I480="","",IFERROR(INDEX(Cadastro!$F$5:$F$304,MATCH(I480,Cadastro!$A$5:$A$304,0)),""))</f>
        <v/>
      </c>
      <c r="M480" s="17" t="str">
        <f aca="false">IF(I480="","",IFERROR(INDEX(Cadastro!$I$5:$I$304,MATCH(I480,Cadastro!$A$5:$A$304,0)),""))</f>
        <v/>
      </c>
      <c r="N480" s="19"/>
      <c r="O480" s="13"/>
      <c r="P480" s="12" t="str">
        <f aca="false">IF(OR(B480="",O480=""),"",NETWORKDAYS(B480,O480)-1)</f>
        <v/>
      </c>
      <c r="Q480" s="13"/>
      <c r="R480" s="11"/>
      <c r="S480" s="13"/>
      <c r="T480" s="11"/>
      <c r="U480" s="11"/>
      <c r="V480" s="11"/>
      <c r="W480" s="11"/>
      <c r="X480" s="11"/>
    </row>
    <row r="481" customFormat="false" ht="15" hidden="false" customHeight="false" outlineLevel="0" collapsed="false">
      <c r="A481" s="11"/>
      <c r="B481" s="13"/>
      <c r="C481" s="11"/>
      <c r="D481" s="11"/>
      <c r="E481" s="11"/>
      <c r="F481" s="19"/>
      <c r="G481" s="12" t="str">
        <f aca="false">IF(F481="","",IF(F481&lt;=Parâmetros!$B$7,"Faixa 1",IF(F481&lt;=Parâmetros!$B$8,"Faixa 2","Faixa 3")))</f>
        <v/>
      </c>
      <c r="H481" s="12" t="str">
        <f aca="false">IF(G481="","",IF(G481="Faixa 1","Rodízio/Sorteio",IF(G481="Faixa 2","Cotação (≥3 propostas)","Chamada pública")))</f>
        <v/>
      </c>
      <c r="I481" s="11"/>
      <c r="J481" s="17" t="str">
        <f aca="false">IF(I481="","",IFERROR(INDEX(Cadastro!$B$5:$B$304,MATCH(I481,Cadastro!$A$5:$A$304,0)),"ID não encontrado"))</f>
        <v/>
      </c>
      <c r="K481" s="17" t="str">
        <f aca="false">IF(I481="","",IFERROR(INDEX(Cadastro!$E$5:$E$304,MATCH(I481,Cadastro!$A$5:$A$304,0)),""))</f>
        <v/>
      </c>
      <c r="L481" s="17" t="str">
        <f aca="false">IF(I481="","",IFERROR(INDEX(Cadastro!$F$5:$F$304,MATCH(I481,Cadastro!$A$5:$A$304,0)),""))</f>
        <v/>
      </c>
      <c r="M481" s="17" t="str">
        <f aca="false">IF(I481="","",IFERROR(INDEX(Cadastro!$I$5:$I$304,MATCH(I481,Cadastro!$A$5:$A$304,0)),""))</f>
        <v/>
      </c>
      <c r="N481" s="19"/>
      <c r="O481" s="13"/>
      <c r="P481" s="12" t="str">
        <f aca="false">IF(OR(B481="",O481=""),"",NETWORKDAYS(B481,O481)-1)</f>
        <v/>
      </c>
      <c r="Q481" s="13"/>
      <c r="R481" s="11"/>
      <c r="S481" s="13"/>
      <c r="T481" s="11"/>
      <c r="U481" s="11"/>
      <c r="V481" s="11"/>
      <c r="W481" s="11"/>
      <c r="X481" s="11"/>
    </row>
    <row r="482" customFormat="false" ht="15" hidden="false" customHeight="false" outlineLevel="0" collapsed="false">
      <c r="A482" s="11"/>
      <c r="B482" s="13"/>
      <c r="C482" s="11"/>
      <c r="D482" s="11"/>
      <c r="E482" s="11"/>
      <c r="F482" s="19"/>
      <c r="G482" s="12" t="str">
        <f aca="false">IF(F482="","",IF(F482&lt;=Parâmetros!$B$7,"Faixa 1",IF(F482&lt;=Parâmetros!$B$8,"Faixa 2","Faixa 3")))</f>
        <v/>
      </c>
      <c r="H482" s="12" t="str">
        <f aca="false">IF(G482="","",IF(G482="Faixa 1","Rodízio/Sorteio",IF(G482="Faixa 2","Cotação (≥3 propostas)","Chamada pública")))</f>
        <v/>
      </c>
      <c r="I482" s="11"/>
      <c r="J482" s="17" t="str">
        <f aca="false">IF(I482="","",IFERROR(INDEX(Cadastro!$B$5:$B$304,MATCH(I482,Cadastro!$A$5:$A$304,0)),"ID não encontrado"))</f>
        <v/>
      </c>
      <c r="K482" s="17" t="str">
        <f aca="false">IF(I482="","",IFERROR(INDEX(Cadastro!$E$5:$E$304,MATCH(I482,Cadastro!$A$5:$A$304,0)),""))</f>
        <v/>
      </c>
      <c r="L482" s="17" t="str">
        <f aca="false">IF(I482="","",IFERROR(INDEX(Cadastro!$F$5:$F$304,MATCH(I482,Cadastro!$A$5:$A$304,0)),""))</f>
        <v/>
      </c>
      <c r="M482" s="17" t="str">
        <f aca="false">IF(I482="","",IFERROR(INDEX(Cadastro!$I$5:$I$304,MATCH(I482,Cadastro!$A$5:$A$304,0)),""))</f>
        <v/>
      </c>
      <c r="N482" s="19"/>
      <c r="O482" s="13"/>
      <c r="P482" s="12" t="str">
        <f aca="false">IF(OR(B482="",O482=""),"",NETWORKDAYS(B482,O482)-1)</f>
        <v/>
      </c>
      <c r="Q482" s="13"/>
      <c r="R482" s="11"/>
      <c r="S482" s="13"/>
      <c r="T482" s="11"/>
      <c r="U482" s="11"/>
      <c r="V482" s="11"/>
      <c r="W482" s="11"/>
      <c r="X482" s="11"/>
    </row>
    <row r="483" customFormat="false" ht="15" hidden="false" customHeight="false" outlineLevel="0" collapsed="false">
      <c r="A483" s="11"/>
      <c r="B483" s="13"/>
      <c r="C483" s="11"/>
      <c r="D483" s="11"/>
      <c r="E483" s="11"/>
      <c r="F483" s="19"/>
      <c r="G483" s="12" t="str">
        <f aca="false">IF(F483="","",IF(F483&lt;=Parâmetros!$B$7,"Faixa 1",IF(F483&lt;=Parâmetros!$B$8,"Faixa 2","Faixa 3")))</f>
        <v/>
      </c>
      <c r="H483" s="12" t="str">
        <f aca="false">IF(G483="","",IF(G483="Faixa 1","Rodízio/Sorteio",IF(G483="Faixa 2","Cotação (≥3 propostas)","Chamada pública")))</f>
        <v/>
      </c>
      <c r="I483" s="11"/>
      <c r="J483" s="17" t="str">
        <f aca="false">IF(I483="","",IFERROR(INDEX(Cadastro!$B$5:$B$304,MATCH(I483,Cadastro!$A$5:$A$304,0)),"ID não encontrado"))</f>
        <v/>
      </c>
      <c r="K483" s="17" t="str">
        <f aca="false">IF(I483="","",IFERROR(INDEX(Cadastro!$E$5:$E$304,MATCH(I483,Cadastro!$A$5:$A$304,0)),""))</f>
        <v/>
      </c>
      <c r="L483" s="17" t="str">
        <f aca="false">IF(I483="","",IFERROR(INDEX(Cadastro!$F$5:$F$304,MATCH(I483,Cadastro!$A$5:$A$304,0)),""))</f>
        <v/>
      </c>
      <c r="M483" s="17" t="str">
        <f aca="false">IF(I483="","",IFERROR(INDEX(Cadastro!$I$5:$I$304,MATCH(I483,Cadastro!$A$5:$A$304,0)),""))</f>
        <v/>
      </c>
      <c r="N483" s="19"/>
      <c r="O483" s="13"/>
      <c r="P483" s="12" t="str">
        <f aca="false">IF(OR(B483="",O483=""),"",NETWORKDAYS(B483,O483)-1)</f>
        <v/>
      </c>
      <c r="Q483" s="13"/>
      <c r="R483" s="11"/>
      <c r="S483" s="13"/>
      <c r="T483" s="11"/>
      <c r="U483" s="11"/>
      <c r="V483" s="11"/>
      <c r="W483" s="11"/>
      <c r="X483" s="11"/>
    </row>
    <row r="484" customFormat="false" ht="15" hidden="false" customHeight="false" outlineLevel="0" collapsed="false">
      <c r="A484" s="11"/>
      <c r="B484" s="13"/>
      <c r="C484" s="11"/>
      <c r="D484" s="11"/>
      <c r="E484" s="11"/>
      <c r="F484" s="19"/>
      <c r="G484" s="12" t="str">
        <f aca="false">IF(F484="","",IF(F484&lt;=Parâmetros!$B$7,"Faixa 1",IF(F484&lt;=Parâmetros!$B$8,"Faixa 2","Faixa 3")))</f>
        <v/>
      </c>
      <c r="H484" s="12" t="str">
        <f aca="false">IF(G484="","",IF(G484="Faixa 1","Rodízio/Sorteio",IF(G484="Faixa 2","Cotação (≥3 propostas)","Chamada pública")))</f>
        <v/>
      </c>
      <c r="I484" s="11"/>
      <c r="J484" s="17" t="str">
        <f aca="false">IF(I484="","",IFERROR(INDEX(Cadastro!$B$5:$B$304,MATCH(I484,Cadastro!$A$5:$A$304,0)),"ID não encontrado"))</f>
        <v/>
      </c>
      <c r="K484" s="17" t="str">
        <f aca="false">IF(I484="","",IFERROR(INDEX(Cadastro!$E$5:$E$304,MATCH(I484,Cadastro!$A$5:$A$304,0)),""))</f>
        <v/>
      </c>
      <c r="L484" s="17" t="str">
        <f aca="false">IF(I484="","",IFERROR(INDEX(Cadastro!$F$5:$F$304,MATCH(I484,Cadastro!$A$5:$A$304,0)),""))</f>
        <v/>
      </c>
      <c r="M484" s="17" t="str">
        <f aca="false">IF(I484="","",IFERROR(INDEX(Cadastro!$I$5:$I$304,MATCH(I484,Cadastro!$A$5:$A$304,0)),""))</f>
        <v/>
      </c>
      <c r="N484" s="19"/>
      <c r="O484" s="13"/>
      <c r="P484" s="12" t="str">
        <f aca="false">IF(OR(B484="",O484=""),"",NETWORKDAYS(B484,O484)-1)</f>
        <v/>
      </c>
      <c r="Q484" s="13"/>
      <c r="R484" s="11"/>
      <c r="S484" s="13"/>
      <c r="T484" s="11"/>
      <c r="U484" s="11"/>
      <c r="V484" s="11"/>
      <c r="W484" s="11"/>
      <c r="X484" s="11"/>
    </row>
    <row r="485" customFormat="false" ht="15" hidden="false" customHeight="false" outlineLevel="0" collapsed="false">
      <c r="A485" s="11"/>
      <c r="B485" s="13"/>
      <c r="C485" s="11"/>
      <c r="D485" s="11"/>
      <c r="E485" s="11"/>
      <c r="F485" s="19"/>
      <c r="G485" s="12" t="str">
        <f aca="false">IF(F485="","",IF(F485&lt;=Parâmetros!$B$7,"Faixa 1",IF(F485&lt;=Parâmetros!$B$8,"Faixa 2","Faixa 3")))</f>
        <v/>
      </c>
      <c r="H485" s="12" t="str">
        <f aca="false">IF(G485="","",IF(G485="Faixa 1","Rodízio/Sorteio",IF(G485="Faixa 2","Cotação (≥3 propostas)","Chamada pública")))</f>
        <v/>
      </c>
      <c r="I485" s="11"/>
      <c r="J485" s="17" t="str">
        <f aca="false">IF(I485="","",IFERROR(INDEX(Cadastro!$B$5:$B$304,MATCH(I485,Cadastro!$A$5:$A$304,0)),"ID não encontrado"))</f>
        <v/>
      </c>
      <c r="K485" s="17" t="str">
        <f aca="false">IF(I485="","",IFERROR(INDEX(Cadastro!$E$5:$E$304,MATCH(I485,Cadastro!$A$5:$A$304,0)),""))</f>
        <v/>
      </c>
      <c r="L485" s="17" t="str">
        <f aca="false">IF(I485="","",IFERROR(INDEX(Cadastro!$F$5:$F$304,MATCH(I485,Cadastro!$A$5:$A$304,0)),""))</f>
        <v/>
      </c>
      <c r="M485" s="17" t="str">
        <f aca="false">IF(I485="","",IFERROR(INDEX(Cadastro!$I$5:$I$304,MATCH(I485,Cadastro!$A$5:$A$304,0)),""))</f>
        <v/>
      </c>
      <c r="N485" s="19"/>
      <c r="O485" s="13"/>
      <c r="P485" s="12" t="str">
        <f aca="false">IF(OR(B485="",O485=""),"",NETWORKDAYS(B485,O485)-1)</f>
        <v/>
      </c>
      <c r="Q485" s="13"/>
      <c r="R485" s="11"/>
      <c r="S485" s="13"/>
      <c r="T485" s="11"/>
      <c r="U485" s="11"/>
      <c r="V485" s="11"/>
      <c r="W485" s="11"/>
      <c r="X485" s="11"/>
    </row>
    <row r="486" customFormat="false" ht="15" hidden="false" customHeight="false" outlineLevel="0" collapsed="false">
      <c r="A486" s="11"/>
      <c r="B486" s="13"/>
      <c r="C486" s="11"/>
      <c r="D486" s="11"/>
      <c r="E486" s="11"/>
      <c r="F486" s="19"/>
      <c r="G486" s="12" t="str">
        <f aca="false">IF(F486="","",IF(F486&lt;=Parâmetros!$B$7,"Faixa 1",IF(F486&lt;=Parâmetros!$B$8,"Faixa 2","Faixa 3")))</f>
        <v/>
      </c>
      <c r="H486" s="12" t="str">
        <f aca="false">IF(G486="","",IF(G486="Faixa 1","Rodízio/Sorteio",IF(G486="Faixa 2","Cotação (≥3 propostas)","Chamada pública")))</f>
        <v/>
      </c>
      <c r="I486" s="11"/>
      <c r="J486" s="17" t="str">
        <f aca="false">IF(I486="","",IFERROR(INDEX(Cadastro!$B$5:$B$304,MATCH(I486,Cadastro!$A$5:$A$304,0)),"ID não encontrado"))</f>
        <v/>
      </c>
      <c r="K486" s="17" t="str">
        <f aca="false">IF(I486="","",IFERROR(INDEX(Cadastro!$E$5:$E$304,MATCH(I486,Cadastro!$A$5:$A$304,0)),""))</f>
        <v/>
      </c>
      <c r="L486" s="17" t="str">
        <f aca="false">IF(I486="","",IFERROR(INDEX(Cadastro!$F$5:$F$304,MATCH(I486,Cadastro!$A$5:$A$304,0)),""))</f>
        <v/>
      </c>
      <c r="M486" s="17" t="str">
        <f aca="false">IF(I486="","",IFERROR(INDEX(Cadastro!$I$5:$I$304,MATCH(I486,Cadastro!$A$5:$A$304,0)),""))</f>
        <v/>
      </c>
      <c r="N486" s="19"/>
      <c r="O486" s="13"/>
      <c r="P486" s="12" t="str">
        <f aca="false">IF(OR(B486="",O486=""),"",NETWORKDAYS(B486,O486)-1)</f>
        <v/>
      </c>
      <c r="Q486" s="13"/>
      <c r="R486" s="11"/>
      <c r="S486" s="13"/>
      <c r="T486" s="11"/>
      <c r="U486" s="11"/>
      <c r="V486" s="11"/>
      <c r="W486" s="11"/>
      <c r="X486" s="11"/>
    </row>
    <row r="487" customFormat="false" ht="15" hidden="false" customHeight="false" outlineLevel="0" collapsed="false">
      <c r="A487" s="11"/>
      <c r="B487" s="13"/>
      <c r="C487" s="11"/>
      <c r="D487" s="11"/>
      <c r="E487" s="11"/>
      <c r="F487" s="19"/>
      <c r="G487" s="12" t="str">
        <f aca="false">IF(F487="","",IF(F487&lt;=Parâmetros!$B$7,"Faixa 1",IF(F487&lt;=Parâmetros!$B$8,"Faixa 2","Faixa 3")))</f>
        <v/>
      </c>
      <c r="H487" s="12" t="str">
        <f aca="false">IF(G487="","",IF(G487="Faixa 1","Rodízio/Sorteio",IF(G487="Faixa 2","Cotação (≥3 propostas)","Chamada pública")))</f>
        <v/>
      </c>
      <c r="I487" s="11"/>
      <c r="J487" s="17" t="str">
        <f aca="false">IF(I487="","",IFERROR(INDEX(Cadastro!$B$5:$B$304,MATCH(I487,Cadastro!$A$5:$A$304,0)),"ID não encontrado"))</f>
        <v/>
      </c>
      <c r="K487" s="17" t="str">
        <f aca="false">IF(I487="","",IFERROR(INDEX(Cadastro!$E$5:$E$304,MATCH(I487,Cadastro!$A$5:$A$304,0)),""))</f>
        <v/>
      </c>
      <c r="L487" s="17" t="str">
        <f aca="false">IF(I487="","",IFERROR(INDEX(Cadastro!$F$5:$F$304,MATCH(I487,Cadastro!$A$5:$A$304,0)),""))</f>
        <v/>
      </c>
      <c r="M487" s="17" t="str">
        <f aca="false">IF(I487="","",IFERROR(INDEX(Cadastro!$I$5:$I$304,MATCH(I487,Cadastro!$A$5:$A$304,0)),""))</f>
        <v/>
      </c>
      <c r="N487" s="19"/>
      <c r="O487" s="13"/>
      <c r="P487" s="12" t="str">
        <f aca="false">IF(OR(B487="",O487=""),"",NETWORKDAYS(B487,O487)-1)</f>
        <v/>
      </c>
      <c r="Q487" s="13"/>
      <c r="R487" s="11"/>
      <c r="S487" s="13"/>
      <c r="T487" s="11"/>
      <c r="U487" s="11"/>
      <c r="V487" s="11"/>
      <c r="W487" s="11"/>
      <c r="X487" s="11"/>
    </row>
    <row r="488" customFormat="false" ht="15" hidden="false" customHeight="false" outlineLevel="0" collapsed="false">
      <c r="A488" s="11"/>
      <c r="B488" s="13"/>
      <c r="C488" s="11"/>
      <c r="D488" s="11"/>
      <c r="E488" s="11"/>
      <c r="F488" s="19"/>
      <c r="G488" s="12" t="str">
        <f aca="false">IF(F488="","",IF(F488&lt;=Parâmetros!$B$7,"Faixa 1",IF(F488&lt;=Parâmetros!$B$8,"Faixa 2","Faixa 3")))</f>
        <v/>
      </c>
      <c r="H488" s="12" t="str">
        <f aca="false">IF(G488="","",IF(G488="Faixa 1","Rodízio/Sorteio",IF(G488="Faixa 2","Cotação (≥3 propostas)","Chamada pública")))</f>
        <v/>
      </c>
      <c r="I488" s="11"/>
      <c r="J488" s="17" t="str">
        <f aca="false">IF(I488="","",IFERROR(INDEX(Cadastro!$B$5:$B$304,MATCH(I488,Cadastro!$A$5:$A$304,0)),"ID não encontrado"))</f>
        <v/>
      </c>
      <c r="K488" s="17" t="str">
        <f aca="false">IF(I488="","",IFERROR(INDEX(Cadastro!$E$5:$E$304,MATCH(I488,Cadastro!$A$5:$A$304,0)),""))</f>
        <v/>
      </c>
      <c r="L488" s="17" t="str">
        <f aca="false">IF(I488="","",IFERROR(INDEX(Cadastro!$F$5:$F$304,MATCH(I488,Cadastro!$A$5:$A$304,0)),""))</f>
        <v/>
      </c>
      <c r="M488" s="17" t="str">
        <f aca="false">IF(I488="","",IFERROR(INDEX(Cadastro!$I$5:$I$304,MATCH(I488,Cadastro!$A$5:$A$304,0)),""))</f>
        <v/>
      </c>
      <c r="N488" s="19"/>
      <c r="O488" s="13"/>
      <c r="P488" s="12" t="str">
        <f aca="false">IF(OR(B488="",O488=""),"",NETWORKDAYS(B488,O488)-1)</f>
        <v/>
      </c>
      <c r="Q488" s="13"/>
      <c r="R488" s="11"/>
      <c r="S488" s="13"/>
      <c r="T488" s="11"/>
      <c r="U488" s="11"/>
      <c r="V488" s="11"/>
      <c r="W488" s="11"/>
      <c r="X488" s="11"/>
    </row>
    <row r="489" customFormat="false" ht="15" hidden="false" customHeight="false" outlineLevel="0" collapsed="false">
      <c r="A489" s="11"/>
      <c r="B489" s="13"/>
      <c r="C489" s="11"/>
      <c r="D489" s="11"/>
      <c r="E489" s="11"/>
      <c r="F489" s="19"/>
      <c r="G489" s="12" t="str">
        <f aca="false">IF(F489="","",IF(F489&lt;=Parâmetros!$B$7,"Faixa 1",IF(F489&lt;=Parâmetros!$B$8,"Faixa 2","Faixa 3")))</f>
        <v/>
      </c>
      <c r="H489" s="12" t="str">
        <f aca="false">IF(G489="","",IF(G489="Faixa 1","Rodízio/Sorteio",IF(G489="Faixa 2","Cotação (≥3 propostas)","Chamada pública")))</f>
        <v/>
      </c>
      <c r="I489" s="11"/>
      <c r="J489" s="17" t="str">
        <f aca="false">IF(I489="","",IFERROR(INDEX(Cadastro!$B$5:$B$304,MATCH(I489,Cadastro!$A$5:$A$304,0)),"ID não encontrado"))</f>
        <v/>
      </c>
      <c r="K489" s="17" t="str">
        <f aca="false">IF(I489="","",IFERROR(INDEX(Cadastro!$E$5:$E$304,MATCH(I489,Cadastro!$A$5:$A$304,0)),""))</f>
        <v/>
      </c>
      <c r="L489" s="17" t="str">
        <f aca="false">IF(I489="","",IFERROR(INDEX(Cadastro!$F$5:$F$304,MATCH(I489,Cadastro!$A$5:$A$304,0)),""))</f>
        <v/>
      </c>
      <c r="M489" s="17" t="str">
        <f aca="false">IF(I489="","",IFERROR(INDEX(Cadastro!$I$5:$I$304,MATCH(I489,Cadastro!$A$5:$A$304,0)),""))</f>
        <v/>
      </c>
      <c r="N489" s="19"/>
      <c r="O489" s="13"/>
      <c r="P489" s="12" t="str">
        <f aca="false">IF(OR(B489="",O489=""),"",NETWORKDAYS(B489,O489)-1)</f>
        <v/>
      </c>
      <c r="Q489" s="13"/>
      <c r="R489" s="11"/>
      <c r="S489" s="13"/>
      <c r="T489" s="11"/>
      <c r="U489" s="11"/>
      <c r="V489" s="11"/>
      <c r="W489" s="11"/>
      <c r="X489" s="11"/>
    </row>
    <row r="490" customFormat="false" ht="15" hidden="false" customHeight="false" outlineLevel="0" collapsed="false">
      <c r="A490" s="11"/>
      <c r="B490" s="13"/>
      <c r="C490" s="11"/>
      <c r="D490" s="11"/>
      <c r="E490" s="11"/>
      <c r="F490" s="19"/>
      <c r="G490" s="12" t="str">
        <f aca="false">IF(F490="","",IF(F490&lt;=Parâmetros!$B$7,"Faixa 1",IF(F490&lt;=Parâmetros!$B$8,"Faixa 2","Faixa 3")))</f>
        <v/>
      </c>
      <c r="H490" s="12" t="str">
        <f aca="false">IF(G490="","",IF(G490="Faixa 1","Rodízio/Sorteio",IF(G490="Faixa 2","Cotação (≥3 propostas)","Chamada pública")))</f>
        <v/>
      </c>
      <c r="I490" s="11"/>
      <c r="J490" s="17" t="str">
        <f aca="false">IF(I490="","",IFERROR(INDEX(Cadastro!$B$5:$B$304,MATCH(I490,Cadastro!$A$5:$A$304,0)),"ID não encontrado"))</f>
        <v/>
      </c>
      <c r="K490" s="17" t="str">
        <f aca="false">IF(I490="","",IFERROR(INDEX(Cadastro!$E$5:$E$304,MATCH(I490,Cadastro!$A$5:$A$304,0)),""))</f>
        <v/>
      </c>
      <c r="L490" s="17" t="str">
        <f aca="false">IF(I490="","",IFERROR(INDEX(Cadastro!$F$5:$F$304,MATCH(I490,Cadastro!$A$5:$A$304,0)),""))</f>
        <v/>
      </c>
      <c r="M490" s="17" t="str">
        <f aca="false">IF(I490="","",IFERROR(INDEX(Cadastro!$I$5:$I$304,MATCH(I490,Cadastro!$A$5:$A$304,0)),""))</f>
        <v/>
      </c>
      <c r="N490" s="19"/>
      <c r="O490" s="13"/>
      <c r="P490" s="12" t="str">
        <f aca="false">IF(OR(B490="",O490=""),"",NETWORKDAYS(B490,O490)-1)</f>
        <v/>
      </c>
      <c r="Q490" s="13"/>
      <c r="R490" s="11"/>
      <c r="S490" s="13"/>
      <c r="T490" s="11"/>
      <c r="U490" s="11"/>
      <c r="V490" s="11"/>
      <c r="W490" s="11"/>
      <c r="X490" s="11"/>
    </row>
    <row r="491" customFormat="false" ht="15" hidden="false" customHeight="false" outlineLevel="0" collapsed="false">
      <c r="A491" s="11"/>
      <c r="B491" s="13"/>
      <c r="C491" s="11"/>
      <c r="D491" s="11"/>
      <c r="E491" s="11"/>
      <c r="F491" s="19"/>
      <c r="G491" s="12" t="str">
        <f aca="false">IF(F491="","",IF(F491&lt;=Parâmetros!$B$7,"Faixa 1",IF(F491&lt;=Parâmetros!$B$8,"Faixa 2","Faixa 3")))</f>
        <v/>
      </c>
      <c r="H491" s="12" t="str">
        <f aca="false">IF(G491="","",IF(G491="Faixa 1","Rodízio/Sorteio",IF(G491="Faixa 2","Cotação (≥3 propostas)","Chamada pública")))</f>
        <v/>
      </c>
      <c r="I491" s="11"/>
      <c r="J491" s="17" t="str">
        <f aca="false">IF(I491="","",IFERROR(INDEX(Cadastro!$B$5:$B$304,MATCH(I491,Cadastro!$A$5:$A$304,0)),"ID não encontrado"))</f>
        <v/>
      </c>
      <c r="K491" s="17" t="str">
        <f aca="false">IF(I491="","",IFERROR(INDEX(Cadastro!$E$5:$E$304,MATCH(I491,Cadastro!$A$5:$A$304,0)),""))</f>
        <v/>
      </c>
      <c r="L491" s="17" t="str">
        <f aca="false">IF(I491="","",IFERROR(INDEX(Cadastro!$F$5:$F$304,MATCH(I491,Cadastro!$A$5:$A$304,0)),""))</f>
        <v/>
      </c>
      <c r="M491" s="17" t="str">
        <f aca="false">IF(I491="","",IFERROR(INDEX(Cadastro!$I$5:$I$304,MATCH(I491,Cadastro!$A$5:$A$304,0)),""))</f>
        <v/>
      </c>
      <c r="N491" s="19"/>
      <c r="O491" s="13"/>
      <c r="P491" s="12" t="str">
        <f aca="false">IF(OR(B491="",O491=""),"",NETWORKDAYS(B491,O491)-1)</f>
        <v/>
      </c>
      <c r="Q491" s="13"/>
      <c r="R491" s="11"/>
      <c r="S491" s="13"/>
      <c r="T491" s="11"/>
      <c r="U491" s="11"/>
      <c r="V491" s="11"/>
      <c r="W491" s="11"/>
      <c r="X491" s="11"/>
    </row>
    <row r="492" customFormat="false" ht="15" hidden="false" customHeight="false" outlineLevel="0" collapsed="false">
      <c r="A492" s="11"/>
      <c r="B492" s="13"/>
      <c r="C492" s="11"/>
      <c r="D492" s="11"/>
      <c r="E492" s="11"/>
      <c r="F492" s="19"/>
      <c r="G492" s="12" t="str">
        <f aca="false">IF(F492="","",IF(F492&lt;=Parâmetros!$B$7,"Faixa 1",IF(F492&lt;=Parâmetros!$B$8,"Faixa 2","Faixa 3")))</f>
        <v/>
      </c>
      <c r="H492" s="12" t="str">
        <f aca="false">IF(G492="","",IF(G492="Faixa 1","Rodízio/Sorteio",IF(G492="Faixa 2","Cotação (≥3 propostas)","Chamada pública")))</f>
        <v/>
      </c>
      <c r="I492" s="11"/>
      <c r="J492" s="17" t="str">
        <f aca="false">IF(I492="","",IFERROR(INDEX(Cadastro!$B$5:$B$304,MATCH(I492,Cadastro!$A$5:$A$304,0)),"ID não encontrado"))</f>
        <v/>
      </c>
      <c r="K492" s="17" t="str">
        <f aca="false">IF(I492="","",IFERROR(INDEX(Cadastro!$E$5:$E$304,MATCH(I492,Cadastro!$A$5:$A$304,0)),""))</f>
        <v/>
      </c>
      <c r="L492" s="17" t="str">
        <f aca="false">IF(I492="","",IFERROR(INDEX(Cadastro!$F$5:$F$304,MATCH(I492,Cadastro!$A$5:$A$304,0)),""))</f>
        <v/>
      </c>
      <c r="M492" s="17" t="str">
        <f aca="false">IF(I492="","",IFERROR(INDEX(Cadastro!$I$5:$I$304,MATCH(I492,Cadastro!$A$5:$A$304,0)),""))</f>
        <v/>
      </c>
      <c r="N492" s="19"/>
      <c r="O492" s="13"/>
      <c r="P492" s="12" t="str">
        <f aca="false">IF(OR(B492="",O492=""),"",NETWORKDAYS(B492,O492)-1)</f>
        <v/>
      </c>
      <c r="Q492" s="13"/>
      <c r="R492" s="11"/>
      <c r="S492" s="13"/>
      <c r="T492" s="11"/>
      <c r="U492" s="11"/>
      <c r="V492" s="11"/>
      <c r="W492" s="11"/>
      <c r="X492" s="11"/>
    </row>
    <row r="493" customFormat="false" ht="15" hidden="false" customHeight="false" outlineLevel="0" collapsed="false">
      <c r="A493" s="11"/>
      <c r="B493" s="13"/>
      <c r="C493" s="11"/>
      <c r="D493" s="11"/>
      <c r="E493" s="11"/>
      <c r="F493" s="19"/>
      <c r="G493" s="12" t="str">
        <f aca="false">IF(F493="","",IF(F493&lt;=Parâmetros!$B$7,"Faixa 1",IF(F493&lt;=Parâmetros!$B$8,"Faixa 2","Faixa 3")))</f>
        <v/>
      </c>
      <c r="H493" s="12" t="str">
        <f aca="false">IF(G493="","",IF(G493="Faixa 1","Rodízio/Sorteio",IF(G493="Faixa 2","Cotação (≥3 propostas)","Chamada pública")))</f>
        <v/>
      </c>
      <c r="I493" s="11"/>
      <c r="J493" s="17" t="str">
        <f aca="false">IF(I493="","",IFERROR(INDEX(Cadastro!$B$5:$B$304,MATCH(I493,Cadastro!$A$5:$A$304,0)),"ID não encontrado"))</f>
        <v/>
      </c>
      <c r="K493" s="17" t="str">
        <f aca="false">IF(I493="","",IFERROR(INDEX(Cadastro!$E$5:$E$304,MATCH(I493,Cadastro!$A$5:$A$304,0)),""))</f>
        <v/>
      </c>
      <c r="L493" s="17" t="str">
        <f aca="false">IF(I493="","",IFERROR(INDEX(Cadastro!$F$5:$F$304,MATCH(I493,Cadastro!$A$5:$A$304,0)),""))</f>
        <v/>
      </c>
      <c r="M493" s="17" t="str">
        <f aca="false">IF(I493="","",IFERROR(INDEX(Cadastro!$I$5:$I$304,MATCH(I493,Cadastro!$A$5:$A$304,0)),""))</f>
        <v/>
      </c>
      <c r="N493" s="19"/>
      <c r="O493" s="13"/>
      <c r="P493" s="12" t="str">
        <f aca="false">IF(OR(B493="",O493=""),"",NETWORKDAYS(B493,O493)-1)</f>
        <v/>
      </c>
      <c r="Q493" s="13"/>
      <c r="R493" s="11"/>
      <c r="S493" s="13"/>
      <c r="T493" s="11"/>
      <c r="U493" s="11"/>
      <c r="V493" s="11"/>
      <c r="W493" s="11"/>
      <c r="X493" s="11"/>
    </row>
    <row r="494" customFormat="false" ht="15" hidden="false" customHeight="false" outlineLevel="0" collapsed="false">
      <c r="A494" s="11"/>
      <c r="B494" s="13"/>
      <c r="C494" s="11"/>
      <c r="D494" s="11"/>
      <c r="E494" s="11"/>
      <c r="F494" s="19"/>
      <c r="G494" s="12" t="str">
        <f aca="false">IF(F494="","",IF(F494&lt;=Parâmetros!$B$7,"Faixa 1",IF(F494&lt;=Parâmetros!$B$8,"Faixa 2","Faixa 3")))</f>
        <v/>
      </c>
      <c r="H494" s="12" t="str">
        <f aca="false">IF(G494="","",IF(G494="Faixa 1","Rodízio/Sorteio",IF(G494="Faixa 2","Cotação (≥3 propostas)","Chamada pública")))</f>
        <v/>
      </c>
      <c r="I494" s="11"/>
      <c r="J494" s="17" t="str">
        <f aca="false">IF(I494="","",IFERROR(INDEX(Cadastro!$B$5:$B$304,MATCH(I494,Cadastro!$A$5:$A$304,0)),"ID não encontrado"))</f>
        <v/>
      </c>
      <c r="K494" s="17" t="str">
        <f aca="false">IF(I494="","",IFERROR(INDEX(Cadastro!$E$5:$E$304,MATCH(I494,Cadastro!$A$5:$A$304,0)),""))</f>
        <v/>
      </c>
      <c r="L494" s="17" t="str">
        <f aca="false">IF(I494="","",IFERROR(INDEX(Cadastro!$F$5:$F$304,MATCH(I494,Cadastro!$A$5:$A$304,0)),""))</f>
        <v/>
      </c>
      <c r="M494" s="17" t="str">
        <f aca="false">IF(I494="","",IFERROR(INDEX(Cadastro!$I$5:$I$304,MATCH(I494,Cadastro!$A$5:$A$304,0)),""))</f>
        <v/>
      </c>
      <c r="N494" s="19"/>
      <c r="O494" s="13"/>
      <c r="P494" s="12" t="str">
        <f aca="false">IF(OR(B494="",O494=""),"",NETWORKDAYS(B494,O494)-1)</f>
        <v/>
      </c>
      <c r="Q494" s="13"/>
      <c r="R494" s="11"/>
      <c r="S494" s="13"/>
      <c r="T494" s="11"/>
      <c r="U494" s="11"/>
      <c r="V494" s="11"/>
      <c r="W494" s="11"/>
      <c r="X494" s="11"/>
    </row>
    <row r="495" customFormat="false" ht="15" hidden="false" customHeight="false" outlineLevel="0" collapsed="false">
      <c r="A495" s="11"/>
      <c r="B495" s="13"/>
      <c r="C495" s="11"/>
      <c r="D495" s="11"/>
      <c r="E495" s="11"/>
      <c r="F495" s="19"/>
      <c r="G495" s="12" t="str">
        <f aca="false">IF(F495="","",IF(F495&lt;=Parâmetros!$B$7,"Faixa 1",IF(F495&lt;=Parâmetros!$B$8,"Faixa 2","Faixa 3")))</f>
        <v/>
      </c>
      <c r="H495" s="12" t="str">
        <f aca="false">IF(G495="","",IF(G495="Faixa 1","Rodízio/Sorteio",IF(G495="Faixa 2","Cotação (≥3 propostas)","Chamada pública")))</f>
        <v/>
      </c>
      <c r="I495" s="11"/>
      <c r="J495" s="17" t="str">
        <f aca="false">IF(I495="","",IFERROR(INDEX(Cadastro!$B$5:$B$304,MATCH(I495,Cadastro!$A$5:$A$304,0)),"ID não encontrado"))</f>
        <v/>
      </c>
      <c r="K495" s="17" t="str">
        <f aca="false">IF(I495="","",IFERROR(INDEX(Cadastro!$E$5:$E$304,MATCH(I495,Cadastro!$A$5:$A$304,0)),""))</f>
        <v/>
      </c>
      <c r="L495" s="17" t="str">
        <f aca="false">IF(I495="","",IFERROR(INDEX(Cadastro!$F$5:$F$304,MATCH(I495,Cadastro!$A$5:$A$304,0)),""))</f>
        <v/>
      </c>
      <c r="M495" s="17" t="str">
        <f aca="false">IF(I495="","",IFERROR(INDEX(Cadastro!$I$5:$I$304,MATCH(I495,Cadastro!$A$5:$A$304,0)),""))</f>
        <v/>
      </c>
      <c r="N495" s="19"/>
      <c r="O495" s="13"/>
      <c r="P495" s="12" t="str">
        <f aca="false">IF(OR(B495="",O495=""),"",NETWORKDAYS(B495,O495)-1)</f>
        <v/>
      </c>
      <c r="Q495" s="13"/>
      <c r="R495" s="11"/>
      <c r="S495" s="13"/>
      <c r="T495" s="11"/>
      <c r="U495" s="11"/>
      <c r="V495" s="11"/>
      <c r="W495" s="11"/>
      <c r="X495" s="11"/>
    </row>
    <row r="496" customFormat="false" ht="15" hidden="false" customHeight="false" outlineLevel="0" collapsed="false">
      <c r="A496" s="11"/>
      <c r="B496" s="13"/>
      <c r="C496" s="11"/>
      <c r="D496" s="11"/>
      <c r="E496" s="11"/>
      <c r="F496" s="19"/>
      <c r="G496" s="12" t="str">
        <f aca="false">IF(F496="","",IF(F496&lt;=Parâmetros!$B$7,"Faixa 1",IF(F496&lt;=Parâmetros!$B$8,"Faixa 2","Faixa 3")))</f>
        <v/>
      </c>
      <c r="H496" s="12" t="str">
        <f aca="false">IF(G496="","",IF(G496="Faixa 1","Rodízio/Sorteio",IF(G496="Faixa 2","Cotação (≥3 propostas)","Chamada pública")))</f>
        <v/>
      </c>
      <c r="I496" s="11"/>
      <c r="J496" s="17" t="str">
        <f aca="false">IF(I496="","",IFERROR(INDEX(Cadastro!$B$5:$B$304,MATCH(I496,Cadastro!$A$5:$A$304,0)),"ID não encontrado"))</f>
        <v/>
      </c>
      <c r="K496" s="17" t="str">
        <f aca="false">IF(I496="","",IFERROR(INDEX(Cadastro!$E$5:$E$304,MATCH(I496,Cadastro!$A$5:$A$304,0)),""))</f>
        <v/>
      </c>
      <c r="L496" s="17" t="str">
        <f aca="false">IF(I496="","",IFERROR(INDEX(Cadastro!$F$5:$F$304,MATCH(I496,Cadastro!$A$5:$A$304,0)),""))</f>
        <v/>
      </c>
      <c r="M496" s="17" t="str">
        <f aca="false">IF(I496="","",IFERROR(INDEX(Cadastro!$I$5:$I$304,MATCH(I496,Cadastro!$A$5:$A$304,0)),""))</f>
        <v/>
      </c>
      <c r="N496" s="19"/>
      <c r="O496" s="13"/>
      <c r="P496" s="12" t="str">
        <f aca="false">IF(OR(B496="",O496=""),"",NETWORKDAYS(B496,O496)-1)</f>
        <v/>
      </c>
      <c r="Q496" s="13"/>
      <c r="R496" s="11"/>
      <c r="S496" s="13"/>
      <c r="T496" s="11"/>
      <c r="U496" s="11"/>
      <c r="V496" s="11"/>
      <c r="W496" s="11"/>
      <c r="X496" s="11"/>
    </row>
    <row r="497" customFormat="false" ht="15" hidden="false" customHeight="false" outlineLevel="0" collapsed="false">
      <c r="A497" s="11"/>
      <c r="B497" s="13"/>
      <c r="C497" s="11"/>
      <c r="D497" s="11"/>
      <c r="E497" s="11"/>
      <c r="F497" s="19"/>
      <c r="G497" s="12" t="str">
        <f aca="false">IF(F497="","",IF(F497&lt;=Parâmetros!$B$7,"Faixa 1",IF(F497&lt;=Parâmetros!$B$8,"Faixa 2","Faixa 3")))</f>
        <v/>
      </c>
      <c r="H497" s="12" t="str">
        <f aca="false">IF(G497="","",IF(G497="Faixa 1","Rodízio/Sorteio",IF(G497="Faixa 2","Cotação (≥3 propostas)","Chamada pública")))</f>
        <v/>
      </c>
      <c r="I497" s="11"/>
      <c r="J497" s="17" t="str">
        <f aca="false">IF(I497="","",IFERROR(INDEX(Cadastro!$B$5:$B$304,MATCH(I497,Cadastro!$A$5:$A$304,0)),"ID não encontrado"))</f>
        <v/>
      </c>
      <c r="K497" s="17" t="str">
        <f aca="false">IF(I497="","",IFERROR(INDEX(Cadastro!$E$5:$E$304,MATCH(I497,Cadastro!$A$5:$A$304,0)),""))</f>
        <v/>
      </c>
      <c r="L497" s="17" t="str">
        <f aca="false">IF(I497="","",IFERROR(INDEX(Cadastro!$F$5:$F$304,MATCH(I497,Cadastro!$A$5:$A$304,0)),""))</f>
        <v/>
      </c>
      <c r="M497" s="17" t="str">
        <f aca="false">IF(I497="","",IFERROR(INDEX(Cadastro!$I$5:$I$304,MATCH(I497,Cadastro!$A$5:$A$304,0)),""))</f>
        <v/>
      </c>
      <c r="N497" s="19"/>
      <c r="O497" s="13"/>
      <c r="P497" s="12" t="str">
        <f aca="false">IF(OR(B497="",O497=""),"",NETWORKDAYS(B497,O497)-1)</f>
        <v/>
      </c>
      <c r="Q497" s="13"/>
      <c r="R497" s="11"/>
      <c r="S497" s="13"/>
      <c r="T497" s="11"/>
      <c r="U497" s="11"/>
      <c r="V497" s="11"/>
      <c r="W497" s="11"/>
      <c r="X497" s="11"/>
    </row>
    <row r="498" customFormat="false" ht="15" hidden="false" customHeight="false" outlineLevel="0" collapsed="false">
      <c r="A498" s="11"/>
      <c r="B498" s="13"/>
      <c r="C498" s="11"/>
      <c r="D498" s="11"/>
      <c r="E498" s="11"/>
      <c r="F498" s="19"/>
      <c r="G498" s="12" t="str">
        <f aca="false">IF(F498="","",IF(F498&lt;=Parâmetros!$B$7,"Faixa 1",IF(F498&lt;=Parâmetros!$B$8,"Faixa 2","Faixa 3")))</f>
        <v/>
      </c>
      <c r="H498" s="12" t="str">
        <f aca="false">IF(G498="","",IF(G498="Faixa 1","Rodízio/Sorteio",IF(G498="Faixa 2","Cotação (≥3 propostas)","Chamada pública")))</f>
        <v/>
      </c>
      <c r="I498" s="11"/>
      <c r="J498" s="17" t="str">
        <f aca="false">IF(I498="","",IFERROR(INDEX(Cadastro!$B$5:$B$304,MATCH(I498,Cadastro!$A$5:$A$304,0)),"ID não encontrado"))</f>
        <v/>
      </c>
      <c r="K498" s="17" t="str">
        <f aca="false">IF(I498="","",IFERROR(INDEX(Cadastro!$E$5:$E$304,MATCH(I498,Cadastro!$A$5:$A$304,0)),""))</f>
        <v/>
      </c>
      <c r="L498" s="17" t="str">
        <f aca="false">IF(I498="","",IFERROR(INDEX(Cadastro!$F$5:$F$304,MATCH(I498,Cadastro!$A$5:$A$304,0)),""))</f>
        <v/>
      </c>
      <c r="M498" s="17" t="str">
        <f aca="false">IF(I498="","",IFERROR(INDEX(Cadastro!$I$5:$I$304,MATCH(I498,Cadastro!$A$5:$A$304,0)),""))</f>
        <v/>
      </c>
      <c r="N498" s="19"/>
      <c r="O498" s="13"/>
      <c r="P498" s="12" t="str">
        <f aca="false">IF(OR(B498="",O498=""),"",NETWORKDAYS(B498,O498)-1)</f>
        <v/>
      </c>
      <c r="Q498" s="13"/>
      <c r="R498" s="11"/>
      <c r="S498" s="13"/>
      <c r="T498" s="11"/>
      <c r="U498" s="11"/>
      <c r="V498" s="11"/>
      <c r="W498" s="11"/>
      <c r="X498" s="11"/>
    </row>
    <row r="499" customFormat="false" ht="15" hidden="false" customHeight="false" outlineLevel="0" collapsed="false">
      <c r="A499" s="11"/>
      <c r="B499" s="13"/>
      <c r="C499" s="11"/>
      <c r="D499" s="11"/>
      <c r="E499" s="11"/>
      <c r="F499" s="19"/>
      <c r="G499" s="12" t="str">
        <f aca="false">IF(F499="","",IF(F499&lt;=Parâmetros!$B$7,"Faixa 1",IF(F499&lt;=Parâmetros!$B$8,"Faixa 2","Faixa 3")))</f>
        <v/>
      </c>
      <c r="H499" s="12" t="str">
        <f aca="false">IF(G499="","",IF(G499="Faixa 1","Rodízio/Sorteio",IF(G499="Faixa 2","Cotação (≥3 propostas)","Chamada pública")))</f>
        <v/>
      </c>
      <c r="I499" s="11"/>
      <c r="J499" s="17" t="str">
        <f aca="false">IF(I499="","",IFERROR(INDEX(Cadastro!$B$5:$B$304,MATCH(I499,Cadastro!$A$5:$A$304,0)),"ID não encontrado"))</f>
        <v/>
      </c>
      <c r="K499" s="17" t="str">
        <f aca="false">IF(I499="","",IFERROR(INDEX(Cadastro!$E$5:$E$304,MATCH(I499,Cadastro!$A$5:$A$304,0)),""))</f>
        <v/>
      </c>
      <c r="L499" s="17" t="str">
        <f aca="false">IF(I499="","",IFERROR(INDEX(Cadastro!$F$5:$F$304,MATCH(I499,Cadastro!$A$5:$A$304,0)),""))</f>
        <v/>
      </c>
      <c r="M499" s="17" t="str">
        <f aca="false">IF(I499="","",IFERROR(INDEX(Cadastro!$I$5:$I$304,MATCH(I499,Cadastro!$A$5:$A$304,0)),""))</f>
        <v/>
      </c>
      <c r="N499" s="19"/>
      <c r="O499" s="13"/>
      <c r="P499" s="12" t="str">
        <f aca="false">IF(OR(B499="",O499=""),"",NETWORKDAYS(B499,O499)-1)</f>
        <v/>
      </c>
      <c r="Q499" s="13"/>
      <c r="R499" s="11"/>
      <c r="S499" s="13"/>
      <c r="T499" s="11"/>
      <c r="U499" s="11"/>
      <c r="V499" s="11"/>
      <c r="W499" s="11"/>
      <c r="X499" s="11"/>
    </row>
    <row r="500" customFormat="false" ht="15" hidden="false" customHeight="false" outlineLevel="0" collapsed="false">
      <c r="A500" s="11"/>
      <c r="B500" s="13"/>
      <c r="C500" s="11"/>
      <c r="D500" s="11"/>
      <c r="E500" s="11"/>
      <c r="F500" s="19"/>
      <c r="G500" s="12" t="str">
        <f aca="false">IF(F500="","",IF(F500&lt;=Parâmetros!$B$7,"Faixa 1",IF(F500&lt;=Parâmetros!$B$8,"Faixa 2","Faixa 3")))</f>
        <v/>
      </c>
      <c r="H500" s="12" t="str">
        <f aca="false">IF(G500="","",IF(G500="Faixa 1","Rodízio/Sorteio",IF(G500="Faixa 2","Cotação (≥3 propostas)","Chamada pública")))</f>
        <v/>
      </c>
      <c r="I500" s="11"/>
      <c r="J500" s="17" t="str">
        <f aca="false">IF(I500="","",IFERROR(INDEX(Cadastro!$B$5:$B$304,MATCH(I500,Cadastro!$A$5:$A$304,0)),"ID não encontrado"))</f>
        <v/>
      </c>
      <c r="K500" s="17" t="str">
        <f aca="false">IF(I500="","",IFERROR(INDEX(Cadastro!$E$5:$E$304,MATCH(I500,Cadastro!$A$5:$A$304,0)),""))</f>
        <v/>
      </c>
      <c r="L500" s="17" t="str">
        <f aca="false">IF(I500="","",IFERROR(INDEX(Cadastro!$F$5:$F$304,MATCH(I500,Cadastro!$A$5:$A$304,0)),""))</f>
        <v/>
      </c>
      <c r="M500" s="17" t="str">
        <f aca="false">IF(I500="","",IFERROR(INDEX(Cadastro!$I$5:$I$304,MATCH(I500,Cadastro!$A$5:$A$304,0)),""))</f>
        <v/>
      </c>
      <c r="N500" s="19"/>
      <c r="O500" s="13"/>
      <c r="P500" s="12" t="str">
        <f aca="false">IF(OR(B500="",O500=""),"",NETWORKDAYS(B500,O500)-1)</f>
        <v/>
      </c>
      <c r="Q500" s="13"/>
      <c r="R500" s="11"/>
      <c r="S500" s="13"/>
      <c r="T500" s="11"/>
      <c r="U500" s="11"/>
      <c r="V500" s="11"/>
      <c r="W500" s="11"/>
      <c r="X500" s="11"/>
    </row>
    <row r="501" customFormat="false" ht="15" hidden="false" customHeight="false" outlineLevel="0" collapsed="false">
      <c r="A501" s="11"/>
      <c r="B501" s="13"/>
      <c r="C501" s="11"/>
      <c r="D501" s="11"/>
      <c r="E501" s="11"/>
      <c r="F501" s="19"/>
      <c r="G501" s="12" t="str">
        <f aca="false">IF(F501="","",IF(F501&lt;=Parâmetros!$B$7,"Faixa 1",IF(F501&lt;=Parâmetros!$B$8,"Faixa 2","Faixa 3")))</f>
        <v/>
      </c>
      <c r="H501" s="12" t="str">
        <f aca="false">IF(G501="","",IF(G501="Faixa 1","Rodízio/Sorteio",IF(G501="Faixa 2","Cotação (≥3 propostas)","Chamada pública")))</f>
        <v/>
      </c>
      <c r="I501" s="11"/>
      <c r="J501" s="17" t="str">
        <f aca="false">IF(I501="","",IFERROR(INDEX(Cadastro!$B$5:$B$304,MATCH(I501,Cadastro!$A$5:$A$304,0)),"ID não encontrado"))</f>
        <v/>
      </c>
      <c r="K501" s="17" t="str">
        <f aca="false">IF(I501="","",IFERROR(INDEX(Cadastro!$E$5:$E$304,MATCH(I501,Cadastro!$A$5:$A$304,0)),""))</f>
        <v/>
      </c>
      <c r="L501" s="17" t="str">
        <f aca="false">IF(I501="","",IFERROR(INDEX(Cadastro!$F$5:$F$304,MATCH(I501,Cadastro!$A$5:$A$304,0)),""))</f>
        <v/>
      </c>
      <c r="M501" s="17" t="str">
        <f aca="false">IF(I501="","",IFERROR(INDEX(Cadastro!$I$5:$I$304,MATCH(I501,Cadastro!$A$5:$A$304,0)),""))</f>
        <v/>
      </c>
      <c r="N501" s="19"/>
      <c r="O501" s="13"/>
      <c r="P501" s="12" t="str">
        <f aca="false">IF(OR(B501="",O501=""),"",NETWORKDAYS(B501,O501)-1)</f>
        <v/>
      </c>
      <c r="Q501" s="13"/>
      <c r="R501" s="11"/>
      <c r="S501" s="13"/>
      <c r="T501" s="11"/>
      <c r="U501" s="11"/>
      <c r="V501" s="11"/>
      <c r="W501" s="11"/>
      <c r="X501" s="11"/>
    </row>
    <row r="502" customFormat="false" ht="15" hidden="false" customHeight="false" outlineLevel="0" collapsed="false">
      <c r="A502" s="11"/>
      <c r="B502" s="13"/>
      <c r="C502" s="11"/>
      <c r="D502" s="11"/>
      <c r="E502" s="11"/>
      <c r="F502" s="19"/>
      <c r="G502" s="12" t="str">
        <f aca="false">IF(F502="","",IF(F502&lt;=Parâmetros!$B$7,"Faixa 1",IF(F502&lt;=Parâmetros!$B$8,"Faixa 2","Faixa 3")))</f>
        <v/>
      </c>
      <c r="H502" s="12" t="str">
        <f aca="false">IF(G502="","",IF(G502="Faixa 1","Rodízio/Sorteio",IF(G502="Faixa 2","Cotação (≥3 propostas)","Chamada pública")))</f>
        <v/>
      </c>
      <c r="I502" s="11"/>
      <c r="J502" s="17" t="str">
        <f aca="false">IF(I502="","",IFERROR(INDEX(Cadastro!$B$5:$B$304,MATCH(I502,Cadastro!$A$5:$A$304,0)),"ID não encontrado"))</f>
        <v/>
      </c>
      <c r="K502" s="17" t="str">
        <f aca="false">IF(I502="","",IFERROR(INDEX(Cadastro!$E$5:$E$304,MATCH(I502,Cadastro!$A$5:$A$304,0)),""))</f>
        <v/>
      </c>
      <c r="L502" s="17" t="str">
        <f aca="false">IF(I502="","",IFERROR(INDEX(Cadastro!$F$5:$F$304,MATCH(I502,Cadastro!$A$5:$A$304,0)),""))</f>
        <v/>
      </c>
      <c r="M502" s="17" t="str">
        <f aca="false">IF(I502="","",IFERROR(INDEX(Cadastro!$I$5:$I$304,MATCH(I502,Cadastro!$A$5:$A$304,0)),""))</f>
        <v/>
      </c>
      <c r="N502" s="19"/>
      <c r="O502" s="13"/>
      <c r="P502" s="12" t="str">
        <f aca="false">IF(OR(B502="",O502=""),"",NETWORKDAYS(B502,O502)-1)</f>
        <v/>
      </c>
      <c r="Q502" s="13"/>
      <c r="R502" s="11"/>
      <c r="S502" s="13"/>
      <c r="T502" s="11"/>
      <c r="U502" s="11"/>
      <c r="V502" s="11"/>
      <c r="W502" s="11"/>
      <c r="X502" s="11"/>
    </row>
    <row r="503" customFormat="false" ht="15" hidden="false" customHeight="false" outlineLevel="0" collapsed="false">
      <c r="A503" s="11"/>
      <c r="B503" s="13"/>
      <c r="C503" s="11"/>
      <c r="D503" s="11"/>
      <c r="E503" s="11"/>
      <c r="F503" s="19"/>
      <c r="G503" s="12" t="str">
        <f aca="false">IF(F503="","",IF(F503&lt;=Parâmetros!$B$7,"Faixa 1",IF(F503&lt;=Parâmetros!$B$8,"Faixa 2","Faixa 3")))</f>
        <v/>
      </c>
      <c r="H503" s="12" t="str">
        <f aca="false">IF(G503="","",IF(G503="Faixa 1","Rodízio/Sorteio",IF(G503="Faixa 2","Cotação (≥3 propostas)","Chamada pública")))</f>
        <v/>
      </c>
      <c r="I503" s="11"/>
      <c r="J503" s="17" t="str">
        <f aca="false">IF(I503="","",IFERROR(INDEX(Cadastro!$B$5:$B$304,MATCH(I503,Cadastro!$A$5:$A$304,0)),"ID não encontrado"))</f>
        <v/>
      </c>
      <c r="K503" s="17" t="str">
        <f aca="false">IF(I503="","",IFERROR(INDEX(Cadastro!$E$5:$E$304,MATCH(I503,Cadastro!$A$5:$A$304,0)),""))</f>
        <v/>
      </c>
      <c r="L503" s="17" t="str">
        <f aca="false">IF(I503="","",IFERROR(INDEX(Cadastro!$F$5:$F$304,MATCH(I503,Cadastro!$A$5:$A$304,0)),""))</f>
        <v/>
      </c>
      <c r="M503" s="17" t="str">
        <f aca="false">IF(I503="","",IFERROR(INDEX(Cadastro!$I$5:$I$304,MATCH(I503,Cadastro!$A$5:$A$304,0)),""))</f>
        <v/>
      </c>
      <c r="N503" s="19"/>
      <c r="O503" s="13"/>
      <c r="P503" s="12" t="str">
        <f aca="false">IF(OR(B503="",O503=""),"",NETWORKDAYS(B503,O503)-1)</f>
        <v/>
      </c>
      <c r="Q503" s="13"/>
      <c r="R503" s="11"/>
      <c r="S503" s="13"/>
      <c r="T503" s="11"/>
      <c r="U503" s="11"/>
      <c r="V503" s="11"/>
      <c r="W503" s="11"/>
      <c r="X503" s="11"/>
    </row>
    <row r="504" customFormat="false" ht="15" hidden="false" customHeight="false" outlineLevel="0" collapsed="false">
      <c r="A504" s="11"/>
      <c r="B504" s="13"/>
      <c r="C504" s="11"/>
      <c r="D504" s="11"/>
      <c r="E504" s="11"/>
      <c r="F504" s="19"/>
      <c r="G504" s="12" t="str">
        <f aca="false">IF(F504="","",IF(F504&lt;=Parâmetros!$B$7,"Faixa 1",IF(F504&lt;=Parâmetros!$B$8,"Faixa 2","Faixa 3")))</f>
        <v/>
      </c>
      <c r="H504" s="12" t="str">
        <f aca="false">IF(G504="","",IF(G504="Faixa 1","Rodízio/Sorteio",IF(G504="Faixa 2","Cotação (≥3 propostas)","Chamada pública")))</f>
        <v/>
      </c>
      <c r="I504" s="11"/>
      <c r="J504" s="17" t="str">
        <f aca="false">IF(I504="","",IFERROR(INDEX(Cadastro!$B$5:$B$304,MATCH(I504,Cadastro!$A$5:$A$304,0)),"ID não encontrado"))</f>
        <v/>
      </c>
      <c r="K504" s="17" t="str">
        <f aca="false">IF(I504="","",IFERROR(INDEX(Cadastro!$E$5:$E$304,MATCH(I504,Cadastro!$A$5:$A$304,0)),""))</f>
        <v/>
      </c>
      <c r="L504" s="17" t="str">
        <f aca="false">IF(I504="","",IFERROR(INDEX(Cadastro!$F$5:$F$304,MATCH(I504,Cadastro!$A$5:$A$304,0)),""))</f>
        <v/>
      </c>
      <c r="M504" s="17" t="str">
        <f aca="false">IF(I504="","",IFERROR(INDEX(Cadastro!$I$5:$I$304,MATCH(I504,Cadastro!$A$5:$A$304,0)),""))</f>
        <v/>
      </c>
      <c r="N504" s="19"/>
      <c r="O504" s="13"/>
      <c r="P504" s="12" t="str">
        <f aca="false">IF(OR(B504="",O504=""),"",NETWORKDAYS(B504,O504)-1)</f>
        <v/>
      </c>
      <c r="Q504" s="13"/>
      <c r="R504" s="11"/>
      <c r="S504" s="13"/>
      <c r="T504" s="11"/>
      <c r="U504" s="11"/>
      <c r="V504" s="11"/>
      <c r="W504" s="11"/>
      <c r="X504" s="11"/>
    </row>
  </sheetData>
  <conditionalFormatting sqref="W5:W504">
    <cfRule type="cellIs" priority="2" operator="equal" aboveAverage="0" equalAverage="0" bottom="0" percent="0" rank="0" text="" dxfId="0">
      <formula>"N"</formula>
    </cfRule>
  </conditionalFormatting>
  <dataValidations count="4">
    <dataValidation allowBlank="true" errorStyle="stop" operator="between" showDropDown="false" showErrorMessage="false" showInputMessage="false" sqref="D5:D504" type="list">
      <formula1>Parâmetros!$H$24:$H$43</formula1>
      <formula2>0</formula2>
    </dataValidation>
    <dataValidation allowBlank="true" errorStyle="stop" operator="between" showDropDown="false" showErrorMessage="false" showInputMessage="false" sqref="U5:U504" type="list">
      <formula1>Parâmetros!$F$24:$F$28</formula1>
      <formula2>0</formula2>
    </dataValidation>
    <dataValidation allowBlank="true" errorStyle="stop" operator="between" showDropDown="false" showErrorMessage="false" showInputMessage="false" sqref="T5:T504 W5:W504" type="list">
      <formula1>"S,N"</formula1>
      <formula2>0</formula2>
    </dataValidation>
    <dataValidation allowBlank="true" errorStyle="stop" operator="between" showDropDown="false" showErrorMessage="false" showInputMessage="false" sqref="R5:R50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249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250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251</v>
      </c>
      <c r="B4" s="20" t="s">
        <v>65</v>
      </c>
      <c r="C4" s="2"/>
      <c r="D4" s="4" t="s">
        <v>252</v>
      </c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4" t="s">
        <v>133</v>
      </c>
      <c r="B5" s="20" t="s">
        <v>60</v>
      </c>
      <c r="C5" s="2"/>
      <c r="D5" s="21" t="str">
        <f aca="false">IFERROR(INDEX(B10:B309,MATCH(1,I10:I309,0)),"nenhum elegível")</f>
        <v>Maria das Dores Lanches ME</v>
      </c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4" t="s">
        <v>253</v>
      </c>
      <c r="B6" s="20" t="s">
        <v>64</v>
      </c>
      <c r="C6" s="2"/>
      <c r="D6" s="4" t="s">
        <v>254</v>
      </c>
      <c r="E6" s="12" t="n">
        <f aca="false">SUM(F10:F309)</f>
        <v>1</v>
      </c>
      <c r="F6" s="2"/>
      <c r="G6" s="2"/>
      <c r="H6" s="2"/>
      <c r="I6" s="2"/>
      <c r="J6" s="2"/>
    </row>
    <row r="7" customFormat="false" ht="15" hidden="false" customHeight="false" outlineLevel="0" collapsed="false">
      <c r="A7" s="4" t="s">
        <v>255</v>
      </c>
      <c r="B7" s="20" t="s">
        <v>72</v>
      </c>
      <c r="C7" s="2"/>
      <c r="D7" s="4" t="s">
        <v>256</v>
      </c>
      <c r="E7" s="12" t="str">
        <f aca="false">IF(SUMPRODUCT((F10:F309=1)*(Cadastro!E5:E304="S"))&gt;=Parâmetros!$B$19,"SIM","NÃO")</f>
        <v>NÃO</v>
      </c>
      <c r="F7" s="2"/>
      <c r="G7" s="2"/>
      <c r="H7" s="2"/>
      <c r="I7" s="2"/>
      <c r="J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</row>
    <row r="9" customFormat="false" ht="31.5" hidden="false" customHeight="true" outlineLevel="0" collapsed="false">
      <c r="A9" s="6" t="s">
        <v>125</v>
      </c>
      <c r="B9" s="6" t="s">
        <v>191</v>
      </c>
      <c r="C9" s="6" t="s">
        <v>128</v>
      </c>
      <c r="D9" s="6" t="s">
        <v>257</v>
      </c>
      <c r="E9" s="6" t="s">
        <v>133</v>
      </c>
      <c r="F9" s="6" t="s">
        <v>258</v>
      </c>
      <c r="G9" s="6" t="s">
        <v>147</v>
      </c>
      <c r="H9" s="6" t="s">
        <v>259</v>
      </c>
      <c r="I9" s="6" t="s">
        <v>260</v>
      </c>
      <c r="J9" s="6" t="s">
        <v>261</v>
      </c>
    </row>
    <row r="10" customFormat="false" ht="15" hidden="false" customHeight="false" outlineLevel="0" collapsed="false">
      <c r="A10" s="17" t="str">
        <f aca="false">IF(Cadastro!A5="","",Cadastro!A5)</f>
        <v>F001</v>
      </c>
      <c r="B10" s="17" t="str">
        <f aca="false">IF(Cadastro!A5="","",Cadastro!B5)</f>
        <v>Maria das Dores Lanches ME</v>
      </c>
      <c r="C10" s="17" t="str">
        <f aca="false">IF(Cadastro!A5="","",Cadastro!D5)</f>
        <v>ME</v>
      </c>
      <c r="D10" s="17" t="str">
        <f aca="false">IF(Cadastro!A5="","",Cadastro!F5)</f>
        <v>S</v>
      </c>
      <c r="E10" s="17" t="str">
        <f aca="false">IF(Cadastro!A5="","",Cadastro!I5)</f>
        <v>T1</v>
      </c>
      <c r="F10" s="12" t="n">
        <f aca="false">IF(Cadastro!A5="",0,IF(AND(Cadastro!O5="Ativo",Cadastro!I5=$B$5,ISNUMBER(SEARCH($B$4,Cadastro!J5)),OR($B$6&lt;&gt;"S",Cadastro!E5="S"),OR($B$7&lt;&gt;"S",Cadastro!F5="S")),1,0))</f>
        <v>1</v>
      </c>
      <c r="G10" s="22" t="n">
        <f aca="false">IF(F10=0,"",IF(Cadastro!U5=0,0,Cadastro!X5))</f>
        <v>46315</v>
      </c>
      <c r="H10" s="12" t="n">
        <f aca="false">IF(F10=0,"",1+COUNTIF($J$10:$J$309,"&lt;"&amp;J10))</f>
        <v>1</v>
      </c>
      <c r="I10" s="12" t="n">
        <f aca="false">IF(H10=1,1,0)</f>
        <v>1</v>
      </c>
      <c r="J10" s="23" t="n">
        <f aca="false">IF(F10=0,9000000000000000,G10+Cadastro!M5/100000)</f>
        <v>46315.46296</v>
      </c>
    </row>
    <row r="11" customFormat="false" ht="15" hidden="false" customHeight="false" outlineLevel="0" collapsed="false">
      <c r="A11" s="17" t="str">
        <f aca="false">IF(Cadastro!A6="","",Cadastro!A6)</f>
        <v>F002</v>
      </c>
      <c r="B11" s="17" t="str">
        <f aca="false">IF(Cadastro!A6="","",Cadastro!B6)</f>
        <v>João Som &amp; Luz MEI</v>
      </c>
      <c r="C11" s="17" t="str">
        <f aca="false">IF(Cadastro!A6="","",Cadastro!D6)</f>
        <v>MEI</v>
      </c>
      <c r="D11" s="17" t="str">
        <f aca="false">IF(Cadastro!A6="","",Cadastro!F6)</f>
        <v>N</v>
      </c>
      <c r="E11" s="17" t="str">
        <f aca="false">IF(Cadastro!A6="","",Cadastro!I6)</f>
        <v>T2</v>
      </c>
      <c r="F11" s="12" t="n">
        <f aca="false">IF(Cadastro!A6="",0,IF(AND(Cadastro!O6="Ativo",Cadastro!I6=$B$5,ISNUMBER(SEARCH($B$4,Cadastro!J6)),OR($B$6&lt;&gt;"S",Cadastro!E6="S"),OR($B$7&lt;&gt;"S",Cadastro!F6="S")),1,0))</f>
        <v>0</v>
      </c>
      <c r="G11" s="22" t="str">
        <f aca="false">IF(F11=0,"",IF(Cadastro!U6=0,0,Cadastro!X6))</f>
        <v/>
      </c>
      <c r="H11" s="12" t="str">
        <f aca="false">IF(F11=0,"",1+COUNTIF($J$10:$J$309,"&lt;"&amp;J11))</f>
        <v/>
      </c>
      <c r="I11" s="12" t="n">
        <f aca="false">IF(H11=1,1,0)</f>
        <v>0</v>
      </c>
      <c r="J11" s="23" t="n">
        <f aca="false">IF(F11=0,9000000000000000,G11+Cadastro!M6/100000)</f>
        <v>9000000000000000</v>
      </c>
    </row>
    <row r="12" customFormat="false" ht="15" hidden="false" customHeight="false" outlineLevel="0" collapsed="false">
      <c r="A12" s="17" t="str">
        <f aca="false">IF(Cadastro!A7="","",Cadastro!A7)</f>
        <v>F003</v>
      </c>
      <c r="B12" s="17" t="str">
        <f aca="false">IF(Cadastro!A7="","",Cadastro!B7)</f>
        <v>Coletivo Mãos de Mesquita (cooperativa)</v>
      </c>
      <c r="C12" s="17" t="str">
        <f aca="false">IF(Cadastro!A7="","",Cadastro!D7)</f>
        <v>Cooperativa</v>
      </c>
      <c r="D12" s="17" t="str">
        <f aca="false">IF(Cadastro!A7="","",Cadastro!F7)</f>
        <v>S</v>
      </c>
      <c r="E12" s="17" t="str">
        <f aca="false">IF(Cadastro!A7="","",Cadastro!I7)</f>
        <v>T1</v>
      </c>
      <c r="F12" s="12" t="n">
        <f aca="false">IF(Cadastro!A7="",0,IF(AND(Cadastro!O7="Ativo",Cadastro!I7=$B$5,ISNUMBER(SEARCH($B$4,Cadastro!J7)),OR($B$6&lt;&gt;"S",Cadastro!E7="S"),OR($B$7&lt;&gt;"S",Cadastro!F7="S")),1,0))</f>
        <v>0</v>
      </c>
      <c r="G12" s="22" t="str">
        <f aca="false">IF(F12=0,"",IF(Cadastro!U7=0,0,Cadastro!X7))</f>
        <v/>
      </c>
      <c r="H12" s="12" t="str">
        <f aca="false">IF(F12=0,"",1+COUNTIF($J$10:$J$309,"&lt;"&amp;J12))</f>
        <v/>
      </c>
      <c r="I12" s="12" t="n">
        <f aca="false">IF(H12=1,1,0)</f>
        <v>0</v>
      </c>
      <c r="J12" s="23" t="n">
        <f aca="false">IF(F12=0,9000000000000000,G12+Cadastro!M7/100000)</f>
        <v>9000000000000000</v>
      </c>
    </row>
    <row r="13" customFormat="false" ht="15" hidden="false" customHeight="false" outlineLevel="0" collapsed="false">
      <c r="A13" s="17" t="str">
        <f aca="false">IF(Cadastro!A8="","",Cadastro!A8)</f>
        <v>F004</v>
      </c>
      <c r="B13" s="17" t="str">
        <f aca="false">IF(Cadastro!A8="","",Cadastro!B8)</f>
        <v>Ana Paula Silva (oficineira)</v>
      </c>
      <c r="C13" s="17" t="str">
        <f aca="false">IF(Cadastro!A8="","",Cadastro!D8)</f>
        <v>PF autônoma</v>
      </c>
      <c r="D13" s="17" t="str">
        <f aca="false">IF(Cadastro!A8="","",Cadastro!F8)</f>
        <v>S</v>
      </c>
      <c r="E13" s="17" t="str">
        <f aca="false">IF(Cadastro!A8="","",Cadastro!I8)</f>
        <v>T1</v>
      </c>
      <c r="F13" s="12" t="n">
        <f aca="false">IF(Cadastro!A8="",0,IF(AND(Cadastro!O8="Ativo",Cadastro!I8=$B$5,ISNUMBER(SEARCH($B$4,Cadastro!J8)),OR($B$6&lt;&gt;"S",Cadastro!E8="S"),OR($B$7&lt;&gt;"S",Cadastro!F8="S")),1,0))</f>
        <v>0</v>
      </c>
      <c r="G13" s="22" t="str">
        <f aca="false">IF(F13=0,"",IF(Cadastro!U8=0,0,Cadastro!X8))</f>
        <v/>
      </c>
      <c r="H13" s="12" t="str">
        <f aca="false">IF(F13=0,"",1+COUNTIF($J$10:$J$309,"&lt;"&amp;J13))</f>
        <v/>
      </c>
      <c r="I13" s="12" t="n">
        <f aca="false">IF(H13=1,1,0)</f>
        <v>0</v>
      </c>
      <c r="J13" s="23" t="n">
        <f aca="false">IF(F13=0,9000000000000000,G13+Cadastro!M8/100000)</f>
        <v>9000000000000000</v>
      </c>
    </row>
    <row r="14" customFormat="false" ht="15" hidden="false" customHeight="false" outlineLevel="0" collapsed="false">
      <c r="A14" s="17" t="str">
        <f aca="false">IF(Cadastro!A9="","",Cadastro!A9)</f>
        <v>F005</v>
      </c>
      <c r="B14" s="17" t="str">
        <f aca="false">IF(Cadastro!A9="","",Cadastro!B9)</f>
        <v>Gráfica Baixada EPP</v>
      </c>
      <c r="C14" s="17" t="str">
        <f aca="false">IF(Cadastro!A9="","",Cadastro!D9)</f>
        <v>EPP</v>
      </c>
      <c r="D14" s="17" t="str">
        <f aca="false">IF(Cadastro!A9="","",Cadastro!F9)</f>
        <v>N</v>
      </c>
      <c r="E14" s="17" t="str">
        <f aca="false">IF(Cadastro!A9="","",Cadastro!I9)</f>
        <v>T2</v>
      </c>
      <c r="F14" s="12" t="n">
        <f aca="false">IF(Cadastro!A9="",0,IF(AND(Cadastro!O9="Ativo",Cadastro!I9=$B$5,ISNUMBER(SEARCH($B$4,Cadastro!J9)),OR($B$6&lt;&gt;"S",Cadastro!E9="S"),OR($B$7&lt;&gt;"S",Cadastro!F9="S")),1,0))</f>
        <v>0</v>
      </c>
      <c r="G14" s="22" t="str">
        <f aca="false">IF(F14=0,"",IF(Cadastro!U9=0,0,Cadastro!X9))</f>
        <v/>
      </c>
      <c r="H14" s="12" t="str">
        <f aca="false">IF(F14=0,"",1+COUNTIF($J$10:$J$309,"&lt;"&amp;J14))</f>
        <v/>
      </c>
      <c r="I14" s="12" t="n">
        <f aca="false">IF(H14=1,1,0)</f>
        <v>0</v>
      </c>
      <c r="J14" s="23" t="n">
        <f aca="false">IF(F14=0,9000000000000000,G14+Cadastro!M9/100000)</f>
        <v>9000000000000000</v>
      </c>
    </row>
    <row r="15" customFormat="false" ht="15" hidden="false" customHeight="false" outlineLevel="0" collapsed="false">
      <c r="A15" s="17" t="str">
        <f aca="false">IF(Cadastro!A10="","",Cadastro!A10)</f>
        <v>F006</v>
      </c>
      <c r="B15" s="17" t="str">
        <f aca="false">IF(Cadastro!A10="","",Cadastro!B10)</f>
        <v>Lanches da Tia Rosa MEI</v>
      </c>
      <c r="C15" s="17" t="str">
        <f aca="false">IF(Cadastro!A10="","",Cadastro!D10)</f>
        <v>MEI</v>
      </c>
      <c r="D15" s="17" t="str">
        <f aca="false">IF(Cadastro!A10="","",Cadastro!F10)</f>
        <v>S</v>
      </c>
      <c r="E15" s="17" t="str">
        <f aca="false">IF(Cadastro!A10="","",Cadastro!I10)</f>
        <v>T1</v>
      </c>
      <c r="F15" s="12" t="n">
        <f aca="false">IF(Cadastro!A10="",0,IF(AND(Cadastro!O10="Ativo",Cadastro!I10=$B$5,ISNUMBER(SEARCH($B$4,Cadastro!J10)),OR($B$6&lt;&gt;"S",Cadastro!E10="S"),OR($B$7&lt;&gt;"S",Cadastro!F10="S")),1,0))</f>
        <v>0</v>
      </c>
      <c r="G15" s="22" t="str">
        <f aca="false">IF(F15=0,"",IF(Cadastro!U10=0,0,Cadastro!X10))</f>
        <v/>
      </c>
      <c r="H15" s="12" t="str">
        <f aca="false">IF(F15=0,"",1+COUNTIF($J$10:$J$309,"&lt;"&amp;J15))</f>
        <v/>
      </c>
      <c r="I15" s="12" t="n">
        <f aca="false">IF(H15=1,1,0)</f>
        <v>0</v>
      </c>
      <c r="J15" s="23" t="n">
        <f aca="false">IF(F15=0,9000000000000000,G15+Cadastro!M10/100000)</f>
        <v>9000000000000000</v>
      </c>
    </row>
    <row r="16" customFormat="false" ht="15" hidden="false" customHeight="false" outlineLevel="0" collapsed="false">
      <c r="A16" s="17" t="str">
        <f aca="false">IF(Cadastro!A11="","",Cadastro!A11)</f>
        <v/>
      </c>
      <c r="B16" s="17" t="str">
        <f aca="false">IF(Cadastro!A11="","",Cadastro!B11)</f>
        <v/>
      </c>
      <c r="C16" s="17" t="str">
        <f aca="false">IF(Cadastro!A11="","",Cadastro!D11)</f>
        <v/>
      </c>
      <c r="D16" s="17" t="str">
        <f aca="false">IF(Cadastro!A11="","",Cadastro!F11)</f>
        <v/>
      </c>
      <c r="E16" s="17" t="str">
        <f aca="false">IF(Cadastro!A11="","",Cadastro!I11)</f>
        <v/>
      </c>
      <c r="F16" s="12" t="n">
        <f aca="false">IF(Cadastro!A11="",0,IF(AND(Cadastro!O11="Ativo",Cadastro!I11=$B$5,ISNUMBER(SEARCH($B$4,Cadastro!J11)),OR($B$6&lt;&gt;"S",Cadastro!E11="S"),OR($B$7&lt;&gt;"S",Cadastro!F11="S")),1,0))</f>
        <v>0</v>
      </c>
      <c r="G16" s="22" t="str">
        <f aca="false">IF(F16=0,"",IF(Cadastro!U11=0,0,Cadastro!X11))</f>
        <v/>
      </c>
      <c r="H16" s="12" t="str">
        <f aca="false">IF(F16=0,"",1+COUNTIF($J$10:$J$309,"&lt;"&amp;J16))</f>
        <v/>
      </c>
      <c r="I16" s="12" t="n">
        <f aca="false">IF(H16=1,1,0)</f>
        <v>0</v>
      </c>
      <c r="J16" s="23" t="n">
        <f aca="false">IF(F16=0,9000000000000000,G16+Cadastro!M11/100000)</f>
        <v>9000000000000000</v>
      </c>
    </row>
    <row r="17" customFormat="false" ht="15" hidden="false" customHeight="false" outlineLevel="0" collapsed="false">
      <c r="A17" s="17" t="str">
        <f aca="false">IF(Cadastro!A12="","",Cadastro!A12)</f>
        <v/>
      </c>
      <c r="B17" s="17" t="str">
        <f aca="false">IF(Cadastro!A12="","",Cadastro!B12)</f>
        <v/>
      </c>
      <c r="C17" s="17" t="str">
        <f aca="false">IF(Cadastro!A12="","",Cadastro!D12)</f>
        <v/>
      </c>
      <c r="D17" s="17" t="str">
        <f aca="false">IF(Cadastro!A12="","",Cadastro!F12)</f>
        <v/>
      </c>
      <c r="E17" s="17" t="str">
        <f aca="false">IF(Cadastro!A12="","",Cadastro!I12)</f>
        <v/>
      </c>
      <c r="F17" s="12" t="n">
        <f aca="false">IF(Cadastro!A12="",0,IF(AND(Cadastro!O12="Ativo",Cadastro!I12=$B$5,ISNUMBER(SEARCH($B$4,Cadastro!J12)),OR($B$6&lt;&gt;"S",Cadastro!E12="S"),OR($B$7&lt;&gt;"S",Cadastro!F12="S")),1,0))</f>
        <v>0</v>
      </c>
      <c r="G17" s="22" t="str">
        <f aca="false">IF(F17=0,"",IF(Cadastro!U12=0,0,Cadastro!X12))</f>
        <v/>
      </c>
      <c r="H17" s="12" t="str">
        <f aca="false">IF(F17=0,"",1+COUNTIF($J$10:$J$309,"&lt;"&amp;J17))</f>
        <v/>
      </c>
      <c r="I17" s="12" t="n">
        <f aca="false">IF(H17=1,1,0)</f>
        <v>0</v>
      </c>
      <c r="J17" s="23" t="n">
        <f aca="false">IF(F17=0,9000000000000000,G17+Cadastro!M12/100000)</f>
        <v>9000000000000000</v>
      </c>
    </row>
    <row r="18" customFormat="false" ht="15" hidden="false" customHeight="false" outlineLevel="0" collapsed="false">
      <c r="A18" s="17" t="str">
        <f aca="false">IF(Cadastro!A13="","",Cadastro!A13)</f>
        <v/>
      </c>
      <c r="B18" s="17" t="str">
        <f aca="false">IF(Cadastro!A13="","",Cadastro!B13)</f>
        <v/>
      </c>
      <c r="C18" s="17" t="str">
        <f aca="false">IF(Cadastro!A13="","",Cadastro!D13)</f>
        <v/>
      </c>
      <c r="D18" s="17" t="str">
        <f aca="false">IF(Cadastro!A13="","",Cadastro!F13)</f>
        <v/>
      </c>
      <c r="E18" s="17" t="str">
        <f aca="false">IF(Cadastro!A13="","",Cadastro!I13)</f>
        <v/>
      </c>
      <c r="F18" s="12" t="n">
        <f aca="false">IF(Cadastro!A13="",0,IF(AND(Cadastro!O13="Ativo",Cadastro!I13=$B$5,ISNUMBER(SEARCH($B$4,Cadastro!J13)),OR($B$6&lt;&gt;"S",Cadastro!E13="S"),OR($B$7&lt;&gt;"S",Cadastro!F13="S")),1,0))</f>
        <v>0</v>
      </c>
      <c r="G18" s="22" t="str">
        <f aca="false">IF(F18=0,"",IF(Cadastro!U13=0,0,Cadastro!X13))</f>
        <v/>
      </c>
      <c r="H18" s="12" t="str">
        <f aca="false">IF(F18=0,"",1+COUNTIF($J$10:$J$309,"&lt;"&amp;J18))</f>
        <v/>
      </c>
      <c r="I18" s="12" t="n">
        <f aca="false">IF(H18=1,1,0)</f>
        <v>0</v>
      </c>
      <c r="J18" s="23" t="n">
        <f aca="false">IF(F18=0,9000000000000000,G18+Cadastro!M13/100000)</f>
        <v>9000000000000000</v>
      </c>
    </row>
    <row r="19" customFormat="false" ht="15" hidden="false" customHeight="false" outlineLevel="0" collapsed="false">
      <c r="A19" s="17" t="str">
        <f aca="false">IF(Cadastro!A14="","",Cadastro!A14)</f>
        <v/>
      </c>
      <c r="B19" s="17" t="str">
        <f aca="false">IF(Cadastro!A14="","",Cadastro!B14)</f>
        <v/>
      </c>
      <c r="C19" s="17" t="str">
        <f aca="false">IF(Cadastro!A14="","",Cadastro!D14)</f>
        <v/>
      </c>
      <c r="D19" s="17" t="str">
        <f aca="false">IF(Cadastro!A14="","",Cadastro!F14)</f>
        <v/>
      </c>
      <c r="E19" s="17" t="str">
        <f aca="false">IF(Cadastro!A14="","",Cadastro!I14)</f>
        <v/>
      </c>
      <c r="F19" s="12" t="n">
        <f aca="false">IF(Cadastro!A14="",0,IF(AND(Cadastro!O14="Ativo",Cadastro!I14=$B$5,ISNUMBER(SEARCH($B$4,Cadastro!J14)),OR($B$6&lt;&gt;"S",Cadastro!E14="S"),OR($B$7&lt;&gt;"S",Cadastro!F14="S")),1,0))</f>
        <v>0</v>
      </c>
      <c r="G19" s="22" t="str">
        <f aca="false">IF(F19=0,"",IF(Cadastro!U14=0,0,Cadastro!X14))</f>
        <v/>
      </c>
      <c r="H19" s="12" t="str">
        <f aca="false">IF(F19=0,"",1+COUNTIF($J$10:$J$309,"&lt;"&amp;J19))</f>
        <v/>
      </c>
      <c r="I19" s="12" t="n">
        <f aca="false">IF(H19=1,1,0)</f>
        <v>0</v>
      </c>
      <c r="J19" s="23" t="n">
        <f aca="false">IF(F19=0,9000000000000000,G19+Cadastro!M14/100000)</f>
        <v>9000000000000000</v>
      </c>
    </row>
    <row r="20" customFormat="false" ht="15" hidden="false" customHeight="false" outlineLevel="0" collapsed="false">
      <c r="A20" s="17" t="str">
        <f aca="false">IF(Cadastro!A15="","",Cadastro!A15)</f>
        <v/>
      </c>
      <c r="B20" s="17" t="str">
        <f aca="false">IF(Cadastro!A15="","",Cadastro!B15)</f>
        <v/>
      </c>
      <c r="C20" s="17" t="str">
        <f aca="false">IF(Cadastro!A15="","",Cadastro!D15)</f>
        <v/>
      </c>
      <c r="D20" s="17" t="str">
        <f aca="false">IF(Cadastro!A15="","",Cadastro!F15)</f>
        <v/>
      </c>
      <c r="E20" s="17" t="str">
        <f aca="false">IF(Cadastro!A15="","",Cadastro!I15)</f>
        <v/>
      </c>
      <c r="F20" s="12" t="n">
        <f aca="false">IF(Cadastro!A15="",0,IF(AND(Cadastro!O15="Ativo",Cadastro!I15=$B$5,ISNUMBER(SEARCH($B$4,Cadastro!J15)),OR($B$6&lt;&gt;"S",Cadastro!E15="S"),OR($B$7&lt;&gt;"S",Cadastro!F15="S")),1,0))</f>
        <v>0</v>
      </c>
      <c r="G20" s="22" t="str">
        <f aca="false">IF(F20=0,"",IF(Cadastro!U15=0,0,Cadastro!X15))</f>
        <v/>
      </c>
      <c r="H20" s="12" t="str">
        <f aca="false">IF(F20=0,"",1+COUNTIF($J$10:$J$309,"&lt;"&amp;J20))</f>
        <v/>
      </c>
      <c r="I20" s="12" t="n">
        <f aca="false">IF(H20=1,1,0)</f>
        <v>0</v>
      </c>
      <c r="J20" s="23" t="n">
        <f aca="false">IF(F20=0,9000000000000000,G20+Cadastro!M15/100000)</f>
        <v>9000000000000000</v>
      </c>
    </row>
    <row r="21" customFormat="false" ht="15" hidden="false" customHeight="false" outlineLevel="0" collapsed="false">
      <c r="A21" s="17" t="str">
        <f aca="false">IF(Cadastro!A16="","",Cadastro!A16)</f>
        <v/>
      </c>
      <c r="B21" s="17" t="str">
        <f aca="false">IF(Cadastro!A16="","",Cadastro!B16)</f>
        <v/>
      </c>
      <c r="C21" s="17" t="str">
        <f aca="false">IF(Cadastro!A16="","",Cadastro!D16)</f>
        <v/>
      </c>
      <c r="D21" s="17" t="str">
        <f aca="false">IF(Cadastro!A16="","",Cadastro!F16)</f>
        <v/>
      </c>
      <c r="E21" s="17" t="str">
        <f aca="false">IF(Cadastro!A16="","",Cadastro!I16)</f>
        <v/>
      </c>
      <c r="F21" s="12" t="n">
        <f aca="false">IF(Cadastro!A16="",0,IF(AND(Cadastro!O16="Ativo",Cadastro!I16=$B$5,ISNUMBER(SEARCH($B$4,Cadastro!J16)),OR($B$6&lt;&gt;"S",Cadastro!E16="S"),OR($B$7&lt;&gt;"S",Cadastro!F16="S")),1,0))</f>
        <v>0</v>
      </c>
      <c r="G21" s="22" t="str">
        <f aca="false">IF(F21=0,"",IF(Cadastro!U16=0,0,Cadastro!X16))</f>
        <v/>
      </c>
      <c r="H21" s="12" t="str">
        <f aca="false">IF(F21=0,"",1+COUNTIF($J$10:$J$309,"&lt;"&amp;J21))</f>
        <v/>
      </c>
      <c r="I21" s="12" t="n">
        <f aca="false">IF(H21=1,1,0)</f>
        <v>0</v>
      </c>
      <c r="J21" s="23" t="n">
        <f aca="false">IF(F21=0,9000000000000000,G21+Cadastro!M16/100000)</f>
        <v>9000000000000000</v>
      </c>
    </row>
    <row r="22" customFormat="false" ht="15" hidden="false" customHeight="false" outlineLevel="0" collapsed="false">
      <c r="A22" s="17" t="str">
        <f aca="false">IF(Cadastro!A17="","",Cadastro!A17)</f>
        <v/>
      </c>
      <c r="B22" s="17" t="str">
        <f aca="false">IF(Cadastro!A17="","",Cadastro!B17)</f>
        <v/>
      </c>
      <c r="C22" s="17" t="str">
        <f aca="false">IF(Cadastro!A17="","",Cadastro!D17)</f>
        <v/>
      </c>
      <c r="D22" s="17" t="str">
        <f aca="false">IF(Cadastro!A17="","",Cadastro!F17)</f>
        <v/>
      </c>
      <c r="E22" s="17" t="str">
        <f aca="false">IF(Cadastro!A17="","",Cadastro!I17)</f>
        <v/>
      </c>
      <c r="F22" s="12" t="n">
        <f aca="false">IF(Cadastro!A17="",0,IF(AND(Cadastro!O17="Ativo",Cadastro!I17=$B$5,ISNUMBER(SEARCH($B$4,Cadastro!J17)),OR($B$6&lt;&gt;"S",Cadastro!E17="S"),OR($B$7&lt;&gt;"S",Cadastro!F17="S")),1,0))</f>
        <v>0</v>
      </c>
      <c r="G22" s="22" t="str">
        <f aca="false">IF(F22=0,"",IF(Cadastro!U17=0,0,Cadastro!X17))</f>
        <v/>
      </c>
      <c r="H22" s="12" t="str">
        <f aca="false">IF(F22=0,"",1+COUNTIF($J$10:$J$309,"&lt;"&amp;J22))</f>
        <v/>
      </c>
      <c r="I22" s="12" t="n">
        <f aca="false">IF(H22=1,1,0)</f>
        <v>0</v>
      </c>
      <c r="J22" s="23" t="n">
        <f aca="false">IF(F22=0,9000000000000000,G22+Cadastro!M17/100000)</f>
        <v>9000000000000000</v>
      </c>
    </row>
    <row r="23" customFormat="false" ht="15" hidden="false" customHeight="false" outlineLevel="0" collapsed="false">
      <c r="A23" s="17" t="str">
        <f aca="false">IF(Cadastro!A18="","",Cadastro!A18)</f>
        <v/>
      </c>
      <c r="B23" s="17" t="str">
        <f aca="false">IF(Cadastro!A18="","",Cadastro!B18)</f>
        <v/>
      </c>
      <c r="C23" s="17" t="str">
        <f aca="false">IF(Cadastro!A18="","",Cadastro!D18)</f>
        <v/>
      </c>
      <c r="D23" s="17" t="str">
        <f aca="false">IF(Cadastro!A18="","",Cadastro!F18)</f>
        <v/>
      </c>
      <c r="E23" s="17" t="str">
        <f aca="false">IF(Cadastro!A18="","",Cadastro!I18)</f>
        <v/>
      </c>
      <c r="F23" s="12" t="n">
        <f aca="false">IF(Cadastro!A18="",0,IF(AND(Cadastro!O18="Ativo",Cadastro!I18=$B$5,ISNUMBER(SEARCH($B$4,Cadastro!J18)),OR($B$6&lt;&gt;"S",Cadastro!E18="S"),OR($B$7&lt;&gt;"S",Cadastro!F18="S")),1,0))</f>
        <v>0</v>
      </c>
      <c r="G23" s="22" t="str">
        <f aca="false">IF(F23=0,"",IF(Cadastro!U18=0,0,Cadastro!X18))</f>
        <v/>
      </c>
      <c r="H23" s="12" t="str">
        <f aca="false">IF(F23=0,"",1+COUNTIF($J$10:$J$309,"&lt;"&amp;J23))</f>
        <v/>
      </c>
      <c r="I23" s="12" t="n">
        <f aca="false">IF(H23=1,1,0)</f>
        <v>0</v>
      </c>
      <c r="J23" s="23" t="n">
        <f aca="false">IF(F23=0,9000000000000000,G23+Cadastro!M18/100000)</f>
        <v>9000000000000000</v>
      </c>
    </row>
    <row r="24" customFormat="false" ht="15" hidden="false" customHeight="false" outlineLevel="0" collapsed="false">
      <c r="A24" s="17" t="str">
        <f aca="false">IF(Cadastro!A19="","",Cadastro!A19)</f>
        <v/>
      </c>
      <c r="B24" s="17" t="str">
        <f aca="false">IF(Cadastro!A19="","",Cadastro!B19)</f>
        <v/>
      </c>
      <c r="C24" s="17" t="str">
        <f aca="false">IF(Cadastro!A19="","",Cadastro!D19)</f>
        <v/>
      </c>
      <c r="D24" s="17" t="str">
        <f aca="false">IF(Cadastro!A19="","",Cadastro!F19)</f>
        <v/>
      </c>
      <c r="E24" s="17" t="str">
        <f aca="false">IF(Cadastro!A19="","",Cadastro!I19)</f>
        <v/>
      </c>
      <c r="F24" s="12" t="n">
        <f aca="false">IF(Cadastro!A19="",0,IF(AND(Cadastro!O19="Ativo",Cadastro!I19=$B$5,ISNUMBER(SEARCH($B$4,Cadastro!J19)),OR($B$6&lt;&gt;"S",Cadastro!E19="S"),OR($B$7&lt;&gt;"S",Cadastro!F19="S")),1,0))</f>
        <v>0</v>
      </c>
      <c r="G24" s="22" t="str">
        <f aca="false">IF(F24=0,"",IF(Cadastro!U19=0,0,Cadastro!X19))</f>
        <v/>
      </c>
      <c r="H24" s="12" t="str">
        <f aca="false">IF(F24=0,"",1+COUNTIF($J$10:$J$309,"&lt;"&amp;J24))</f>
        <v/>
      </c>
      <c r="I24" s="12" t="n">
        <f aca="false">IF(H24=1,1,0)</f>
        <v>0</v>
      </c>
      <c r="J24" s="23" t="n">
        <f aca="false">IF(F24=0,9000000000000000,G24+Cadastro!M19/100000)</f>
        <v>9000000000000000</v>
      </c>
    </row>
    <row r="25" customFormat="false" ht="15" hidden="false" customHeight="false" outlineLevel="0" collapsed="false">
      <c r="A25" s="17" t="str">
        <f aca="false">IF(Cadastro!A20="","",Cadastro!A20)</f>
        <v/>
      </c>
      <c r="B25" s="17" t="str">
        <f aca="false">IF(Cadastro!A20="","",Cadastro!B20)</f>
        <v/>
      </c>
      <c r="C25" s="17" t="str">
        <f aca="false">IF(Cadastro!A20="","",Cadastro!D20)</f>
        <v/>
      </c>
      <c r="D25" s="17" t="str">
        <f aca="false">IF(Cadastro!A20="","",Cadastro!F20)</f>
        <v/>
      </c>
      <c r="E25" s="17" t="str">
        <f aca="false">IF(Cadastro!A20="","",Cadastro!I20)</f>
        <v/>
      </c>
      <c r="F25" s="12" t="n">
        <f aca="false">IF(Cadastro!A20="",0,IF(AND(Cadastro!O20="Ativo",Cadastro!I20=$B$5,ISNUMBER(SEARCH($B$4,Cadastro!J20)),OR($B$6&lt;&gt;"S",Cadastro!E20="S"),OR($B$7&lt;&gt;"S",Cadastro!F20="S")),1,0))</f>
        <v>0</v>
      </c>
      <c r="G25" s="22" t="str">
        <f aca="false">IF(F25=0,"",IF(Cadastro!U20=0,0,Cadastro!X20))</f>
        <v/>
      </c>
      <c r="H25" s="12" t="str">
        <f aca="false">IF(F25=0,"",1+COUNTIF($J$10:$J$309,"&lt;"&amp;J25))</f>
        <v/>
      </c>
      <c r="I25" s="12" t="n">
        <f aca="false">IF(H25=1,1,0)</f>
        <v>0</v>
      </c>
      <c r="J25" s="23" t="n">
        <f aca="false">IF(F25=0,9000000000000000,G25+Cadastro!M20/100000)</f>
        <v>9000000000000000</v>
      </c>
    </row>
    <row r="26" customFormat="false" ht="15" hidden="false" customHeight="false" outlineLevel="0" collapsed="false">
      <c r="A26" s="17" t="str">
        <f aca="false">IF(Cadastro!A21="","",Cadastro!A21)</f>
        <v/>
      </c>
      <c r="B26" s="17" t="str">
        <f aca="false">IF(Cadastro!A21="","",Cadastro!B21)</f>
        <v/>
      </c>
      <c r="C26" s="17" t="str">
        <f aca="false">IF(Cadastro!A21="","",Cadastro!D21)</f>
        <v/>
      </c>
      <c r="D26" s="17" t="str">
        <f aca="false">IF(Cadastro!A21="","",Cadastro!F21)</f>
        <v/>
      </c>
      <c r="E26" s="17" t="str">
        <f aca="false">IF(Cadastro!A21="","",Cadastro!I21)</f>
        <v/>
      </c>
      <c r="F26" s="12" t="n">
        <f aca="false">IF(Cadastro!A21="",0,IF(AND(Cadastro!O21="Ativo",Cadastro!I21=$B$5,ISNUMBER(SEARCH($B$4,Cadastro!J21)),OR($B$6&lt;&gt;"S",Cadastro!E21="S"),OR($B$7&lt;&gt;"S",Cadastro!F21="S")),1,0))</f>
        <v>0</v>
      </c>
      <c r="G26" s="22" t="str">
        <f aca="false">IF(F26=0,"",IF(Cadastro!U21=0,0,Cadastro!X21))</f>
        <v/>
      </c>
      <c r="H26" s="12" t="str">
        <f aca="false">IF(F26=0,"",1+COUNTIF($J$10:$J$309,"&lt;"&amp;J26))</f>
        <v/>
      </c>
      <c r="I26" s="12" t="n">
        <f aca="false">IF(H26=1,1,0)</f>
        <v>0</v>
      </c>
      <c r="J26" s="23" t="n">
        <f aca="false">IF(F26=0,9000000000000000,G26+Cadastro!M21/100000)</f>
        <v>9000000000000000</v>
      </c>
    </row>
    <row r="27" customFormat="false" ht="15" hidden="false" customHeight="false" outlineLevel="0" collapsed="false">
      <c r="A27" s="17" t="str">
        <f aca="false">IF(Cadastro!A22="","",Cadastro!A22)</f>
        <v/>
      </c>
      <c r="B27" s="17" t="str">
        <f aca="false">IF(Cadastro!A22="","",Cadastro!B22)</f>
        <v/>
      </c>
      <c r="C27" s="17" t="str">
        <f aca="false">IF(Cadastro!A22="","",Cadastro!D22)</f>
        <v/>
      </c>
      <c r="D27" s="17" t="str">
        <f aca="false">IF(Cadastro!A22="","",Cadastro!F22)</f>
        <v/>
      </c>
      <c r="E27" s="17" t="str">
        <f aca="false">IF(Cadastro!A22="","",Cadastro!I22)</f>
        <v/>
      </c>
      <c r="F27" s="12" t="n">
        <f aca="false">IF(Cadastro!A22="",0,IF(AND(Cadastro!O22="Ativo",Cadastro!I22=$B$5,ISNUMBER(SEARCH($B$4,Cadastro!J22)),OR($B$6&lt;&gt;"S",Cadastro!E22="S"),OR($B$7&lt;&gt;"S",Cadastro!F22="S")),1,0))</f>
        <v>0</v>
      </c>
      <c r="G27" s="22" t="str">
        <f aca="false">IF(F27=0,"",IF(Cadastro!U22=0,0,Cadastro!X22))</f>
        <v/>
      </c>
      <c r="H27" s="12" t="str">
        <f aca="false">IF(F27=0,"",1+COUNTIF($J$10:$J$309,"&lt;"&amp;J27))</f>
        <v/>
      </c>
      <c r="I27" s="12" t="n">
        <f aca="false">IF(H27=1,1,0)</f>
        <v>0</v>
      </c>
      <c r="J27" s="23" t="n">
        <f aca="false">IF(F27=0,9000000000000000,G27+Cadastro!M22/100000)</f>
        <v>9000000000000000</v>
      </c>
    </row>
    <row r="28" customFormat="false" ht="15" hidden="false" customHeight="false" outlineLevel="0" collapsed="false">
      <c r="A28" s="17" t="str">
        <f aca="false">IF(Cadastro!A23="","",Cadastro!A23)</f>
        <v/>
      </c>
      <c r="B28" s="17" t="str">
        <f aca="false">IF(Cadastro!A23="","",Cadastro!B23)</f>
        <v/>
      </c>
      <c r="C28" s="17" t="str">
        <f aca="false">IF(Cadastro!A23="","",Cadastro!D23)</f>
        <v/>
      </c>
      <c r="D28" s="17" t="str">
        <f aca="false">IF(Cadastro!A23="","",Cadastro!F23)</f>
        <v/>
      </c>
      <c r="E28" s="17" t="str">
        <f aca="false">IF(Cadastro!A23="","",Cadastro!I23)</f>
        <v/>
      </c>
      <c r="F28" s="12" t="n">
        <f aca="false">IF(Cadastro!A23="",0,IF(AND(Cadastro!O23="Ativo",Cadastro!I23=$B$5,ISNUMBER(SEARCH($B$4,Cadastro!J23)),OR($B$6&lt;&gt;"S",Cadastro!E23="S"),OR($B$7&lt;&gt;"S",Cadastro!F23="S")),1,0))</f>
        <v>0</v>
      </c>
      <c r="G28" s="22" t="str">
        <f aca="false">IF(F28=0,"",IF(Cadastro!U23=0,0,Cadastro!X23))</f>
        <v/>
      </c>
      <c r="H28" s="12" t="str">
        <f aca="false">IF(F28=0,"",1+COUNTIF($J$10:$J$309,"&lt;"&amp;J28))</f>
        <v/>
      </c>
      <c r="I28" s="12" t="n">
        <f aca="false">IF(H28=1,1,0)</f>
        <v>0</v>
      </c>
      <c r="J28" s="23" t="n">
        <f aca="false">IF(F28=0,9000000000000000,G28+Cadastro!M23/100000)</f>
        <v>9000000000000000</v>
      </c>
    </row>
    <row r="29" customFormat="false" ht="15" hidden="false" customHeight="false" outlineLevel="0" collapsed="false">
      <c r="A29" s="17" t="str">
        <f aca="false">IF(Cadastro!A24="","",Cadastro!A24)</f>
        <v/>
      </c>
      <c r="B29" s="17" t="str">
        <f aca="false">IF(Cadastro!A24="","",Cadastro!B24)</f>
        <v/>
      </c>
      <c r="C29" s="17" t="str">
        <f aca="false">IF(Cadastro!A24="","",Cadastro!D24)</f>
        <v/>
      </c>
      <c r="D29" s="17" t="str">
        <f aca="false">IF(Cadastro!A24="","",Cadastro!F24)</f>
        <v/>
      </c>
      <c r="E29" s="17" t="str">
        <f aca="false">IF(Cadastro!A24="","",Cadastro!I24)</f>
        <v/>
      </c>
      <c r="F29" s="12" t="n">
        <f aca="false">IF(Cadastro!A24="",0,IF(AND(Cadastro!O24="Ativo",Cadastro!I24=$B$5,ISNUMBER(SEARCH($B$4,Cadastro!J24)),OR($B$6&lt;&gt;"S",Cadastro!E24="S"),OR($B$7&lt;&gt;"S",Cadastro!F24="S")),1,0))</f>
        <v>0</v>
      </c>
      <c r="G29" s="22" t="str">
        <f aca="false">IF(F29=0,"",IF(Cadastro!U24=0,0,Cadastro!X24))</f>
        <v/>
      </c>
      <c r="H29" s="12" t="str">
        <f aca="false">IF(F29=0,"",1+COUNTIF($J$10:$J$309,"&lt;"&amp;J29))</f>
        <v/>
      </c>
      <c r="I29" s="12" t="n">
        <f aca="false">IF(H29=1,1,0)</f>
        <v>0</v>
      </c>
      <c r="J29" s="23" t="n">
        <f aca="false">IF(F29=0,9000000000000000,G29+Cadastro!M24/100000)</f>
        <v>9000000000000000</v>
      </c>
    </row>
    <row r="30" customFormat="false" ht="15" hidden="false" customHeight="false" outlineLevel="0" collapsed="false">
      <c r="A30" s="17" t="str">
        <f aca="false">IF(Cadastro!A25="","",Cadastro!A25)</f>
        <v/>
      </c>
      <c r="B30" s="17" t="str">
        <f aca="false">IF(Cadastro!A25="","",Cadastro!B25)</f>
        <v/>
      </c>
      <c r="C30" s="17" t="str">
        <f aca="false">IF(Cadastro!A25="","",Cadastro!D25)</f>
        <v/>
      </c>
      <c r="D30" s="17" t="str">
        <f aca="false">IF(Cadastro!A25="","",Cadastro!F25)</f>
        <v/>
      </c>
      <c r="E30" s="17" t="str">
        <f aca="false">IF(Cadastro!A25="","",Cadastro!I25)</f>
        <v/>
      </c>
      <c r="F30" s="12" t="n">
        <f aca="false">IF(Cadastro!A25="",0,IF(AND(Cadastro!O25="Ativo",Cadastro!I25=$B$5,ISNUMBER(SEARCH($B$4,Cadastro!J25)),OR($B$6&lt;&gt;"S",Cadastro!E25="S"),OR($B$7&lt;&gt;"S",Cadastro!F25="S")),1,0))</f>
        <v>0</v>
      </c>
      <c r="G30" s="22" t="str">
        <f aca="false">IF(F30=0,"",IF(Cadastro!U25=0,0,Cadastro!X25))</f>
        <v/>
      </c>
      <c r="H30" s="12" t="str">
        <f aca="false">IF(F30=0,"",1+COUNTIF($J$10:$J$309,"&lt;"&amp;J30))</f>
        <v/>
      </c>
      <c r="I30" s="12" t="n">
        <f aca="false">IF(H30=1,1,0)</f>
        <v>0</v>
      </c>
      <c r="J30" s="23" t="n">
        <f aca="false">IF(F30=0,9000000000000000,G30+Cadastro!M25/100000)</f>
        <v>9000000000000000</v>
      </c>
    </row>
    <row r="31" customFormat="false" ht="15" hidden="false" customHeight="false" outlineLevel="0" collapsed="false">
      <c r="A31" s="17" t="str">
        <f aca="false">IF(Cadastro!A26="","",Cadastro!A26)</f>
        <v/>
      </c>
      <c r="B31" s="17" t="str">
        <f aca="false">IF(Cadastro!A26="","",Cadastro!B26)</f>
        <v/>
      </c>
      <c r="C31" s="17" t="str">
        <f aca="false">IF(Cadastro!A26="","",Cadastro!D26)</f>
        <v/>
      </c>
      <c r="D31" s="17" t="str">
        <f aca="false">IF(Cadastro!A26="","",Cadastro!F26)</f>
        <v/>
      </c>
      <c r="E31" s="17" t="str">
        <f aca="false">IF(Cadastro!A26="","",Cadastro!I26)</f>
        <v/>
      </c>
      <c r="F31" s="12" t="n">
        <f aca="false">IF(Cadastro!A26="",0,IF(AND(Cadastro!O26="Ativo",Cadastro!I26=$B$5,ISNUMBER(SEARCH($B$4,Cadastro!J26)),OR($B$6&lt;&gt;"S",Cadastro!E26="S"),OR($B$7&lt;&gt;"S",Cadastro!F26="S")),1,0))</f>
        <v>0</v>
      </c>
      <c r="G31" s="22" t="str">
        <f aca="false">IF(F31=0,"",IF(Cadastro!U26=0,0,Cadastro!X26))</f>
        <v/>
      </c>
      <c r="H31" s="12" t="str">
        <f aca="false">IF(F31=0,"",1+COUNTIF($J$10:$J$309,"&lt;"&amp;J31))</f>
        <v/>
      </c>
      <c r="I31" s="12" t="n">
        <f aca="false">IF(H31=1,1,0)</f>
        <v>0</v>
      </c>
      <c r="J31" s="23" t="n">
        <f aca="false">IF(F31=0,9000000000000000,G31+Cadastro!M26/100000)</f>
        <v>9000000000000000</v>
      </c>
    </row>
    <row r="32" customFormat="false" ht="15" hidden="false" customHeight="false" outlineLevel="0" collapsed="false">
      <c r="A32" s="17" t="str">
        <f aca="false">IF(Cadastro!A27="","",Cadastro!A27)</f>
        <v/>
      </c>
      <c r="B32" s="17" t="str">
        <f aca="false">IF(Cadastro!A27="","",Cadastro!B27)</f>
        <v/>
      </c>
      <c r="C32" s="17" t="str">
        <f aca="false">IF(Cadastro!A27="","",Cadastro!D27)</f>
        <v/>
      </c>
      <c r="D32" s="17" t="str">
        <f aca="false">IF(Cadastro!A27="","",Cadastro!F27)</f>
        <v/>
      </c>
      <c r="E32" s="17" t="str">
        <f aca="false">IF(Cadastro!A27="","",Cadastro!I27)</f>
        <v/>
      </c>
      <c r="F32" s="12" t="n">
        <f aca="false">IF(Cadastro!A27="",0,IF(AND(Cadastro!O27="Ativo",Cadastro!I27=$B$5,ISNUMBER(SEARCH($B$4,Cadastro!J27)),OR($B$6&lt;&gt;"S",Cadastro!E27="S"),OR($B$7&lt;&gt;"S",Cadastro!F27="S")),1,0))</f>
        <v>0</v>
      </c>
      <c r="G32" s="22" t="str">
        <f aca="false">IF(F32=0,"",IF(Cadastro!U27=0,0,Cadastro!X27))</f>
        <v/>
      </c>
      <c r="H32" s="12" t="str">
        <f aca="false">IF(F32=0,"",1+COUNTIF($J$10:$J$309,"&lt;"&amp;J32))</f>
        <v/>
      </c>
      <c r="I32" s="12" t="n">
        <f aca="false">IF(H32=1,1,0)</f>
        <v>0</v>
      </c>
      <c r="J32" s="23" t="n">
        <f aca="false">IF(F32=0,9000000000000000,G32+Cadastro!M27/100000)</f>
        <v>9000000000000000</v>
      </c>
    </row>
    <row r="33" customFormat="false" ht="15" hidden="false" customHeight="false" outlineLevel="0" collapsed="false">
      <c r="A33" s="17" t="str">
        <f aca="false">IF(Cadastro!A28="","",Cadastro!A28)</f>
        <v/>
      </c>
      <c r="B33" s="17" t="str">
        <f aca="false">IF(Cadastro!A28="","",Cadastro!B28)</f>
        <v/>
      </c>
      <c r="C33" s="17" t="str">
        <f aca="false">IF(Cadastro!A28="","",Cadastro!D28)</f>
        <v/>
      </c>
      <c r="D33" s="17" t="str">
        <f aca="false">IF(Cadastro!A28="","",Cadastro!F28)</f>
        <v/>
      </c>
      <c r="E33" s="17" t="str">
        <f aca="false">IF(Cadastro!A28="","",Cadastro!I28)</f>
        <v/>
      </c>
      <c r="F33" s="12" t="n">
        <f aca="false">IF(Cadastro!A28="",0,IF(AND(Cadastro!O28="Ativo",Cadastro!I28=$B$5,ISNUMBER(SEARCH($B$4,Cadastro!J28)),OR($B$6&lt;&gt;"S",Cadastro!E28="S"),OR($B$7&lt;&gt;"S",Cadastro!F28="S")),1,0))</f>
        <v>0</v>
      </c>
      <c r="G33" s="22" t="str">
        <f aca="false">IF(F33=0,"",IF(Cadastro!U28=0,0,Cadastro!X28))</f>
        <v/>
      </c>
      <c r="H33" s="12" t="str">
        <f aca="false">IF(F33=0,"",1+COUNTIF($J$10:$J$309,"&lt;"&amp;J33))</f>
        <v/>
      </c>
      <c r="I33" s="12" t="n">
        <f aca="false">IF(H33=1,1,0)</f>
        <v>0</v>
      </c>
      <c r="J33" s="23" t="n">
        <f aca="false">IF(F33=0,9000000000000000,G33+Cadastro!M28/100000)</f>
        <v>9000000000000000</v>
      </c>
    </row>
    <row r="34" customFormat="false" ht="15" hidden="false" customHeight="false" outlineLevel="0" collapsed="false">
      <c r="A34" s="17" t="str">
        <f aca="false">IF(Cadastro!A29="","",Cadastro!A29)</f>
        <v/>
      </c>
      <c r="B34" s="17" t="str">
        <f aca="false">IF(Cadastro!A29="","",Cadastro!B29)</f>
        <v/>
      </c>
      <c r="C34" s="17" t="str">
        <f aca="false">IF(Cadastro!A29="","",Cadastro!D29)</f>
        <v/>
      </c>
      <c r="D34" s="17" t="str">
        <f aca="false">IF(Cadastro!A29="","",Cadastro!F29)</f>
        <v/>
      </c>
      <c r="E34" s="17" t="str">
        <f aca="false">IF(Cadastro!A29="","",Cadastro!I29)</f>
        <v/>
      </c>
      <c r="F34" s="12" t="n">
        <f aca="false">IF(Cadastro!A29="",0,IF(AND(Cadastro!O29="Ativo",Cadastro!I29=$B$5,ISNUMBER(SEARCH($B$4,Cadastro!J29)),OR($B$6&lt;&gt;"S",Cadastro!E29="S"),OR($B$7&lt;&gt;"S",Cadastro!F29="S")),1,0))</f>
        <v>0</v>
      </c>
      <c r="G34" s="22" t="str">
        <f aca="false">IF(F34=0,"",IF(Cadastro!U29=0,0,Cadastro!X29))</f>
        <v/>
      </c>
      <c r="H34" s="12" t="str">
        <f aca="false">IF(F34=0,"",1+COUNTIF($J$10:$J$309,"&lt;"&amp;J34))</f>
        <v/>
      </c>
      <c r="I34" s="12" t="n">
        <f aca="false">IF(H34=1,1,0)</f>
        <v>0</v>
      </c>
      <c r="J34" s="23" t="n">
        <f aca="false">IF(F34=0,9000000000000000,G34+Cadastro!M29/100000)</f>
        <v>9000000000000000</v>
      </c>
    </row>
    <row r="35" customFormat="false" ht="15" hidden="false" customHeight="false" outlineLevel="0" collapsed="false">
      <c r="A35" s="17" t="str">
        <f aca="false">IF(Cadastro!A30="","",Cadastro!A30)</f>
        <v/>
      </c>
      <c r="B35" s="17" t="str">
        <f aca="false">IF(Cadastro!A30="","",Cadastro!B30)</f>
        <v/>
      </c>
      <c r="C35" s="17" t="str">
        <f aca="false">IF(Cadastro!A30="","",Cadastro!D30)</f>
        <v/>
      </c>
      <c r="D35" s="17" t="str">
        <f aca="false">IF(Cadastro!A30="","",Cadastro!F30)</f>
        <v/>
      </c>
      <c r="E35" s="17" t="str">
        <f aca="false">IF(Cadastro!A30="","",Cadastro!I30)</f>
        <v/>
      </c>
      <c r="F35" s="12" t="n">
        <f aca="false">IF(Cadastro!A30="",0,IF(AND(Cadastro!O30="Ativo",Cadastro!I30=$B$5,ISNUMBER(SEARCH($B$4,Cadastro!J30)),OR($B$6&lt;&gt;"S",Cadastro!E30="S"),OR($B$7&lt;&gt;"S",Cadastro!F30="S")),1,0))</f>
        <v>0</v>
      </c>
      <c r="G35" s="22" t="str">
        <f aca="false">IF(F35=0,"",IF(Cadastro!U30=0,0,Cadastro!X30))</f>
        <v/>
      </c>
      <c r="H35" s="12" t="str">
        <f aca="false">IF(F35=0,"",1+COUNTIF($J$10:$J$309,"&lt;"&amp;J35))</f>
        <v/>
      </c>
      <c r="I35" s="12" t="n">
        <f aca="false">IF(H35=1,1,0)</f>
        <v>0</v>
      </c>
      <c r="J35" s="23" t="n">
        <f aca="false">IF(F35=0,9000000000000000,G35+Cadastro!M30/100000)</f>
        <v>9000000000000000</v>
      </c>
    </row>
    <row r="36" customFormat="false" ht="15" hidden="false" customHeight="false" outlineLevel="0" collapsed="false">
      <c r="A36" s="17" t="str">
        <f aca="false">IF(Cadastro!A31="","",Cadastro!A31)</f>
        <v/>
      </c>
      <c r="B36" s="17" t="str">
        <f aca="false">IF(Cadastro!A31="","",Cadastro!B31)</f>
        <v/>
      </c>
      <c r="C36" s="17" t="str">
        <f aca="false">IF(Cadastro!A31="","",Cadastro!D31)</f>
        <v/>
      </c>
      <c r="D36" s="17" t="str">
        <f aca="false">IF(Cadastro!A31="","",Cadastro!F31)</f>
        <v/>
      </c>
      <c r="E36" s="17" t="str">
        <f aca="false">IF(Cadastro!A31="","",Cadastro!I31)</f>
        <v/>
      </c>
      <c r="F36" s="12" t="n">
        <f aca="false">IF(Cadastro!A31="",0,IF(AND(Cadastro!O31="Ativo",Cadastro!I31=$B$5,ISNUMBER(SEARCH($B$4,Cadastro!J31)),OR($B$6&lt;&gt;"S",Cadastro!E31="S"),OR($B$7&lt;&gt;"S",Cadastro!F31="S")),1,0))</f>
        <v>0</v>
      </c>
      <c r="G36" s="22" t="str">
        <f aca="false">IF(F36=0,"",IF(Cadastro!U31=0,0,Cadastro!X31))</f>
        <v/>
      </c>
      <c r="H36" s="12" t="str">
        <f aca="false">IF(F36=0,"",1+COUNTIF($J$10:$J$309,"&lt;"&amp;J36))</f>
        <v/>
      </c>
      <c r="I36" s="12" t="n">
        <f aca="false">IF(H36=1,1,0)</f>
        <v>0</v>
      </c>
      <c r="J36" s="23" t="n">
        <f aca="false">IF(F36=0,9000000000000000,G36+Cadastro!M31/100000)</f>
        <v>9000000000000000</v>
      </c>
    </row>
    <row r="37" customFormat="false" ht="15" hidden="false" customHeight="false" outlineLevel="0" collapsed="false">
      <c r="A37" s="17" t="str">
        <f aca="false">IF(Cadastro!A32="","",Cadastro!A32)</f>
        <v/>
      </c>
      <c r="B37" s="17" t="str">
        <f aca="false">IF(Cadastro!A32="","",Cadastro!B32)</f>
        <v/>
      </c>
      <c r="C37" s="17" t="str">
        <f aca="false">IF(Cadastro!A32="","",Cadastro!D32)</f>
        <v/>
      </c>
      <c r="D37" s="17" t="str">
        <f aca="false">IF(Cadastro!A32="","",Cadastro!F32)</f>
        <v/>
      </c>
      <c r="E37" s="17" t="str">
        <f aca="false">IF(Cadastro!A32="","",Cadastro!I32)</f>
        <v/>
      </c>
      <c r="F37" s="12" t="n">
        <f aca="false">IF(Cadastro!A32="",0,IF(AND(Cadastro!O32="Ativo",Cadastro!I32=$B$5,ISNUMBER(SEARCH($B$4,Cadastro!J32)),OR($B$6&lt;&gt;"S",Cadastro!E32="S"),OR($B$7&lt;&gt;"S",Cadastro!F32="S")),1,0))</f>
        <v>0</v>
      </c>
      <c r="G37" s="22" t="str">
        <f aca="false">IF(F37=0,"",IF(Cadastro!U32=0,0,Cadastro!X32))</f>
        <v/>
      </c>
      <c r="H37" s="12" t="str">
        <f aca="false">IF(F37=0,"",1+COUNTIF($J$10:$J$309,"&lt;"&amp;J37))</f>
        <v/>
      </c>
      <c r="I37" s="12" t="n">
        <f aca="false">IF(H37=1,1,0)</f>
        <v>0</v>
      </c>
      <c r="J37" s="23" t="n">
        <f aca="false">IF(F37=0,9000000000000000,G37+Cadastro!M32/100000)</f>
        <v>9000000000000000</v>
      </c>
    </row>
    <row r="38" customFormat="false" ht="15" hidden="false" customHeight="false" outlineLevel="0" collapsed="false">
      <c r="A38" s="17" t="str">
        <f aca="false">IF(Cadastro!A33="","",Cadastro!A33)</f>
        <v/>
      </c>
      <c r="B38" s="17" t="str">
        <f aca="false">IF(Cadastro!A33="","",Cadastro!B33)</f>
        <v/>
      </c>
      <c r="C38" s="17" t="str">
        <f aca="false">IF(Cadastro!A33="","",Cadastro!D33)</f>
        <v/>
      </c>
      <c r="D38" s="17" t="str">
        <f aca="false">IF(Cadastro!A33="","",Cadastro!F33)</f>
        <v/>
      </c>
      <c r="E38" s="17" t="str">
        <f aca="false">IF(Cadastro!A33="","",Cadastro!I33)</f>
        <v/>
      </c>
      <c r="F38" s="12" t="n">
        <f aca="false">IF(Cadastro!A33="",0,IF(AND(Cadastro!O33="Ativo",Cadastro!I33=$B$5,ISNUMBER(SEARCH($B$4,Cadastro!J33)),OR($B$6&lt;&gt;"S",Cadastro!E33="S"),OR($B$7&lt;&gt;"S",Cadastro!F33="S")),1,0))</f>
        <v>0</v>
      </c>
      <c r="G38" s="22" t="str">
        <f aca="false">IF(F38=0,"",IF(Cadastro!U33=0,0,Cadastro!X33))</f>
        <v/>
      </c>
      <c r="H38" s="12" t="str">
        <f aca="false">IF(F38=0,"",1+COUNTIF($J$10:$J$309,"&lt;"&amp;J38))</f>
        <v/>
      </c>
      <c r="I38" s="12" t="n">
        <f aca="false">IF(H38=1,1,0)</f>
        <v>0</v>
      </c>
      <c r="J38" s="23" t="n">
        <f aca="false">IF(F38=0,9000000000000000,G38+Cadastro!M33/100000)</f>
        <v>9000000000000000</v>
      </c>
    </row>
    <row r="39" customFormat="false" ht="15" hidden="false" customHeight="false" outlineLevel="0" collapsed="false">
      <c r="A39" s="17" t="str">
        <f aca="false">IF(Cadastro!A34="","",Cadastro!A34)</f>
        <v/>
      </c>
      <c r="B39" s="17" t="str">
        <f aca="false">IF(Cadastro!A34="","",Cadastro!B34)</f>
        <v/>
      </c>
      <c r="C39" s="17" t="str">
        <f aca="false">IF(Cadastro!A34="","",Cadastro!D34)</f>
        <v/>
      </c>
      <c r="D39" s="17" t="str">
        <f aca="false">IF(Cadastro!A34="","",Cadastro!F34)</f>
        <v/>
      </c>
      <c r="E39" s="17" t="str">
        <f aca="false">IF(Cadastro!A34="","",Cadastro!I34)</f>
        <v/>
      </c>
      <c r="F39" s="12" t="n">
        <f aca="false">IF(Cadastro!A34="",0,IF(AND(Cadastro!O34="Ativo",Cadastro!I34=$B$5,ISNUMBER(SEARCH($B$4,Cadastro!J34)),OR($B$6&lt;&gt;"S",Cadastro!E34="S"),OR($B$7&lt;&gt;"S",Cadastro!F34="S")),1,0))</f>
        <v>0</v>
      </c>
      <c r="G39" s="22" t="str">
        <f aca="false">IF(F39=0,"",IF(Cadastro!U34=0,0,Cadastro!X34))</f>
        <v/>
      </c>
      <c r="H39" s="12" t="str">
        <f aca="false">IF(F39=0,"",1+COUNTIF($J$10:$J$309,"&lt;"&amp;J39))</f>
        <v/>
      </c>
      <c r="I39" s="12" t="n">
        <f aca="false">IF(H39=1,1,0)</f>
        <v>0</v>
      </c>
      <c r="J39" s="23" t="n">
        <f aca="false">IF(F39=0,9000000000000000,G39+Cadastro!M34/100000)</f>
        <v>9000000000000000</v>
      </c>
    </row>
    <row r="40" customFormat="false" ht="15" hidden="false" customHeight="false" outlineLevel="0" collapsed="false">
      <c r="A40" s="17" t="str">
        <f aca="false">IF(Cadastro!A35="","",Cadastro!A35)</f>
        <v/>
      </c>
      <c r="B40" s="17" t="str">
        <f aca="false">IF(Cadastro!A35="","",Cadastro!B35)</f>
        <v/>
      </c>
      <c r="C40" s="17" t="str">
        <f aca="false">IF(Cadastro!A35="","",Cadastro!D35)</f>
        <v/>
      </c>
      <c r="D40" s="17" t="str">
        <f aca="false">IF(Cadastro!A35="","",Cadastro!F35)</f>
        <v/>
      </c>
      <c r="E40" s="17" t="str">
        <f aca="false">IF(Cadastro!A35="","",Cadastro!I35)</f>
        <v/>
      </c>
      <c r="F40" s="12" t="n">
        <f aca="false">IF(Cadastro!A35="",0,IF(AND(Cadastro!O35="Ativo",Cadastro!I35=$B$5,ISNUMBER(SEARCH($B$4,Cadastro!J35)),OR($B$6&lt;&gt;"S",Cadastro!E35="S"),OR($B$7&lt;&gt;"S",Cadastro!F35="S")),1,0))</f>
        <v>0</v>
      </c>
      <c r="G40" s="22" t="str">
        <f aca="false">IF(F40=0,"",IF(Cadastro!U35=0,0,Cadastro!X35))</f>
        <v/>
      </c>
      <c r="H40" s="12" t="str">
        <f aca="false">IF(F40=0,"",1+COUNTIF($J$10:$J$309,"&lt;"&amp;J40))</f>
        <v/>
      </c>
      <c r="I40" s="12" t="n">
        <f aca="false">IF(H40=1,1,0)</f>
        <v>0</v>
      </c>
      <c r="J40" s="23" t="n">
        <f aca="false">IF(F40=0,9000000000000000,G40+Cadastro!M35/100000)</f>
        <v>9000000000000000</v>
      </c>
    </row>
    <row r="41" customFormat="false" ht="15" hidden="false" customHeight="false" outlineLevel="0" collapsed="false">
      <c r="A41" s="17" t="str">
        <f aca="false">IF(Cadastro!A36="","",Cadastro!A36)</f>
        <v/>
      </c>
      <c r="B41" s="17" t="str">
        <f aca="false">IF(Cadastro!A36="","",Cadastro!B36)</f>
        <v/>
      </c>
      <c r="C41" s="17" t="str">
        <f aca="false">IF(Cadastro!A36="","",Cadastro!D36)</f>
        <v/>
      </c>
      <c r="D41" s="17" t="str">
        <f aca="false">IF(Cadastro!A36="","",Cadastro!F36)</f>
        <v/>
      </c>
      <c r="E41" s="17" t="str">
        <f aca="false">IF(Cadastro!A36="","",Cadastro!I36)</f>
        <v/>
      </c>
      <c r="F41" s="12" t="n">
        <f aca="false">IF(Cadastro!A36="",0,IF(AND(Cadastro!O36="Ativo",Cadastro!I36=$B$5,ISNUMBER(SEARCH($B$4,Cadastro!J36)),OR($B$6&lt;&gt;"S",Cadastro!E36="S"),OR($B$7&lt;&gt;"S",Cadastro!F36="S")),1,0))</f>
        <v>0</v>
      </c>
      <c r="G41" s="22" t="str">
        <f aca="false">IF(F41=0,"",IF(Cadastro!U36=0,0,Cadastro!X36))</f>
        <v/>
      </c>
      <c r="H41" s="12" t="str">
        <f aca="false">IF(F41=0,"",1+COUNTIF($J$10:$J$309,"&lt;"&amp;J41))</f>
        <v/>
      </c>
      <c r="I41" s="12" t="n">
        <f aca="false">IF(H41=1,1,0)</f>
        <v>0</v>
      </c>
      <c r="J41" s="23" t="n">
        <f aca="false">IF(F41=0,9000000000000000,G41+Cadastro!M36/100000)</f>
        <v>9000000000000000</v>
      </c>
    </row>
    <row r="42" customFormat="false" ht="15" hidden="false" customHeight="false" outlineLevel="0" collapsed="false">
      <c r="A42" s="17" t="str">
        <f aca="false">IF(Cadastro!A37="","",Cadastro!A37)</f>
        <v/>
      </c>
      <c r="B42" s="17" t="str">
        <f aca="false">IF(Cadastro!A37="","",Cadastro!B37)</f>
        <v/>
      </c>
      <c r="C42" s="17" t="str">
        <f aca="false">IF(Cadastro!A37="","",Cadastro!D37)</f>
        <v/>
      </c>
      <c r="D42" s="17" t="str">
        <f aca="false">IF(Cadastro!A37="","",Cadastro!F37)</f>
        <v/>
      </c>
      <c r="E42" s="17" t="str">
        <f aca="false">IF(Cadastro!A37="","",Cadastro!I37)</f>
        <v/>
      </c>
      <c r="F42" s="12" t="n">
        <f aca="false">IF(Cadastro!A37="",0,IF(AND(Cadastro!O37="Ativo",Cadastro!I37=$B$5,ISNUMBER(SEARCH($B$4,Cadastro!J37)),OR($B$6&lt;&gt;"S",Cadastro!E37="S"),OR($B$7&lt;&gt;"S",Cadastro!F37="S")),1,0))</f>
        <v>0</v>
      </c>
      <c r="G42" s="22" t="str">
        <f aca="false">IF(F42=0,"",IF(Cadastro!U37=0,0,Cadastro!X37))</f>
        <v/>
      </c>
      <c r="H42" s="12" t="str">
        <f aca="false">IF(F42=0,"",1+COUNTIF($J$10:$J$309,"&lt;"&amp;J42))</f>
        <v/>
      </c>
      <c r="I42" s="12" t="n">
        <f aca="false">IF(H42=1,1,0)</f>
        <v>0</v>
      </c>
      <c r="J42" s="23" t="n">
        <f aca="false">IF(F42=0,9000000000000000,G42+Cadastro!M37/100000)</f>
        <v>9000000000000000</v>
      </c>
    </row>
    <row r="43" customFormat="false" ht="15" hidden="false" customHeight="false" outlineLevel="0" collapsed="false">
      <c r="A43" s="17" t="str">
        <f aca="false">IF(Cadastro!A38="","",Cadastro!A38)</f>
        <v/>
      </c>
      <c r="B43" s="17" t="str">
        <f aca="false">IF(Cadastro!A38="","",Cadastro!B38)</f>
        <v/>
      </c>
      <c r="C43" s="17" t="str">
        <f aca="false">IF(Cadastro!A38="","",Cadastro!D38)</f>
        <v/>
      </c>
      <c r="D43" s="17" t="str">
        <f aca="false">IF(Cadastro!A38="","",Cadastro!F38)</f>
        <v/>
      </c>
      <c r="E43" s="17" t="str">
        <f aca="false">IF(Cadastro!A38="","",Cadastro!I38)</f>
        <v/>
      </c>
      <c r="F43" s="12" t="n">
        <f aca="false">IF(Cadastro!A38="",0,IF(AND(Cadastro!O38="Ativo",Cadastro!I38=$B$5,ISNUMBER(SEARCH($B$4,Cadastro!J38)),OR($B$6&lt;&gt;"S",Cadastro!E38="S"),OR($B$7&lt;&gt;"S",Cadastro!F38="S")),1,0))</f>
        <v>0</v>
      </c>
      <c r="G43" s="22" t="str">
        <f aca="false">IF(F43=0,"",IF(Cadastro!U38=0,0,Cadastro!X38))</f>
        <v/>
      </c>
      <c r="H43" s="12" t="str">
        <f aca="false">IF(F43=0,"",1+COUNTIF($J$10:$J$309,"&lt;"&amp;J43))</f>
        <v/>
      </c>
      <c r="I43" s="12" t="n">
        <f aca="false">IF(H43=1,1,0)</f>
        <v>0</v>
      </c>
      <c r="J43" s="23" t="n">
        <f aca="false">IF(F43=0,9000000000000000,G43+Cadastro!M38/100000)</f>
        <v>9000000000000000</v>
      </c>
    </row>
    <row r="44" customFormat="false" ht="15" hidden="false" customHeight="false" outlineLevel="0" collapsed="false">
      <c r="A44" s="17" t="str">
        <f aca="false">IF(Cadastro!A39="","",Cadastro!A39)</f>
        <v/>
      </c>
      <c r="B44" s="17" t="str">
        <f aca="false">IF(Cadastro!A39="","",Cadastro!B39)</f>
        <v/>
      </c>
      <c r="C44" s="17" t="str">
        <f aca="false">IF(Cadastro!A39="","",Cadastro!D39)</f>
        <v/>
      </c>
      <c r="D44" s="17" t="str">
        <f aca="false">IF(Cadastro!A39="","",Cadastro!F39)</f>
        <v/>
      </c>
      <c r="E44" s="17" t="str">
        <f aca="false">IF(Cadastro!A39="","",Cadastro!I39)</f>
        <v/>
      </c>
      <c r="F44" s="12" t="n">
        <f aca="false">IF(Cadastro!A39="",0,IF(AND(Cadastro!O39="Ativo",Cadastro!I39=$B$5,ISNUMBER(SEARCH($B$4,Cadastro!J39)),OR($B$6&lt;&gt;"S",Cadastro!E39="S"),OR($B$7&lt;&gt;"S",Cadastro!F39="S")),1,0))</f>
        <v>0</v>
      </c>
      <c r="G44" s="22" t="str">
        <f aca="false">IF(F44=0,"",IF(Cadastro!U39=0,0,Cadastro!X39))</f>
        <v/>
      </c>
      <c r="H44" s="12" t="str">
        <f aca="false">IF(F44=0,"",1+COUNTIF($J$10:$J$309,"&lt;"&amp;J44))</f>
        <v/>
      </c>
      <c r="I44" s="12" t="n">
        <f aca="false">IF(H44=1,1,0)</f>
        <v>0</v>
      </c>
      <c r="J44" s="23" t="n">
        <f aca="false">IF(F44=0,9000000000000000,G44+Cadastro!M39/100000)</f>
        <v>9000000000000000</v>
      </c>
    </row>
    <row r="45" customFormat="false" ht="15" hidden="false" customHeight="false" outlineLevel="0" collapsed="false">
      <c r="A45" s="17" t="str">
        <f aca="false">IF(Cadastro!A40="","",Cadastro!A40)</f>
        <v/>
      </c>
      <c r="B45" s="17" t="str">
        <f aca="false">IF(Cadastro!A40="","",Cadastro!B40)</f>
        <v/>
      </c>
      <c r="C45" s="17" t="str">
        <f aca="false">IF(Cadastro!A40="","",Cadastro!D40)</f>
        <v/>
      </c>
      <c r="D45" s="17" t="str">
        <f aca="false">IF(Cadastro!A40="","",Cadastro!F40)</f>
        <v/>
      </c>
      <c r="E45" s="17" t="str">
        <f aca="false">IF(Cadastro!A40="","",Cadastro!I40)</f>
        <v/>
      </c>
      <c r="F45" s="12" t="n">
        <f aca="false">IF(Cadastro!A40="",0,IF(AND(Cadastro!O40="Ativo",Cadastro!I40=$B$5,ISNUMBER(SEARCH($B$4,Cadastro!J40)),OR($B$6&lt;&gt;"S",Cadastro!E40="S"),OR($B$7&lt;&gt;"S",Cadastro!F40="S")),1,0))</f>
        <v>0</v>
      </c>
      <c r="G45" s="22" t="str">
        <f aca="false">IF(F45=0,"",IF(Cadastro!U40=0,0,Cadastro!X40))</f>
        <v/>
      </c>
      <c r="H45" s="12" t="str">
        <f aca="false">IF(F45=0,"",1+COUNTIF($J$10:$J$309,"&lt;"&amp;J45))</f>
        <v/>
      </c>
      <c r="I45" s="12" t="n">
        <f aca="false">IF(H45=1,1,0)</f>
        <v>0</v>
      </c>
      <c r="J45" s="23" t="n">
        <f aca="false">IF(F45=0,9000000000000000,G45+Cadastro!M40/100000)</f>
        <v>9000000000000000</v>
      </c>
    </row>
    <row r="46" customFormat="false" ht="15" hidden="false" customHeight="false" outlineLevel="0" collapsed="false">
      <c r="A46" s="17" t="str">
        <f aca="false">IF(Cadastro!A41="","",Cadastro!A41)</f>
        <v/>
      </c>
      <c r="B46" s="17" t="str">
        <f aca="false">IF(Cadastro!A41="","",Cadastro!B41)</f>
        <v/>
      </c>
      <c r="C46" s="17" t="str">
        <f aca="false">IF(Cadastro!A41="","",Cadastro!D41)</f>
        <v/>
      </c>
      <c r="D46" s="17" t="str">
        <f aca="false">IF(Cadastro!A41="","",Cadastro!F41)</f>
        <v/>
      </c>
      <c r="E46" s="17" t="str">
        <f aca="false">IF(Cadastro!A41="","",Cadastro!I41)</f>
        <v/>
      </c>
      <c r="F46" s="12" t="n">
        <f aca="false">IF(Cadastro!A41="",0,IF(AND(Cadastro!O41="Ativo",Cadastro!I41=$B$5,ISNUMBER(SEARCH($B$4,Cadastro!J41)),OR($B$6&lt;&gt;"S",Cadastro!E41="S"),OR($B$7&lt;&gt;"S",Cadastro!F41="S")),1,0))</f>
        <v>0</v>
      </c>
      <c r="G46" s="22" t="str">
        <f aca="false">IF(F46=0,"",IF(Cadastro!U41=0,0,Cadastro!X41))</f>
        <v/>
      </c>
      <c r="H46" s="12" t="str">
        <f aca="false">IF(F46=0,"",1+COUNTIF($J$10:$J$309,"&lt;"&amp;J46))</f>
        <v/>
      </c>
      <c r="I46" s="12" t="n">
        <f aca="false">IF(H46=1,1,0)</f>
        <v>0</v>
      </c>
      <c r="J46" s="23" t="n">
        <f aca="false">IF(F46=0,9000000000000000,G46+Cadastro!M41/100000)</f>
        <v>9000000000000000</v>
      </c>
    </row>
    <row r="47" customFormat="false" ht="15" hidden="false" customHeight="false" outlineLevel="0" collapsed="false">
      <c r="A47" s="17" t="str">
        <f aca="false">IF(Cadastro!A42="","",Cadastro!A42)</f>
        <v/>
      </c>
      <c r="B47" s="17" t="str">
        <f aca="false">IF(Cadastro!A42="","",Cadastro!B42)</f>
        <v/>
      </c>
      <c r="C47" s="17" t="str">
        <f aca="false">IF(Cadastro!A42="","",Cadastro!D42)</f>
        <v/>
      </c>
      <c r="D47" s="17" t="str">
        <f aca="false">IF(Cadastro!A42="","",Cadastro!F42)</f>
        <v/>
      </c>
      <c r="E47" s="17" t="str">
        <f aca="false">IF(Cadastro!A42="","",Cadastro!I42)</f>
        <v/>
      </c>
      <c r="F47" s="12" t="n">
        <f aca="false">IF(Cadastro!A42="",0,IF(AND(Cadastro!O42="Ativo",Cadastro!I42=$B$5,ISNUMBER(SEARCH($B$4,Cadastro!J42)),OR($B$6&lt;&gt;"S",Cadastro!E42="S"),OR($B$7&lt;&gt;"S",Cadastro!F42="S")),1,0))</f>
        <v>0</v>
      </c>
      <c r="G47" s="22" t="str">
        <f aca="false">IF(F47=0,"",IF(Cadastro!U42=0,0,Cadastro!X42))</f>
        <v/>
      </c>
      <c r="H47" s="12" t="str">
        <f aca="false">IF(F47=0,"",1+COUNTIF($J$10:$J$309,"&lt;"&amp;J47))</f>
        <v/>
      </c>
      <c r="I47" s="12" t="n">
        <f aca="false">IF(H47=1,1,0)</f>
        <v>0</v>
      </c>
      <c r="J47" s="23" t="n">
        <f aca="false">IF(F47=0,9000000000000000,G47+Cadastro!M42/100000)</f>
        <v>9000000000000000</v>
      </c>
    </row>
    <row r="48" customFormat="false" ht="15" hidden="false" customHeight="false" outlineLevel="0" collapsed="false">
      <c r="A48" s="17" t="str">
        <f aca="false">IF(Cadastro!A43="","",Cadastro!A43)</f>
        <v/>
      </c>
      <c r="B48" s="17" t="str">
        <f aca="false">IF(Cadastro!A43="","",Cadastro!B43)</f>
        <v/>
      </c>
      <c r="C48" s="17" t="str">
        <f aca="false">IF(Cadastro!A43="","",Cadastro!D43)</f>
        <v/>
      </c>
      <c r="D48" s="17" t="str">
        <f aca="false">IF(Cadastro!A43="","",Cadastro!F43)</f>
        <v/>
      </c>
      <c r="E48" s="17" t="str">
        <f aca="false">IF(Cadastro!A43="","",Cadastro!I43)</f>
        <v/>
      </c>
      <c r="F48" s="12" t="n">
        <f aca="false">IF(Cadastro!A43="",0,IF(AND(Cadastro!O43="Ativo",Cadastro!I43=$B$5,ISNUMBER(SEARCH($B$4,Cadastro!J43)),OR($B$6&lt;&gt;"S",Cadastro!E43="S"),OR($B$7&lt;&gt;"S",Cadastro!F43="S")),1,0))</f>
        <v>0</v>
      </c>
      <c r="G48" s="22" t="str">
        <f aca="false">IF(F48=0,"",IF(Cadastro!U43=0,0,Cadastro!X43))</f>
        <v/>
      </c>
      <c r="H48" s="12" t="str">
        <f aca="false">IF(F48=0,"",1+COUNTIF($J$10:$J$309,"&lt;"&amp;J48))</f>
        <v/>
      </c>
      <c r="I48" s="12" t="n">
        <f aca="false">IF(H48=1,1,0)</f>
        <v>0</v>
      </c>
      <c r="J48" s="23" t="n">
        <f aca="false">IF(F48=0,9000000000000000,G48+Cadastro!M43/100000)</f>
        <v>9000000000000000</v>
      </c>
    </row>
    <row r="49" customFormat="false" ht="15" hidden="false" customHeight="false" outlineLevel="0" collapsed="false">
      <c r="A49" s="17" t="str">
        <f aca="false">IF(Cadastro!A44="","",Cadastro!A44)</f>
        <v/>
      </c>
      <c r="B49" s="17" t="str">
        <f aca="false">IF(Cadastro!A44="","",Cadastro!B44)</f>
        <v/>
      </c>
      <c r="C49" s="17" t="str">
        <f aca="false">IF(Cadastro!A44="","",Cadastro!D44)</f>
        <v/>
      </c>
      <c r="D49" s="17" t="str">
        <f aca="false">IF(Cadastro!A44="","",Cadastro!F44)</f>
        <v/>
      </c>
      <c r="E49" s="17" t="str">
        <f aca="false">IF(Cadastro!A44="","",Cadastro!I44)</f>
        <v/>
      </c>
      <c r="F49" s="12" t="n">
        <f aca="false">IF(Cadastro!A44="",0,IF(AND(Cadastro!O44="Ativo",Cadastro!I44=$B$5,ISNUMBER(SEARCH($B$4,Cadastro!J44)),OR($B$6&lt;&gt;"S",Cadastro!E44="S"),OR($B$7&lt;&gt;"S",Cadastro!F44="S")),1,0))</f>
        <v>0</v>
      </c>
      <c r="G49" s="22" t="str">
        <f aca="false">IF(F49=0,"",IF(Cadastro!U44=0,0,Cadastro!X44))</f>
        <v/>
      </c>
      <c r="H49" s="12" t="str">
        <f aca="false">IF(F49=0,"",1+COUNTIF($J$10:$J$309,"&lt;"&amp;J49))</f>
        <v/>
      </c>
      <c r="I49" s="12" t="n">
        <f aca="false">IF(H49=1,1,0)</f>
        <v>0</v>
      </c>
      <c r="J49" s="23" t="n">
        <f aca="false">IF(F49=0,9000000000000000,G49+Cadastro!M44/100000)</f>
        <v>9000000000000000</v>
      </c>
    </row>
    <row r="50" customFormat="false" ht="15" hidden="false" customHeight="false" outlineLevel="0" collapsed="false">
      <c r="A50" s="17" t="str">
        <f aca="false">IF(Cadastro!A45="","",Cadastro!A45)</f>
        <v/>
      </c>
      <c r="B50" s="17" t="str">
        <f aca="false">IF(Cadastro!A45="","",Cadastro!B45)</f>
        <v/>
      </c>
      <c r="C50" s="17" t="str">
        <f aca="false">IF(Cadastro!A45="","",Cadastro!D45)</f>
        <v/>
      </c>
      <c r="D50" s="17" t="str">
        <f aca="false">IF(Cadastro!A45="","",Cadastro!F45)</f>
        <v/>
      </c>
      <c r="E50" s="17" t="str">
        <f aca="false">IF(Cadastro!A45="","",Cadastro!I45)</f>
        <v/>
      </c>
      <c r="F50" s="12" t="n">
        <f aca="false">IF(Cadastro!A45="",0,IF(AND(Cadastro!O45="Ativo",Cadastro!I45=$B$5,ISNUMBER(SEARCH($B$4,Cadastro!J45)),OR($B$6&lt;&gt;"S",Cadastro!E45="S"),OR($B$7&lt;&gt;"S",Cadastro!F45="S")),1,0))</f>
        <v>0</v>
      </c>
      <c r="G50" s="22" t="str">
        <f aca="false">IF(F50=0,"",IF(Cadastro!U45=0,0,Cadastro!X45))</f>
        <v/>
      </c>
      <c r="H50" s="12" t="str">
        <f aca="false">IF(F50=0,"",1+COUNTIF($J$10:$J$309,"&lt;"&amp;J50))</f>
        <v/>
      </c>
      <c r="I50" s="12" t="n">
        <f aca="false">IF(H50=1,1,0)</f>
        <v>0</v>
      </c>
      <c r="J50" s="23" t="n">
        <f aca="false">IF(F50=0,9000000000000000,G50+Cadastro!M45/100000)</f>
        <v>9000000000000000</v>
      </c>
    </row>
    <row r="51" customFormat="false" ht="15" hidden="false" customHeight="false" outlineLevel="0" collapsed="false">
      <c r="A51" s="17" t="str">
        <f aca="false">IF(Cadastro!A46="","",Cadastro!A46)</f>
        <v/>
      </c>
      <c r="B51" s="17" t="str">
        <f aca="false">IF(Cadastro!A46="","",Cadastro!B46)</f>
        <v/>
      </c>
      <c r="C51" s="17" t="str">
        <f aca="false">IF(Cadastro!A46="","",Cadastro!D46)</f>
        <v/>
      </c>
      <c r="D51" s="17" t="str">
        <f aca="false">IF(Cadastro!A46="","",Cadastro!F46)</f>
        <v/>
      </c>
      <c r="E51" s="17" t="str">
        <f aca="false">IF(Cadastro!A46="","",Cadastro!I46)</f>
        <v/>
      </c>
      <c r="F51" s="12" t="n">
        <f aca="false">IF(Cadastro!A46="",0,IF(AND(Cadastro!O46="Ativo",Cadastro!I46=$B$5,ISNUMBER(SEARCH($B$4,Cadastro!J46)),OR($B$6&lt;&gt;"S",Cadastro!E46="S"),OR($B$7&lt;&gt;"S",Cadastro!F46="S")),1,0))</f>
        <v>0</v>
      </c>
      <c r="G51" s="22" t="str">
        <f aca="false">IF(F51=0,"",IF(Cadastro!U46=0,0,Cadastro!X46))</f>
        <v/>
      </c>
      <c r="H51" s="12" t="str">
        <f aca="false">IF(F51=0,"",1+COUNTIF($J$10:$J$309,"&lt;"&amp;J51))</f>
        <v/>
      </c>
      <c r="I51" s="12" t="n">
        <f aca="false">IF(H51=1,1,0)</f>
        <v>0</v>
      </c>
      <c r="J51" s="23" t="n">
        <f aca="false">IF(F51=0,9000000000000000,G51+Cadastro!M46/100000)</f>
        <v>9000000000000000</v>
      </c>
    </row>
    <row r="52" customFormat="false" ht="15" hidden="false" customHeight="false" outlineLevel="0" collapsed="false">
      <c r="A52" s="17" t="str">
        <f aca="false">IF(Cadastro!A47="","",Cadastro!A47)</f>
        <v/>
      </c>
      <c r="B52" s="17" t="str">
        <f aca="false">IF(Cadastro!A47="","",Cadastro!B47)</f>
        <v/>
      </c>
      <c r="C52" s="17" t="str">
        <f aca="false">IF(Cadastro!A47="","",Cadastro!D47)</f>
        <v/>
      </c>
      <c r="D52" s="17" t="str">
        <f aca="false">IF(Cadastro!A47="","",Cadastro!F47)</f>
        <v/>
      </c>
      <c r="E52" s="17" t="str">
        <f aca="false">IF(Cadastro!A47="","",Cadastro!I47)</f>
        <v/>
      </c>
      <c r="F52" s="12" t="n">
        <f aca="false">IF(Cadastro!A47="",0,IF(AND(Cadastro!O47="Ativo",Cadastro!I47=$B$5,ISNUMBER(SEARCH($B$4,Cadastro!J47)),OR($B$6&lt;&gt;"S",Cadastro!E47="S"),OR($B$7&lt;&gt;"S",Cadastro!F47="S")),1,0))</f>
        <v>0</v>
      </c>
      <c r="G52" s="22" t="str">
        <f aca="false">IF(F52=0,"",IF(Cadastro!U47=0,0,Cadastro!X47))</f>
        <v/>
      </c>
      <c r="H52" s="12" t="str">
        <f aca="false">IF(F52=0,"",1+COUNTIF($J$10:$J$309,"&lt;"&amp;J52))</f>
        <v/>
      </c>
      <c r="I52" s="12" t="n">
        <f aca="false">IF(H52=1,1,0)</f>
        <v>0</v>
      </c>
      <c r="J52" s="23" t="n">
        <f aca="false">IF(F52=0,9000000000000000,G52+Cadastro!M47/100000)</f>
        <v>9000000000000000</v>
      </c>
    </row>
    <row r="53" customFormat="false" ht="15" hidden="false" customHeight="false" outlineLevel="0" collapsed="false">
      <c r="A53" s="17" t="str">
        <f aca="false">IF(Cadastro!A48="","",Cadastro!A48)</f>
        <v/>
      </c>
      <c r="B53" s="17" t="str">
        <f aca="false">IF(Cadastro!A48="","",Cadastro!B48)</f>
        <v/>
      </c>
      <c r="C53" s="17" t="str">
        <f aca="false">IF(Cadastro!A48="","",Cadastro!D48)</f>
        <v/>
      </c>
      <c r="D53" s="17" t="str">
        <f aca="false">IF(Cadastro!A48="","",Cadastro!F48)</f>
        <v/>
      </c>
      <c r="E53" s="17" t="str">
        <f aca="false">IF(Cadastro!A48="","",Cadastro!I48)</f>
        <v/>
      </c>
      <c r="F53" s="12" t="n">
        <f aca="false">IF(Cadastro!A48="",0,IF(AND(Cadastro!O48="Ativo",Cadastro!I48=$B$5,ISNUMBER(SEARCH($B$4,Cadastro!J48)),OR($B$6&lt;&gt;"S",Cadastro!E48="S"),OR($B$7&lt;&gt;"S",Cadastro!F48="S")),1,0))</f>
        <v>0</v>
      </c>
      <c r="G53" s="22" t="str">
        <f aca="false">IF(F53=0,"",IF(Cadastro!U48=0,0,Cadastro!X48))</f>
        <v/>
      </c>
      <c r="H53" s="12" t="str">
        <f aca="false">IF(F53=0,"",1+COUNTIF($J$10:$J$309,"&lt;"&amp;J53))</f>
        <v/>
      </c>
      <c r="I53" s="12" t="n">
        <f aca="false">IF(H53=1,1,0)</f>
        <v>0</v>
      </c>
      <c r="J53" s="23" t="n">
        <f aca="false">IF(F53=0,9000000000000000,G53+Cadastro!M48/100000)</f>
        <v>9000000000000000</v>
      </c>
    </row>
    <row r="54" customFormat="false" ht="15" hidden="false" customHeight="false" outlineLevel="0" collapsed="false">
      <c r="A54" s="17" t="str">
        <f aca="false">IF(Cadastro!A49="","",Cadastro!A49)</f>
        <v/>
      </c>
      <c r="B54" s="17" t="str">
        <f aca="false">IF(Cadastro!A49="","",Cadastro!B49)</f>
        <v/>
      </c>
      <c r="C54" s="17" t="str">
        <f aca="false">IF(Cadastro!A49="","",Cadastro!D49)</f>
        <v/>
      </c>
      <c r="D54" s="17" t="str">
        <f aca="false">IF(Cadastro!A49="","",Cadastro!F49)</f>
        <v/>
      </c>
      <c r="E54" s="17" t="str">
        <f aca="false">IF(Cadastro!A49="","",Cadastro!I49)</f>
        <v/>
      </c>
      <c r="F54" s="12" t="n">
        <f aca="false">IF(Cadastro!A49="",0,IF(AND(Cadastro!O49="Ativo",Cadastro!I49=$B$5,ISNUMBER(SEARCH($B$4,Cadastro!J49)),OR($B$6&lt;&gt;"S",Cadastro!E49="S"),OR($B$7&lt;&gt;"S",Cadastro!F49="S")),1,0))</f>
        <v>0</v>
      </c>
      <c r="G54" s="22" t="str">
        <f aca="false">IF(F54=0,"",IF(Cadastro!U49=0,0,Cadastro!X49))</f>
        <v/>
      </c>
      <c r="H54" s="12" t="str">
        <f aca="false">IF(F54=0,"",1+COUNTIF($J$10:$J$309,"&lt;"&amp;J54))</f>
        <v/>
      </c>
      <c r="I54" s="12" t="n">
        <f aca="false">IF(H54=1,1,0)</f>
        <v>0</v>
      </c>
      <c r="J54" s="23" t="n">
        <f aca="false">IF(F54=0,9000000000000000,G54+Cadastro!M49/100000)</f>
        <v>9000000000000000</v>
      </c>
    </row>
    <row r="55" customFormat="false" ht="15" hidden="false" customHeight="false" outlineLevel="0" collapsed="false">
      <c r="A55" s="17" t="str">
        <f aca="false">IF(Cadastro!A50="","",Cadastro!A50)</f>
        <v/>
      </c>
      <c r="B55" s="17" t="str">
        <f aca="false">IF(Cadastro!A50="","",Cadastro!B50)</f>
        <v/>
      </c>
      <c r="C55" s="17" t="str">
        <f aca="false">IF(Cadastro!A50="","",Cadastro!D50)</f>
        <v/>
      </c>
      <c r="D55" s="17" t="str">
        <f aca="false">IF(Cadastro!A50="","",Cadastro!F50)</f>
        <v/>
      </c>
      <c r="E55" s="17" t="str">
        <f aca="false">IF(Cadastro!A50="","",Cadastro!I50)</f>
        <v/>
      </c>
      <c r="F55" s="12" t="n">
        <f aca="false">IF(Cadastro!A50="",0,IF(AND(Cadastro!O50="Ativo",Cadastro!I50=$B$5,ISNUMBER(SEARCH($B$4,Cadastro!J50)),OR($B$6&lt;&gt;"S",Cadastro!E50="S"),OR($B$7&lt;&gt;"S",Cadastro!F50="S")),1,0))</f>
        <v>0</v>
      </c>
      <c r="G55" s="22" t="str">
        <f aca="false">IF(F55=0,"",IF(Cadastro!U50=0,0,Cadastro!X50))</f>
        <v/>
      </c>
      <c r="H55" s="12" t="str">
        <f aca="false">IF(F55=0,"",1+COUNTIF($J$10:$J$309,"&lt;"&amp;J55))</f>
        <v/>
      </c>
      <c r="I55" s="12" t="n">
        <f aca="false">IF(H55=1,1,0)</f>
        <v>0</v>
      </c>
      <c r="J55" s="23" t="n">
        <f aca="false">IF(F55=0,9000000000000000,G55+Cadastro!M50/100000)</f>
        <v>9000000000000000</v>
      </c>
    </row>
    <row r="56" customFormat="false" ht="15" hidden="false" customHeight="false" outlineLevel="0" collapsed="false">
      <c r="A56" s="17" t="str">
        <f aca="false">IF(Cadastro!A51="","",Cadastro!A51)</f>
        <v/>
      </c>
      <c r="B56" s="17" t="str">
        <f aca="false">IF(Cadastro!A51="","",Cadastro!B51)</f>
        <v/>
      </c>
      <c r="C56" s="17" t="str">
        <f aca="false">IF(Cadastro!A51="","",Cadastro!D51)</f>
        <v/>
      </c>
      <c r="D56" s="17" t="str">
        <f aca="false">IF(Cadastro!A51="","",Cadastro!F51)</f>
        <v/>
      </c>
      <c r="E56" s="17" t="str">
        <f aca="false">IF(Cadastro!A51="","",Cadastro!I51)</f>
        <v/>
      </c>
      <c r="F56" s="12" t="n">
        <f aca="false">IF(Cadastro!A51="",0,IF(AND(Cadastro!O51="Ativo",Cadastro!I51=$B$5,ISNUMBER(SEARCH($B$4,Cadastro!J51)),OR($B$6&lt;&gt;"S",Cadastro!E51="S"),OR($B$7&lt;&gt;"S",Cadastro!F51="S")),1,0))</f>
        <v>0</v>
      </c>
      <c r="G56" s="22" t="str">
        <f aca="false">IF(F56=0,"",IF(Cadastro!U51=0,0,Cadastro!X51))</f>
        <v/>
      </c>
      <c r="H56" s="12" t="str">
        <f aca="false">IF(F56=0,"",1+COUNTIF($J$10:$J$309,"&lt;"&amp;J56))</f>
        <v/>
      </c>
      <c r="I56" s="12" t="n">
        <f aca="false">IF(H56=1,1,0)</f>
        <v>0</v>
      </c>
      <c r="J56" s="23" t="n">
        <f aca="false">IF(F56=0,9000000000000000,G56+Cadastro!M51/100000)</f>
        <v>9000000000000000</v>
      </c>
    </row>
    <row r="57" customFormat="false" ht="15" hidden="false" customHeight="false" outlineLevel="0" collapsed="false">
      <c r="A57" s="17" t="str">
        <f aca="false">IF(Cadastro!A52="","",Cadastro!A52)</f>
        <v/>
      </c>
      <c r="B57" s="17" t="str">
        <f aca="false">IF(Cadastro!A52="","",Cadastro!B52)</f>
        <v/>
      </c>
      <c r="C57" s="17" t="str">
        <f aca="false">IF(Cadastro!A52="","",Cadastro!D52)</f>
        <v/>
      </c>
      <c r="D57" s="17" t="str">
        <f aca="false">IF(Cadastro!A52="","",Cadastro!F52)</f>
        <v/>
      </c>
      <c r="E57" s="17" t="str">
        <f aca="false">IF(Cadastro!A52="","",Cadastro!I52)</f>
        <v/>
      </c>
      <c r="F57" s="12" t="n">
        <f aca="false">IF(Cadastro!A52="",0,IF(AND(Cadastro!O52="Ativo",Cadastro!I52=$B$5,ISNUMBER(SEARCH($B$4,Cadastro!J52)),OR($B$6&lt;&gt;"S",Cadastro!E52="S"),OR($B$7&lt;&gt;"S",Cadastro!F52="S")),1,0))</f>
        <v>0</v>
      </c>
      <c r="G57" s="22" t="str">
        <f aca="false">IF(F57=0,"",IF(Cadastro!U52=0,0,Cadastro!X52))</f>
        <v/>
      </c>
      <c r="H57" s="12" t="str">
        <f aca="false">IF(F57=0,"",1+COUNTIF($J$10:$J$309,"&lt;"&amp;J57))</f>
        <v/>
      </c>
      <c r="I57" s="12" t="n">
        <f aca="false">IF(H57=1,1,0)</f>
        <v>0</v>
      </c>
      <c r="J57" s="23" t="n">
        <f aca="false">IF(F57=0,9000000000000000,G57+Cadastro!M52/100000)</f>
        <v>9000000000000000</v>
      </c>
    </row>
    <row r="58" customFormat="false" ht="15" hidden="false" customHeight="false" outlineLevel="0" collapsed="false">
      <c r="A58" s="17" t="str">
        <f aca="false">IF(Cadastro!A53="","",Cadastro!A53)</f>
        <v/>
      </c>
      <c r="B58" s="17" t="str">
        <f aca="false">IF(Cadastro!A53="","",Cadastro!B53)</f>
        <v/>
      </c>
      <c r="C58" s="17" t="str">
        <f aca="false">IF(Cadastro!A53="","",Cadastro!D53)</f>
        <v/>
      </c>
      <c r="D58" s="17" t="str">
        <f aca="false">IF(Cadastro!A53="","",Cadastro!F53)</f>
        <v/>
      </c>
      <c r="E58" s="17" t="str">
        <f aca="false">IF(Cadastro!A53="","",Cadastro!I53)</f>
        <v/>
      </c>
      <c r="F58" s="12" t="n">
        <f aca="false">IF(Cadastro!A53="",0,IF(AND(Cadastro!O53="Ativo",Cadastro!I53=$B$5,ISNUMBER(SEARCH($B$4,Cadastro!J53)),OR($B$6&lt;&gt;"S",Cadastro!E53="S"),OR($B$7&lt;&gt;"S",Cadastro!F53="S")),1,0))</f>
        <v>0</v>
      </c>
      <c r="G58" s="22" t="str">
        <f aca="false">IF(F58=0,"",IF(Cadastro!U53=0,0,Cadastro!X53))</f>
        <v/>
      </c>
      <c r="H58" s="12" t="str">
        <f aca="false">IF(F58=0,"",1+COUNTIF($J$10:$J$309,"&lt;"&amp;J58))</f>
        <v/>
      </c>
      <c r="I58" s="12" t="n">
        <f aca="false">IF(H58=1,1,0)</f>
        <v>0</v>
      </c>
      <c r="J58" s="23" t="n">
        <f aca="false">IF(F58=0,9000000000000000,G58+Cadastro!M53/100000)</f>
        <v>9000000000000000</v>
      </c>
    </row>
    <row r="59" customFormat="false" ht="15" hidden="false" customHeight="false" outlineLevel="0" collapsed="false">
      <c r="A59" s="17" t="str">
        <f aca="false">IF(Cadastro!A54="","",Cadastro!A54)</f>
        <v/>
      </c>
      <c r="B59" s="17" t="str">
        <f aca="false">IF(Cadastro!A54="","",Cadastro!B54)</f>
        <v/>
      </c>
      <c r="C59" s="17" t="str">
        <f aca="false">IF(Cadastro!A54="","",Cadastro!D54)</f>
        <v/>
      </c>
      <c r="D59" s="17" t="str">
        <f aca="false">IF(Cadastro!A54="","",Cadastro!F54)</f>
        <v/>
      </c>
      <c r="E59" s="17" t="str">
        <f aca="false">IF(Cadastro!A54="","",Cadastro!I54)</f>
        <v/>
      </c>
      <c r="F59" s="12" t="n">
        <f aca="false">IF(Cadastro!A54="",0,IF(AND(Cadastro!O54="Ativo",Cadastro!I54=$B$5,ISNUMBER(SEARCH($B$4,Cadastro!J54)),OR($B$6&lt;&gt;"S",Cadastro!E54="S"),OR($B$7&lt;&gt;"S",Cadastro!F54="S")),1,0))</f>
        <v>0</v>
      </c>
      <c r="G59" s="22" t="str">
        <f aca="false">IF(F59=0,"",IF(Cadastro!U54=0,0,Cadastro!X54))</f>
        <v/>
      </c>
      <c r="H59" s="12" t="str">
        <f aca="false">IF(F59=0,"",1+COUNTIF($J$10:$J$309,"&lt;"&amp;J59))</f>
        <v/>
      </c>
      <c r="I59" s="12" t="n">
        <f aca="false">IF(H59=1,1,0)</f>
        <v>0</v>
      </c>
      <c r="J59" s="23" t="n">
        <f aca="false">IF(F59=0,9000000000000000,G59+Cadastro!M54/100000)</f>
        <v>9000000000000000</v>
      </c>
    </row>
    <row r="60" customFormat="false" ht="15" hidden="false" customHeight="false" outlineLevel="0" collapsed="false">
      <c r="A60" s="17" t="str">
        <f aca="false">IF(Cadastro!A55="","",Cadastro!A55)</f>
        <v/>
      </c>
      <c r="B60" s="17" t="str">
        <f aca="false">IF(Cadastro!A55="","",Cadastro!B55)</f>
        <v/>
      </c>
      <c r="C60" s="17" t="str">
        <f aca="false">IF(Cadastro!A55="","",Cadastro!D55)</f>
        <v/>
      </c>
      <c r="D60" s="17" t="str">
        <f aca="false">IF(Cadastro!A55="","",Cadastro!F55)</f>
        <v/>
      </c>
      <c r="E60" s="17" t="str">
        <f aca="false">IF(Cadastro!A55="","",Cadastro!I55)</f>
        <v/>
      </c>
      <c r="F60" s="12" t="n">
        <f aca="false">IF(Cadastro!A55="",0,IF(AND(Cadastro!O55="Ativo",Cadastro!I55=$B$5,ISNUMBER(SEARCH($B$4,Cadastro!J55)),OR($B$6&lt;&gt;"S",Cadastro!E55="S"),OR($B$7&lt;&gt;"S",Cadastro!F55="S")),1,0))</f>
        <v>0</v>
      </c>
      <c r="G60" s="22" t="str">
        <f aca="false">IF(F60=0,"",IF(Cadastro!U55=0,0,Cadastro!X55))</f>
        <v/>
      </c>
      <c r="H60" s="12" t="str">
        <f aca="false">IF(F60=0,"",1+COUNTIF($J$10:$J$309,"&lt;"&amp;J60))</f>
        <v/>
      </c>
      <c r="I60" s="12" t="n">
        <f aca="false">IF(H60=1,1,0)</f>
        <v>0</v>
      </c>
      <c r="J60" s="23" t="n">
        <f aca="false">IF(F60=0,9000000000000000,G60+Cadastro!M55/100000)</f>
        <v>9000000000000000</v>
      </c>
    </row>
    <row r="61" customFormat="false" ht="15" hidden="false" customHeight="false" outlineLevel="0" collapsed="false">
      <c r="A61" s="17" t="str">
        <f aca="false">IF(Cadastro!A56="","",Cadastro!A56)</f>
        <v/>
      </c>
      <c r="B61" s="17" t="str">
        <f aca="false">IF(Cadastro!A56="","",Cadastro!B56)</f>
        <v/>
      </c>
      <c r="C61" s="17" t="str">
        <f aca="false">IF(Cadastro!A56="","",Cadastro!D56)</f>
        <v/>
      </c>
      <c r="D61" s="17" t="str">
        <f aca="false">IF(Cadastro!A56="","",Cadastro!F56)</f>
        <v/>
      </c>
      <c r="E61" s="17" t="str">
        <f aca="false">IF(Cadastro!A56="","",Cadastro!I56)</f>
        <v/>
      </c>
      <c r="F61" s="12" t="n">
        <f aca="false">IF(Cadastro!A56="",0,IF(AND(Cadastro!O56="Ativo",Cadastro!I56=$B$5,ISNUMBER(SEARCH($B$4,Cadastro!J56)),OR($B$6&lt;&gt;"S",Cadastro!E56="S"),OR($B$7&lt;&gt;"S",Cadastro!F56="S")),1,0))</f>
        <v>0</v>
      </c>
      <c r="G61" s="22" t="str">
        <f aca="false">IF(F61=0,"",IF(Cadastro!U56=0,0,Cadastro!X56))</f>
        <v/>
      </c>
      <c r="H61" s="12" t="str">
        <f aca="false">IF(F61=0,"",1+COUNTIF($J$10:$J$309,"&lt;"&amp;J61))</f>
        <v/>
      </c>
      <c r="I61" s="12" t="n">
        <f aca="false">IF(H61=1,1,0)</f>
        <v>0</v>
      </c>
      <c r="J61" s="23" t="n">
        <f aca="false">IF(F61=0,9000000000000000,G61+Cadastro!M56/100000)</f>
        <v>9000000000000000</v>
      </c>
    </row>
    <row r="62" customFormat="false" ht="15" hidden="false" customHeight="false" outlineLevel="0" collapsed="false">
      <c r="A62" s="17" t="str">
        <f aca="false">IF(Cadastro!A57="","",Cadastro!A57)</f>
        <v/>
      </c>
      <c r="B62" s="17" t="str">
        <f aca="false">IF(Cadastro!A57="","",Cadastro!B57)</f>
        <v/>
      </c>
      <c r="C62" s="17" t="str">
        <f aca="false">IF(Cadastro!A57="","",Cadastro!D57)</f>
        <v/>
      </c>
      <c r="D62" s="17" t="str">
        <f aca="false">IF(Cadastro!A57="","",Cadastro!F57)</f>
        <v/>
      </c>
      <c r="E62" s="17" t="str">
        <f aca="false">IF(Cadastro!A57="","",Cadastro!I57)</f>
        <v/>
      </c>
      <c r="F62" s="12" t="n">
        <f aca="false">IF(Cadastro!A57="",0,IF(AND(Cadastro!O57="Ativo",Cadastro!I57=$B$5,ISNUMBER(SEARCH($B$4,Cadastro!J57)),OR($B$6&lt;&gt;"S",Cadastro!E57="S"),OR($B$7&lt;&gt;"S",Cadastro!F57="S")),1,0))</f>
        <v>0</v>
      </c>
      <c r="G62" s="22" t="str">
        <f aca="false">IF(F62=0,"",IF(Cadastro!U57=0,0,Cadastro!X57))</f>
        <v/>
      </c>
      <c r="H62" s="12" t="str">
        <f aca="false">IF(F62=0,"",1+COUNTIF($J$10:$J$309,"&lt;"&amp;J62))</f>
        <v/>
      </c>
      <c r="I62" s="12" t="n">
        <f aca="false">IF(H62=1,1,0)</f>
        <v>0</v>
      </c>
      <c r="J62" s="23" t="n">
        <f aca="false">IF(F62=0,9000000000000000,G62+Cadastro!M57/100000)</f>
        <v>9000000000000000</v>
      </c>
    </row>
    <row r="63" customFormat="false" ht="15" hidden="false" customHeight="false" outlineLevel="0" collapsed="false">
      <c r="A63" s="17" t="str">
        <f aca="false">IF(Cadastro!A58="","",Cadastro!A58)</f>
        <v/>
      </c>
      <c r="B63" s="17" t="str">
        <f aca="false">IF(Cadastro!A58="","",Cadastro!B58)</f>
        <v/>
      </c>
      <c r="C63" s="17" t="str">
        <f aca="false">IF(Cadastro!A58="","",Cadastro!D58)</f>
        <v/>
      </c>
      <c r="D63" s="17" t="str">
        <f aca="false">IF(Cadastro!A58="","",Cadastro!F58)</f>
        <v/>
      </c>
      <c r="E63" s="17" t="str">
        <f aca="false">IF(Cadastro!A58="","",Cadastro!I58)</f>
        <v/>
      </c>
      <c r="F63" s="12" t="n">
        <f aca="false">IF(Cadastro!A58="",0,IF(AND(Cadastro!O58="Ativo",Cadastro!I58=$B$5,ISNUMBER(SEARCH($B$4,Cadastro!J58)),OR($B$6&lt;&gt;"S",Cadastro!E58="S"),OR($B$7&lt;&gt;"S",Cadastro!F58="S")),1,0))</f>
        <v>0</v>
      </c>
      <c r="G63" s="22" t="str">
        <f aca="false">IF(F63=0,"",IF(Cadastro!U58=0,0,Cadastro!X58))</f>
        <v/>
      </c>
      <c r="H63" s="12" t="str">
        <f aca="false">IF(F63=0,"",1+COUNTIF($J$10:$J$309,"&lt;"&amp;J63))</f>
        <v/>
      </c>
      <c r="I63" s="12" t="n">
        <f aca="false">IF(H63=1,1,0)</f>
        <v>0</v>
      </c>
      <c r="J63" s="23" t="n">
        <f aca="false">IF(F63=0,9000000000000000,G63+Cadastro!M58/100000)</f>
        <v>9000000000000000</v>
      </c>
    </row>
    <row r="64" customFormat="false" ht="15" hidden="false" customHeight="false" outlineLevel="0" collapsed="false">
      <c r="A64" s="17" t="str">
        <f aca="false">IF(Cadastro!A59="","",Cadastro!A59)</f>
        <v/>
      </c>
      <c r="B64" s="17" t="str">
        <f aca="false">IF(Cadastro!A59="","",Cadastro!B59)</f>
        <v/>
      </c>
      <c r="C64" s="17" t="str">
        <f aca="false">IF(Cadastro!A59="","",Cadastro!D59)</f>
        <v/>
      </c>
      <c r="D64" s="17" t="str">
        <f aca="false">IF(Cadastro!A59="","",Cadastro!F59)</f>
        <v/>
      </c>
      <c r="E64" s="17" t="str">
        <f aca="false">IF(Cadastro!A59="","",Cadastro!I59)</f>
        <v/>
      </c>
      <c r="F64" s="12" t="n">
        <f aca="false">IF(Cadastro!A59="",0,IF(AND(Cadastro!O59="Ativo",Cadastro!I59=$B$5,ISNUMBER(SEARCH($B$4,Cadastro!J59)),OR($B$6&lt;&gt;"S",Cadastro!E59="S"),OR($B$7&lt;&gt;"S",Cadastro!F59="S")),1,0))</f>
        <v>0</v>
      </c>
      <c r="G64" s="22" t="str">
        <f aca="false">IF(F64=0,"",IF(Cadastro!U59=0,0,Cadastro!X59))</f>
        <v/>
      </c>
      <c r="H64" s="12" t="str">
        <f aca="false">IF(F64=0,"",1+COUNTIF($J$10:$J$309,"&lt;"&amp;J64))</f>
        <v/>
      </c>
      <c r="I64" s="12" t="n">
        <f aca="false">IF(H64=1,1,0)</f>
        <v>0</v>
      </c>
      <c r="J64" s="23" t="n">
        <f aca="false">IF(F64=0,9000000000000000,G64+Cadastro!M59/100000)</f>
        <v>9000000000000000</v>
      </c>
    </row>
    <row r="65" customFormat="false" ht="15" hidden="false" customHeight="false" outlineLevel="0" collapsed="false">
      <c r="A65" s="17" t="str">
        <f aca="false">IF(Cadastro!A60="","",Cadastro!A60)</f>
        <v/>
      </c>
      <c r="B65" s="17" t="str">
        <f aca="false">IF(Cadastro!A60="","",Cadastro!B60)</f>
        <v/>
      </c>
      <c r="C65" s="17" t="str">
        <f aca="false">IF(Cadastro!A60="","",Cadastro!D60)</f>
        <v/>
      </c>
      <c r="D65" s="17" t="str">
        <f aca="false">IF(Cadastro!A60="","",Cadastro!F60)</f>
        <v/>
      </c>
      <c r="E65" s="17" t="str">
        <f aca="false">IF(Cadastro!A60="","",Cadastro!I60)</f>
        <v/>
      </c>
      <c r="F65" s="12" t="n">
        <f aca="false">IF(Cadastro!A60="",0,IF(AND(Cadastro!O60="Ativo",Cadastro!I60=$B$5,ISNUMBER(SEARCH($B$4,Cadastro!J60)),OR($B$6&lt;&gt;"S",Cadastro!E60="S"),OR($B$7&lt;&gt;"S",Cadastro!F60="S")),1,0))</f>
        <v>0</v>
      </c>
      <c r="G65" s="22" t="str">
        <f aca="false">IF(F65=0,"",IF(Cadastro!U60=0,0,Cadastro!X60))</f>
        <v/>
      </c>
      <c r="H65" s="12" t="str">
        <f aca="false">IF(F65=0,"",1+COUNTIF($J$10:$J$309,"&lt;"&amp;J65))</f>
        <v/>
      </c>
      <c r="I65" s="12" t="n">
        <f aca="false">IF(H65=1,1,0)</f>
        <v>0</v>
      </c>
      <c r="J65" s="23" t="n">
        <f aca="false">IF(F65=0,9000000000000000,G65+Cadastro!M60/100000)</f>
        <v>9000000000000000</v>
      </c>
    </row>
    <row r="66" customFormat="false" ht="15" hidden="false" customHeight="false" outlineLevel="0" collapsed="false">
      <c r="A66" s="17" t="str">
        <f aca="false">IF(Cadastro!A61="","",Cadastro!A61)</f>
        <v/>
      </c>
      <c r="B66" s="17" t="str">
        <f aca="false">IF(Cadastro!A61="","",Cadastro!B61)</f>
        <v/>
      </c>
      <c r="C66" s="17" t="str">
        <f aca="false">IF(Cadastro!A61="","",Cadastro!D61)</f>
        <v/>
      </c>
      <c r="D66" s="17" t="str">
        <f aca="false">IF(Cadastro!A61="","",Cadastro!F61)</f>
        <v/>
      </c>
      <c r="E66" s="17" t="str">
        <f aca="false">IF(Cadastro!A61="","",Cadastro!I61)</f>
        <v/>
      </c>
      <c r="F66" s="12" t="n">
        <f aca="false">IF(Cadastro!A61="",0,IF(AND(Cadastro!O61="Ativo",Cadastro!I61=$B$5,ISNUMBER(SEARCH($B$4,Cadastro!J61)),OR($B$6&lt;&gt;"S",Cadastro!E61="S"),OR($B$7&lt;&gt;"S",Cadastro!F61="S")),1,0))</f>
        <v>0</v>
      </c>
      <c r="G66" s="22" t="str">
        <f aca="false">IF(F66=0,"",IF(Cadastro!U61=0,0,Cadastro!X61))</f>
        <v/>
      </c>
      <c r="H66" s="12" t="str">
        <f aca="false">IF(F66=0,"",1+COUNTIF($J$10:$J$309,"&lt;"&amp;J66))</f>
        <v/>
      </c>
      <c r="I66" s="12" t="n">
        <f aca="false">IF(H66=1,1,0)</f>
        <v>0</v>
      </c>
      <c r="J66" s="23" t="n">
        <f aca="false">IF(F66=0,9000000000000000,G66+Cadastro!M61/100000)</f>
        <v>9000000000000000</v>
      </c>
    </row>
    <row r="67" customFormat="false" ht="15" hidden="false" customHeight="false" outlineLevel="0" collapsed="false">
      <c r="A67" s="17" t="str">
        <f aca="false">IF(Cadastro!A62="","",Cadastro!A62)</f>
        <v/>
      </c>
      <c r="B67" s="17" t="str">
        <f aca="false">IF(Cadastro!A62="","",Cadastro!B62)</f>
        <v/>
      </c>
      <c r="C67" s="17" t="str">
        <f aca="false">IF(Cadastro!A62="","",Cadastro!D62)</f>
        <v/>
      </c>
      <c r="D67" s="17" t="str">
        <f aca="false">IF(Cadastro!A62="","",Cadastro!F62)</f>
        <v/>
      </c>
      <c r="E67" s="17" t="str">
        <f aca="false">IF(Cadastro!A62="","",Cadastro!I62)</f>
        <v/>
      </c>
      <c r="F67" s="12" t="n">
        <f aca="false">IF(Cadastro!A62="",0,IF(AND(Cadastro!O62="Ativo",Cadastro!I62=$B$5,ISNUMBER(SEARCH($B$4,Cadastro!J62)),OR($B$6&lt;&gt;"S",Cadastro!E62="S"),OR($B$7&lt;&gt;"S",Cadastro!F62="S")),1,0))</f>
        <v>0</v>
      </c>
      <c r="G67" s="22" t="str">
        <f aca="false">IF(F67=0,"",IF(Cadastro!U62=0,0,Cadastro!X62))</f>
        <v/>
      </c>
      <c r="H67" s="12" t="str">
        <f aca="false">IF(F67=0,"",1+COUNTIF($J$10:$J$309,"&lt;"&amp;J67))</f>
        <v/>
      </c>
      <c r="I67" s="12" t="n">
        <f aca="false">IF(H67=1,1,0)</f>
        <v>0</v>
      </c>
      <c r="J67" s="23" t="n">
        <f aca="false">IF(F67=0,9000000000000000,G67+Cadastro!M62/100000)</f>
        <v>9000000000000000</v>
      </c>
    </row>
    <row r="68" customFormat="false" ht="15" hidden="false" customHeight="false" outlineLevel="0" collapsed="false">
      <c r="A68" s="17" t="str">
        <f aca="false">IF(Cadastro!A63="","",Cadastro!A63)</f>
        <v/>
      </c>
      <c r="B68" s="17" t="str">
        <f aca="false">IF(Cadastro!A63="","",Cadastro!B63)</f>
        <v/>
      </c>
      <c r="C68" s="17" t="str">
        <f aca="false">IF(Cadastro!A63="","",Cadastro!D63)</f>
        <v/>
      </c>
      <c r="D68" s="17" t="str">
        <f aca="false">IF(Cadastro!A63="","",Cadastro!F63)</f>
        <v/>
      </c>
      <c r="E68" s="17" t="str">
        <f aca="false">IF(Cadastro!A63="","",Cadastro!I63)</f>
        <v/>
      </c>
      <c r="F68" s="12" t="n">
        <f aca="false">IF(Cadastro!A63="",0,IF(AND(Cadastro!O63="Ativo",Cadastro!I63=$B$5,ISNUMBER(SEARCH($B$4,Cadastro!J63)),OR($B$6&lt;&gt;"S",Cadastro!E63="S"),OR($B$7&lt;&gt;"S",Cadastro!F63="S")),1,0))</f>
        <v>0</v>
      </c>
      <c r="G68" s="22" t="str">
        <f aca="false">IF(F68=0,"",IF(Cadastro!U63=0,0,Cadastro!X63))</f>
        <v/>
      </c>
      <c r="H68" s="12" t="str">
        <f aca="false">IF(F68=0,"",1+COUNTIF($J$10:$J$309,"&lt;"&amp;J68))</f>
        <v/>
      </c>
      <c r="I68" s="12" t="n">
        <f aca="false">IF(H68=1,1,0)</f>
        <v>0</v>
      </c>
      <c r="J68" s="23" t="n">
        <f aca="false">IF(F68=0,9000000000000000,G68+Cadastro!M63/100000)</f>
        <v>9000000000000000</v>
      </c>
    </row>
    <row r="69" customFormat="false" ht="15" hidden="false" customHeight="false" outlineLevel="0" collapsed="false">
      <c r="A69" s="17" t="str">
        <f aca="false">IF(Cadastro!A64="","",Cadastro!A64)</f>
        <v/>
      </c>
      <c r="B69" s="17" t="str">
        <f aca="false">IF(Cadastro!A64="","",Cadastro!B64)</f>
        <v/>
      </c>
      <c r="C69" s="17" t="str">
        <f aca="false">IF(Cadastro!A64="","",Cadastro!D64)</f>
        <v/>
      </c>
      <c r="D69" s="17" t="str">
        <f aca="false">IF(Cadastro!A64="","",Cadastro!F64)</f>
        <v/>
      </c>
      <c r="E69" s="17" t="str">
        <f aca="false">IF(Cadastro!A64="","",Cadastro!I64)</f>
        <v/>
      </c>
      <c r="F69" s="12" t="n">
        <f aca="false">IF(Cadastro!A64="",0,IF(AND(Cadastro!O64="Ativo",Cadastro!I64=$B$5,ISNUMBER(SEARCH($B$4,Cadastro!J64)),OR($B$6&lt;&gt;"S",Cadastro!E64="S"),OR($B$7&lt;&gt;"S",Cadastro!F64="S")),1,0))</f>
        <v>0</v>
      </c>
      <c r="G69" s="22" t="str">
        <f aca="false">IF(F69=0,"",IF(Cadastro!U64=0,0,Cadastro!X64))</f>
        <v/>
      </c>
      <c r="H69" s="12" t="str">
        <f aca="false">IF(F69=0,"",1+COUNTIF($J$10:$J$309,"&lt;"&amp;J69))</f>
        <v/>
      </c>
      <c r="I69" s="12" t="n">
        <f aca="false">IF(H69=1,1,0)</f>
        <v>0</v>
      </c>
      <c r="J69" s="23" t="n">
        <f aca="false">IF(F69=0,9000000000000000,G69+Cadastro!M64/100000)</f>
        <v>9000000000000000</v>
      </c>
    </row>
    <row r="70" customFormat="false" ht="15" hidden="false" customHeight="false" outlineLevel="0" collapsed="false">
      <c r="A70" s="17" t="str">
        <f aca="false">IF(Cadastro!A65="","",Cadastro!A65)</f>
        <v/>
      </c>
      <c r="B70" s="17" t="str">
        <f aca="false">IF(Cadastro!A65="","",Cadastro!B65)</f>
        <v/>
      </c>
      <c r="C70" s="17" t="str">
        <f aca="false">IF(Cadastro!A65="","",Cadastro!D65)</f>
        <v/>
      </c>
      <c r="D70" s="17" t="str">
        <f aca="false">IF(Cadastro!A65="","",Cadastro!F65)</f>
        <v/>
      </c>
      <c r="E70" s="17" t="str">
        <f aca="false">IF(Cadastro!A65="","",Cadastro!I65)</f>
        <v/>
      </c>
      <c r="F70" s="12" t="n">
        <f aca="false">IF(Cadastro!A65="",0,IF(AND(Cadastro!O65="Ativo",Cadastro!I65=$B$5,ISNUMBER(SEARCH($B$4,Cadastro!J65)),OR($B$6&lt;&gt;"S",Cadastro!E65="S"),OR($B$7&lt;&gt;"S",Cadastro!F65="S")),1,0))</f>
        <v>0</v>
      </c>
      <c r="G70" s="22" t="str">
        <f aca="false">IF(F70=0,"",IF(Cadastro!U65=0,0,Cadastro!X65))</f>
        <v/>
      </c>
      <c r="H70" s="12" t="str">
        <f aca="false">IF(F70=0,"",1+COUNTIF($J$10:$J$309,"&lt;"&amp;J70))</f>
        <v/>
      </c>
      <c r="I70" s="12" t="n">
        <f aca="false">IF(H70=1,1,0)</f>
        <v>0</v>
      </c>
      <c r="J70" s="23" t="n">
        <f aca="false">IF(F70=0,9000000000000000,G70+Cadastro!M65/100000)</f>
        <v>9000000000000000</v>
      </c>
    </row>
    <row r="71" customFormat="false" ht="15" hidden="false" customHeight="false" outlineLevel="0" collapsed="false">
      <c r="A71" s="17" t="str">
        <f aca="false">IF(Cadastro!A66="","",Cadastro!A66)</f>
        <v/>
      </c>
      <c r="B71" s="17" t="str">
        <f aca="false">IF(Cadastro!A66="","",Cadastro!B66)</f>
        <v/>
      </c>
      <c r="C71" s="17" t="str">
        <f aca="false">IF(Cadastro!A66="","",Cadastro!D66)</f>
        <v/>
      </c>
      <c r="D71" s="17" t="str">
        <f aca="false">IF(Cadastro!A66="","",Cadastro!F66)</f>
        <v/>
      </c>
      <c r="E71" s="17" t="str">
        <f aca="false">IF(Cadastro!A66="","",Cadastro!I66)</f>
        <v/>
      </c>
      <c r="F71" s="12" t="n">
        <f aca="false">IF(Cadastro!A66="",0,IF(AND(Cadastro!O66="Ativo",Cadastro!I66=$B$5,ISNUMBER(SEARCH($B$4,Cadastro!J66)),OR($B$6&lt;&gt;"S",Cadastro!E66="S"),OR($B$7&lt;&gt;"S",Cadastro!F66="S")),1,0))</f>
        <v>0</v>
      </c>
      <c r="G71" s="22" t="str">
        <f aca="false">IF(F71=0,"",IF(Cadastro!U66=0,0,Cadastro!X66))</f>
        <v/>
      </c>
      <c r="H71" s="12" t="str">
        <f aca="false">IF(F71=0,"",1+COUNTIF($J$10:$J$309,"&lt;"&amp;J71))</f>
        <v/>
      </c>
      <c r="I71" s="12" t="n">
        <f aca="false">IF(H71=1,1,0)</f>
        <v>0</v>
      </c>
      <c r="J71" s="23" t="n">
        <f aca="false">IF(F71=0,9000000000000000,G71+Cadastro!M66/100000)</f>
        <v>9000000000000000</v>
      </c>
    </row>
    <row r="72" customFormat="false" ht="15" hidden="false" customHeight="false" outlineLevel="0" collapsed="false">
      <c r="A72" s="17" t="str">
        <f aca="false">IF(Cadastro!A67="","",Cadastro!A67)</f>
        <v/>
      </c>
      <c r="B72" s="17" t="str">
        <f aca="false">IF(Cadastro!A67="","",Cadastro!B67)</f>
        <v/>
      </c>
      <c r="C72" s="17" t="str">
        <f aca="false">IF(Cadastro!A67="","",Cadastro!D67)</f>
        <v/>
      </c>
      <c r="D72" s="17" t="str">
        <f aca="false">IF(Cadastro!A67="","",Cadastro!F67)</f>
        <v/>
      </c>
      <c r="E72" s="17" t="str">
        <f aca="false">IF(Cadastro!A67="","",Cadastro!I67)</f>
        <v/>
      </c>
      <c r="F72" s="12" t="n">
        <f aca="false">IF(Cadastro!A67="",0,IF(AND(Cadastro!O67="Ativo",Cadastro!I67=$B$5,ISNUMBER(SEARCH($B$4,Cadastro!J67)),OR($B$6&lt;&gt;"S",Cadastro!E67="S"),OR($B$7&lt;&gt;"S",Cadastro!F67="S")),1,0))</f>
        <v>0</v>
      </c>
      <c r="G72" s="22" t="str">
        <f aca="false">IF(F72=0,"",IF(Cadastro!U67=0,0,Cadastro!X67))</f>
        <v/>
      </c>
      <c r="H72" s="12" t="str">
        <f aca="false">IF(F72=0,"",1+COUNTIF($J$10:$J$309,"&lt;"&amp;J72))</f>
        <v/>
      </c>
      <c r="I72" s="12" t="n">
        <f aca="false">IF(H72=1,1,0)</f>
        <v>0</v>
      </c>
      <c r="J72" s="23" t="n">
        <f aca="false">IF(F72=0,9000000000000000,G72+Cadastro!M67/100000)</f>
        <v>9000000000000000</v>
      </c>
    </row>
    <row r="73" customFormat="false" ht="15" hidden="false" customHeight="false" outlineLevel="0" collapsed="false">
      <c r="A73" s="17" t="str">
        <f aca="false">IF(Cadastro!A68="","",Cadastro!A68)</f>
        <v/>
      </c>
      <c r="B73" s="17" t="str">
        <f aca="false">IF(Cadastro!A68="","",Cadastro!B68)</f>
        <v/>
      </c>
      <c r="C73" s="17" t="str">
        <f aca="false">IF(Cadastro!A68="","",Cadastro!D68)</f>
        <v/>
      </c>
      <c r="D73" s="17" t="str">
        <f aca="false">IF(Cadastro!A68="","",Cadastro!F68)</f>
        <v/>
      </c>
      <c r="E73" s="17" t="str">
        <f aca="false">IF(Cadastro!A68="","",Cadastro!I68)</f>
        <v/>
      </c>
      <c r="F73" s="12" t="n">
        <f aca="false">IF(Cadastro!A68="",0,IF(AND(Cadastro!O68="Ativo",Cadastro!I68=$B$5,ISNUMBER(SEARCH($B$4,Cadastro!J68)),OR($B$6&lt;&gt;"S",Cadastro!E68="S"),OR($B$7&lt;&gt;"S",Cadastro!F68="S")),1,0))</f>
        <v>0</v>
      </c>
      <c r="G73" s="22" t="str">
        <f aca="false">IF(F73=0,"",IF(Cadastro!U68=0,0,Cadastro!X68))</f>
        <v/>
      </c>
      <c r="H73" s="12" t="str">
        <f aca="false">IF(F73=0,"",1+COUNTIF($J$10:$J$309,"&lt;"&amp;J73))</f>
        <v/>
      </c>
      <c r="I73" s="12" t="n">
        <f aca="false">IF(H73=1,1,0)</f>
        <v>0</v>
      </c>
      <c r="J73" s="23" t="n">
        <f aca="false">IF(F73=0,9000000000000000,G73+Cadastro!M68/100000)</f>
        <v>9000000000000000</v>
      </c>
    </row>
    <row r="74" customFormat="false" ht="15" hidden="false" customHeight="false" outlineLevel="0" collapsed="false">
      <c r="A74" s="17" t="str">
        <f aca="false">IF(Cadastro!A69="","",Cadastro!A69)</f>
        <v/>
      </c>
      <c r="B74" s="17" t="str">
        <f aca="false">IF(Cadastro!A69="","",Cadastro!B69)</f>
        <v/>
      </c>
      <c r="C74" s="17" t="str">
        <f aca="false">IF(Cadastro!A69="","",Cadastro!D69)</f>
        <v/>
      </c>
      <c r="D74" s="17" t="str">
        <f aca="false">IF(Cadastro!A69="","",Cadastro!F69)</f>
        <v/>
      </c>
      <c r="E74" s="17" t="str">
        <f aca="false">IF(Cadastro!A69="","",Cadastro!I69)</f>
        <v/>
      </c>
      <c r="F74" s="12" t="n">
        <f aca="false">IF(Cadastro!A69="",0,IF(AND(Cadastro!O69="Ativo",Cadastro!I69=$B$5,ISNUMBER(SEARCH($B$4,Cadastro!J69)),OR($B$6&lt;&gt;"S",Cadastro!E69="S"),OR($B$7&lt;&gt;"S",Cadastro!F69="S")),1,0))</f>
        <v>0</v>
      </c>
      <c r="G74" s="22" t="str">
        <f aca="false">IF(F74=0,"",IF(Cadastro!U69=0,0,Cadastro!X69))</f>
        <v/>
      </c>
      <c r="H74" s="12" t="str">
        <f aca="false">IF(F74=0,"",1+COUNTIF($J$10:$J$309,"&lt;"&amp;J74))</f>
        <v/>
      </c>
      <c r="I74" s="12" t="n">
        <f aca="false">IF(H74=1,1,0)</f>
        <v>0</v>
      </c>
      <c r="J74" s="23" t="n">
        <f aca="false">IF(F74=0,9000000000000000,G74+Cadastro!M69/100000)</f>
        <v>9000000000000000</v>
      </c>
    </row>
    <row r="75" customFormat="false" ht="15" hidden="false" customHeight="false" outlineLevel="0" collapsed="false">
      <c r="A75" s="17" t="str">
        <f aca="false">IF(Cadastro!A70="","",Cadastro!A70)</f>
        <v/>
      </c>
      <c r="B75" s="17" t="str">
        <f aca="false">IF(Cadastro!A70="","",Cadastro!B70)</f>
        <v/>
      </c>
      <c r="C75" s="17" t="str">
        <f aca="false">IF(Cadastro!A70="","",Cadastro!D70)</f>
        <v/>
      </c>
      <c r="D75" s="17" t="str">
        <f aca="false">IF(Cadastro!A70="","",Cadastro!F70)</f>
        <v/>
      </c>
      <c r="E75" s="17" t="str">
        <f aca="false">IF(Cadastro!A70="","",Cadastro!I70)</f>
        <v/>
      </c>
      <c r="F75" s="12" t="n">
        <f aca="false">IF(Cadastro!A70="",0,IF(AND(Cadastro!O70="Ativo",Cadastro!I70=$B$5,ISNUMBER(SEARCH($B$4,Cadastro!J70)),OR($B$6&lt;&gt;"S",Cadastro!E70="S"),OR($B$7&lt;&gt;"S",Cadastro!F70="S")),1,0))</f>
        <v>0</v>
      </c>
      <c r="G75" s="22" t="str">
        <f aca="false">IF(F75=0,"",IF(Cadastro!U70=0,0,Cadastro!X70))</f>
        <v/>
      </c>
      <c r="H75" s="12" t="str">
        <f aca="false">IF(F75=0,"",1+COUNTIF($J$10:$J$309,"&lt;"&amp;J75))</f>
        <v/>
      </c>
      <c r="I75" s="12" t="n">
        <f aca="false">IF(H75=1,1,0)</f>
        <v>0</v>
      </c>
      <c r="J75" s="23" t="n">
        <f aca="false">IF(F75=0,9000000000000000,G75+Cadastro!M70/100000)</f>
        <v>9000000000000000</v>
      </c>
    </row>
    <row r="76" customFormat="false" ht="15" hidden="false" customHeight="false" outlineLevel="0" collapsed="false">
      <c r="A76" s="17" t="str">
        <f aca="false">IF(Cadastro!A71="","",Cadastro!A71)</f>
        <v/>
      </c>
      <c r="B76" s="17" t="str">
        <f aca="false">IF(Cadastro!A71="","",Cadastro!B71)</f>
        <v/>
      </c>
      <c r="C76" s="17" t="str">
        <f aca="false">IF(Cadastro!A71="","",Cadastro!D71)</f>
        <v/>
      </c>
      <c r="D76" s="17" t="str">
        <f aca="false">IF(Cadastro!A71="","",Cadastro!F71)</f>
        <v/>
      </c>
      <c r="E76" s="17" t="str">
        <f aca="false">IF(Cadastro!A71="","",Cadastro!I71)</f>
        <v/>
      </c>
      <c r="F76" s="12" t="n">
        <f aca="false">IF(Cadastro!A71="",0,IF(AND(Cadastro!O71="Ativo",Cadastro!I71=$B$5,ISNUMBER(SEARCH($B$4,Cadastro!J71)),OR($B$6&lt;&gt;"S",Cadastro!E71="S"),OR($B$7&lt;&gt;"S",Cadastro!F71="S")),1,0))</f>
        <v>0</v>
      </c>
      <c r="G76" s="22" t="str">
        <f aca="false">IF(F76=0,"",IF(Cadastro!U71=0,0,Cadastro!X71))</f>
        <v/>
      </c>
      <c r="H76" s="12" t="str">
        <f aca="false">IF(F76=0,"",1+COUNTIF($J$10:$J$309,"&lt;"&amp;J76))</f>
        <v/>
      </c>
      <c r="I76" s="12" t="n">
        <f aca="false">IF(H76=1,1,0)</f>
        <v>0</v>
      </c>
      <c r="J76" s="23" t="n">
        <f aca="false">IF(F76=0,9000000000000000,G76+Cadastro!M71/100000)</f>
        <v>9000000000000000</v>
      </c>
    </row>
    <row r="77" customFormat="false" ht="15" hidden="false" customHeight="false" outlineLevel="0" collapsed="false">
      <c r="A77" s="17" t="str">
        <f aca="false">IF(Cadastro!A72="","",Cadastro!A72)</f>
        <v/>
      </c>
      <c r="B77" s="17" t="str">
        <f aca="false">IF(Cadastro!A72="","",Cadastro!B72)</f>
        <v/>
      </c>
      <c r="C77" s="17" t="str">
        <f aca="false">IF(Cadastro!A72="","",Cadastro!D72)</f>
        <v/>
      </c>
      <c r="D77" s="17" t="str">
        <f aca="false">IF(Cadastro!A72="","",Cadastro!F72)</f>
        <v/>
      </c>
      <c r="E77" s="17" t="str">
        <f aca="false">IF(Cadastro!A72="","",Cadastro!I72)</f>
        <v/>
      </c>
      <c r="F77" s="12" t="n">
        <f aca="false">IF(Cadastro!A72="",0,IF(AND(Cadastro!O72="Ativo",Cadastro!I72=$B$5,ISNUMBER(SEARCH($B$4,Cadastro!J72)),OR($B$6&lt;&gt;"S",Cadastro!E72="S"),OR($B$7&lt;&gt;"S",Cadastro!F72="S")),1,0))</f>
        <v>0</v>
      </c>
      <c r="G77" s="22" t="str">
        <f aca="false">IF(F77=0,"",IF(Cadastro!U72=0,0,Cadastro!X72))</f>
        <v/>
      </c>
      <c r="H77" s="12" t="str">
        <f aca="false">IF(F77=0,"",1+COUNTIF($J$10:$J$309,"&lt;"&amp;J77))</f>
        <v/>
      </c>
      <c r="I77" s="12" t="n">
        <f aca="false">IF(H77=1,1,0)</f>
        <v>0</v>
      </c>
      <c r="J77" s="23" t="n">
        <f aca="false">IF(F77=0,9000000000000000,G77+Cadastro!M72/100000)</f>
        <v>9000000000000000</v>
      </c>
    </row>
    <row r="78" customFormat="false" ht="15" hidden="false" customHeight="false" outlineLevel="0" collapsed="false">
      <c r="A78" s="17" t="str">
        <f aca="false">IF(Cadastro!A73="","",Cadastro!A73)</f>
        <v/>
      </c>
      <c r="B78" s="17" t="str">
        <f aca="false">IF(Cadastro!A73="","",Cadastro!B73)</f>
        <v/>
      </c>
      <c r="C78" s="17" t="str">
        <f aca="false">IF(Cadastro!A73="","",Cadastro!D73)</f>
        <v/>
      </c>
      <c r="D78" s="17" t="str">
        <f aca="false">IF(Cadastro!A73="","",Cadastro!F73)</f>
        <v/>
      </c>
      <c r="E78" s="17" t="str">
        <f aca="false">IF(Cadastro!A73="","",Cadastro!I73)</f>
        <v/>
      </c>
      <c r="F78" s="12" t="n">
        <f aca="false">IF(Cadastro!A73="",0,IF(AND(Cadastro!O73="Ativo",Cadastro!I73=$B$5,ISNUMBER(SEARCH($B$4,Cadastro!J73)),OR($B$6&lt;&gt;"S",Cadastro!E73="S"),OR($B$7&lt;&gt;"S",Cadastro!F73="S")),1,0))</f>
        <v>0</v>
      </c>
      <c r="G78" s="22" t="str">
        <f aca="false">IF(F78=0,"",IF(Cadastro!U73=0,0,Cadastro!X73))</f>
        <v/>
      </c>
      <c r="H78" s="12" t="str">
        <f aca="false">IF(F78=0,"",1+COUNTIF($J$10:$J$309,"&lt;"&amp;J78))</f>
        <v/>
      </c>
      <c r="I78" s="12" t="n">
        <f aca="false">IF(H78=1,1,0)</f>
        <v>0</v>
      </c>
      <c r="J78" s="23" t="n">
        <f aca="false">IF(F78=0,9000000000000000,G78+Cadastro!M73/100000)</f>
        <v>9000000000000000</v>
      </c>
    </row>
    <row r="79" customFormat="false" ht="15" hidden="false" customHeight="false" outlineLevel="0" collapsed="false">
      <c r="A79" s="17" t="str">
        <f aca="false">IF(Cadastro!A74="","",Cadastro!A74)</f>
        <v/>
      </c>
      <c r="B79" s="17" t="str">
        <f aca="false">IF(Cadastro!A74="","",Cadastro!B74)</f>
        <v/>
      </c>
      <c r="C79" s="17" t="str">
        <f aca="false">IF(Cadastro!A74="","",Cadastro!D74)</f>
        <v/>
      </c>
      <c r="D79" s="17" t="str">
        <f aca="false">IF(Cadastro!A74="","",Cadastro!F74)</f>
        <v/>
      </c>
      <c r="E79" s="17" t="str">
        <f aca="false">IF(Cadastro!A74="","",Cadastro!I74)</f>
        <v/>
      </c>
      <c r="F79" s="12" t="n">
        <f aca="false">IF(Cadastro!A74="",0,IF(AND(Cadastro!O74="Ativo",Cadastro!I74=$B$5,ISNUMBER(SEARCH($B$4,Cadastro!J74)),OR($B$6&lt;&gt;"S",Cadastro!E74="S"),OR($B$7&lt;&gt;"S",Cadastro!F74="S")),1,0))</f>
        <v>0</v>
      </c>
      <c r="G79" s="22" t="str">
        <f aca="false">IF(F79=0,"",IF(Cadastro!U74=0,0,Cadastro!X74))</f>
        <v/>
      </c>
      <c r="H79" s="12" t="str">
        <f aca="false">IF(F79=0,"",1+COUNTIF($J$10:$J$309,"&lt;"&amp;J79))</f>
        <v/>
      </c>
      <c r="I79" s="12" t="n">
        <f aca="false">IF(H79=1,1,0)</f>
        <v>0</v>
      </c>
      <c r="J79" s="23" t="n">
        <f aca="false">IF(F79=0,9000000000000000,G79+Cadastro!M74/100000)</f>
        <v>9000000000000000</v>
      </c>
    </row>
    <row r="80" customFormat="false" ht="15" hidden="false" customHeight="false" outlineLevel="0" collapsed="false">
      <c r="A80" s="17" t="str">
        <f aca="false">IF(Cadastro!A75="","",Cadastro!A75)</f>
        <v/>
      </c>
      <c r="B80" s="17" t="str">
        <f aca="false">IF(Cadastro!A75="","",Cadastro!B75)</f>
        <v/>
      </c>
      <c r="C80" s="17" t="str">
        <f aca="false">IF(Cadastro!A75="","",Cadastro!D75)</f>
        <v/>
      </c>
      <c r="D80" s="17" t="str">
        <f aca="false">IF(Cadastro!A75="","",Cadastro!F75)</f>
        <v/>
      </c>
      <c r="E80" s="17" t="str">
        <f aca="false">IF(Cadastro!A75="","",Cadastro!I75)</f>
        <v/>
      </c>
      <c r="F80" s="12" t="n">
        <f aca="false">IF(Cadastro!A75="",0,IF(AND(Cadastro!O75="Ativo",Cadastro!I75=$B$5,ISNUMBER(SEARCH($B$4,Cadastro!J75)),OR($B$6&lt;&gt;"S",Cadastro!E75="S"),OR($B$7&lt;&gt;"S",Cadastro!F75="S")),1,0))</f>
        <v>0</v>
      </c>
      <c r="G80" s="22" t="str">
        <f aca="false">IF(F80=0,"",IF(Cadastro!U75=0,0,Cadastro!X75))</f>
        <v/>
      </c>
      <c r="H80" s="12" t="str">
        <f aca="false">IF(F80=0,"",1+COUNTIF($J$10:$J$309,"&lt;"&amp;J80))</f>
        <v/>
      </c>
      <c r="I80" s="12" t="n">
        <f aca="false">IF(H80=1,1,0)</f>
        <v>0</v>
      </c>
      <c r="J80" s="23" t="n">
        <f aca="false">IF(F80=0,9000000000000000,G80+Cadastro!M75/100000)</f>
        <v>9000000000000000</v>
      </c>
    </row>
    <row r="81" customFormat="false" ht="15" hidden="false" customHeight="false" outlineLevel="0" collapsed="false">
      <c r="A81" s="17" t="str">
        <f aca="false">IF(Cadastro!A76="","",Cadastro!A76)</f>
        <v/>
      </c>
      <c r="B81" s="17" t="str">
        <f aca="false">IF(Cadastro!A76="","",Cadastro!B76)</f>
        <v/>
      </c>
      <c r="C81" s="17" t="str">
        <f aca="false">IF(Cadastro!A76="","",Cadastro!D76)</f>
        <v/>
      </c>
      <c r="D81" s="17" t="str">
        <f aca="false">IF(Cadastro!A76="","",Cadastro!F76)</f>
        <v/>
      </c>
      <c r="E81" s="17" t="str">
        <f aca="false">IF(Cadastro!A76="","",Cadastro!I76)</f>
        <v/>
      </c>
      <c r="F81" s="12" t="n">
        <f aca="false">IF(Cadastro!A76="",0,IF(AND(Cadastro!O76="Ativo",Cadastro!I76=$B$5,ISNUMBER(SEARCH($B$4,Cadastro!J76)),OR($B$6&lt;&gt;"S",Cadastro!E76="S"),OR($B$7&lt;&gt;"S",Cadastro!F76="S")),1,0))</f>
        <v>0</v>
      </c>
      <c r="G81" s="22" t="str">
        <f aca="false">IF(F81=0,"",IF(Cadastro!U76=0,0,Cadastro!X76))</f>
        <v/>
      </c>
      <c r="H81" s="12" t="str">
        <f aca="false">IF(F81=0,"",1+COUNTIF($J$10:$J$309,"&lt;"&amp;J81))</f>
        <v/>
      </c>
      <c r="I81" s="12" t="n">
        <f aca="false">IF(H81=1,1,0)</f>
        <v>0</v>
      </c>
      <c r="J81" s="23" t="n">
        <f aca="false">IF(F81=0,9000000000000000,G81+Cadastro!M76/100000)</f>
        <v>9000000000000000</v>
      </c>
    </row>
    <row r="82" customFormat="false" ht="15" hidden="false" customHeight="false" outlineLevel="0" collapsed="false">
      <c r="A82" s="17" t="str">
        <f aca="false">IF(Cadastro!A77="","",Cadastro!A77)</f>
        <v/>
      </c>
      <c r="B82" s="17" t="str">
        <f aca="false">IF(Cadastro!A77="","",Cadastro!B77)</f>
        <v/>
      </c>
      <c r="C82" s="17" t="str">
        <f aca="false">IF(Cadastro!A77="","",Cadastro!D77)</f>
        <v/>
      </c>
      <c r="D82" s="17" t="str">
        <f aca="false">IF(Cadastro!A77="","",Cadastro!F77)</f>
        <v/>
      </c>
      <c r="E82" s="17" t="str">
        <f aca="false">IF(Cadastro!A77="","",Cadastro!I77)</f>
        <v/>
      </c>
      <c r="F82" s="12" t="n">
        <f aca="false">IF(Cadastro!A77="",0,IF(AND(Cadastro!O77="Ativo",Cadastro!I77=$B$5,ISNUMBER(SEARCH($B$4,Cadastro!J77)),OR($B$6&lt;&gt;"S",Cadastro!E77="S"),OR($B$7&lt;&gt;"S",Cadastro!F77="S")),1,0))</f>
        <v>0</v>
      </c>
      <c r="G82" s="22" t="str">
        <f aca="false">IF(F82=0,"",IF(Cadastro!U77=0,0,Cadastro!X77))</f>
        <v/>
      </c>
      <c r="H82" s="12" t="str">
        <f aca="false">IF(F82=0,"",1+COUNTIF($J$10:$J$309,"&lt;"&amp;J82))</f>
        <v/>
      </c>
      <c r="I82" s="12" t="n">
        <f aca="false">IF(H82=1,1,0)</f>
        <v>0</v>
      </c>
      <c r="J82" s="23" t="n">
        <f aca="false">IF(F82=0,9000000000000000,G82+Cadastro!M77/100000)</f>
        <v>9000000000000000</v>
      </c>
    </row>
    <row r="83" customFormat="false" ht="15" hidden="false" customHeight="false" outlineLevel="0" collapsed="false">
      <c r="A83" s="17" t="str">
        <f aca="false">IF(Cadastro!A78="","",Cadastro!A78)</f>
        <v/>
      </c>
      <c r="B83" s="17" t="str">
        <f aca="false">IF(Cadastro!A78="","",Cadastro!B78)</f>
        <v/>
      </c>
      <c r="C83" s="17" t="str">
        <f aca="false">IF(Cadastro!A78="","",Cadastro!D78)</f>
        <v/>
      </c>
      <c r="D83" s="17" t="str">
        <f aca="false">IF(Cadastro!A78="","",Cadastro!F78)</f>
        <v/>
      </c>
      <c r="E83" s="17" t="str">
        <f aca="false">IF(Cadastro!A78="","",Cadastro!I78)</f>
        <v/>
      </c>
      <c r="F83" s="12" t="n">
        <f aca="false">IF(Cadastro!A78="",0,IF(AND(Cadastro!O78="Ativo",Cadastro!I78=$B$5,ISNUMBER(SEARCH($B$4,Cadastro!J78)),OR($B$6&lt;&gt;"S",Cadastro!E78="S"),OR($B$7&lt;&gt;"S",Cadastro!F78="S")),1,0))</f>
        <v>0</v>
      </c>
      <c r="G83" s="22" t="str">
        <f aca="false">IF(F83=0,"",IF(Cadastro!U78=0,0,Cadastro!X78))</f>
        <v/>
      </c>
      <c r="H83" s="12" t="str">
        <f aca="false">IF(F83=0,"",1+COUNTIF($J$10:$J$309,"&lt;"&amp;J83))</f>
        <v/>
      </c>
      <c r="I83" s="12" t="n">
        <f aca="false">IF(H83=1,1,0)</f>
        <v>0</v>
      </c>
      <c r="J83" s="23" t="n">
        <f aca="false">IF(F83=0,9000000000000000,G83+Cadastro!M78/100000)</f>
        <v>9000000000000000</v>
      </c>
    </row>
    <row r="84" customFormat="false" ht="15" hidden="false" customHeight="false" outlineLevel="0" collapsed="false">
      <c r="A84" s="17" t="str">
        <f aca="false">IF(Cadastro!A79="","",Cadastro!A79)</f>
        <v/>
      </c>
      <c r="B84" s="17" t="str">
        <f aca="false">IF(Cadastro!A79="","",Cadastro!B79)</f>
        <v/>
      </c>
      <c r="C84" s="17" t="str">
        <f aca="false">IF(Cadastro!A79="","",Cadastro!D79)</f>
        <v/>
      </c>
      <c r="D84" s="17" t="str">
        <f aca="false">IF(Cadastro!A79="","",Cadastro!F79)</f>
        <v/>
      </c>
      <c r="E84" s="17" t="str">
        <f aca="false">IF(Cadastro!A79="","",Cadastro!I79)</f>
        <v/>
      </c>
      <c r="F84" s="12" t="n">
        <f aca="false">IF(Cadastro!A79="",0,IF(AND(Cadastro!O79="Ativo",Cadastro!I79=$B$5,ISNUMBER(SEARCH($B$4,Cadastro!J79)),OR($B$6&lt;&gt;"S",Cadastro!E79="S"),OR($B$7&lt;&gt;"S",Cadastro!F79="S")),1,0))</f>
        <v>0</v>
      </c>
      <c r="G84" s="22" t="str">
        <f aca="false">IF(F84=0,"",IF(Cadastro!U79=0,0,Cadastro!X79))</f>
        <v/>
      </c>
      <c r="H84" s="12" t="str">
        <f aca="false">IF(F84=0,"",1+COUNTIF($J$10:$J$309,"&lt;"&amp;J84))</f>
        <v/>
      </c>
      <c r="I84" s="12" t="n">
        <f aca="false">IF(H84=1,1,0)</f>
        <v>0</v>
      </c>
      <c r="J84" s="23" t="n">
        <f aca="false">IF(F84=0,9000000000000000,G84+Cadastro!M79/100000)</f>
        <v>9000000000000000</v>
      </c>
    </row>
    <row r="85" customFormat="false" ht="15" hidden="false" customHeight="false" outlineLevel="0" collapsed="false">
      <c r="A85" s="17" t="str">
        <f aca="false">IF(Cadastro!A80="","",Cadastro!A80)</f>
        <v/>
      </c>
      <c r="B85" s="17" t="str">
        <f aca="false">IF(Cadastro!A80="","",Cadastro!B80)</f>
        <v/>
      </c>
      <c r="C85" s="17" t="str">
        <f aca="false">IF(Cadastro!A80="","",Cadastro!D80)</f>
        <v/>
      </c>
      <c r="D85" s="17" t="str">
        <f aca="false">IF(Cadastro!A80="","",Cadastro!F80)</f>
        <v/>
      </c>
      <c r="E85" s="17" t="str">
        <f aca="false">IF(Cadastro!A80="","",Cadastro!I80)</f>
        <v/>
      </c>
      <c r="F85" s="12" t="n">
        <f aca="false">IF(Cadastro!A80="",0,IF(AND(Cadastro!O80="Ativo",Cadastro!I80=$B$5,ISNUMBER(SEARCH($B$4,Cadastro!J80)),OR($B$6&lt;&gt;"S",Cadastro!E80="S"),OR($B$7&lt;&gt;"S",Cadastro!F80="S")),1,0))</f>
        <v>0</v>
      </c>
      <c r="G85" s="22" t="str">
        <f aca="false">IF(F85=0,"",IF(Cadastro!U80=0,0,Cadastro!X80))</f>
        <v/>
      </c>
      <c r="H85" s="12" t="str">
        <f aca="false">IF(F85=0,"",1+COUNTIF($J$10:$J$309,"&lt;"&amp;J85))</f>
        <v/>
      </c>
      <c r="I85" s="12" t="n">
        <f aca="false">IF(H85=1,1,0)</f>
        <v>0</v>
      </c>
      <c r="J85" s="23" t="n">
        <f aca="false">IF(F85=0,9000000000000000,G85+Cadastro!M80/100000)</f>
        <v>9000000000000000</v>
      </c>
    </row>
    <row r="86" customFormat="false" ht="15" hidden="false" customHeight="false" outlineLevel="0" collapsed="false">
      <c r="A86" s="17" t="str">
        <f aca="false">IF(Cadastro!A81="","",Cadastro!A81)</f>
        <v/>
      </c>
      <c r="B86" s="17" t="str">
        <f aca="false">IF(Cadastro!A81="","",Cadastro!B81)</f>
        <v/>
      </c>
      <c r="C86" s="17" t="str">
        <f aca="false">IF(Cadastro!A81="","",Cadastro!D81)</f>
        <v/>
      </c>
      <c r="D86" s="17" t="str">
        <f aca="false">IF(Cadastro!A81="","",Cadastro!F81)</f>
        <v/>
      </c>
      <c r="E86" s="17" t="str">
        <f aca="false">IF(Cadastro!A81="","",Cadastro!I81)</f>
        <v/>
      </c>
      <c r="F86" s="12" t="n">
        <f aca="false">IF(Cadastro!A81="",0,IF(AND(Cadastro!O81="Ativo",Cadastro!I81=$B$5,ISNUMBER(SEARCH($B$4,Cadastro!J81)),OR($B$6&lt;&gt;"S",Cadastro!E81="S"),OR($B$7&lt;&gt;"S",Cadastro!F81="S")),1,0))</f>
        <v>0</v>
      </c>
      <c r="G86" s="22" t="str">
        <f aca="false">IF(F86=0,"",IF(Cadastro!U81=0,0,Cadastro!X81))</f>
        <v/>
      </c>
      <c r="H86" s="12" t="str">
        <f aca="false">IF(F86=0,"",1+COUNTIF($J$10:$J$309,"&lt;"&amp;J86))</f>
        <v/>
      </c>
      <c r="I86" s="12" t="n">
        <f aca="false">IF(H86=1,1,0)</f>
        <v>0</v>
      </c>
      <c r="J86" s="23" t="n">
        <f aca="false">IF(F86=0,9000000000000000,G86+Cadastro!M81/100000)</f>
        <v>9000000000000000</v>
      </c>
    </row>
    <row r="87" customFormat="false" ht="15" hidden="false" customHeight="false" outlineLevel="0" collapsed="false">
      <c r="A87" s="17" t="str">
        <f aca="false">IF(Cadastro!A82="","",Cadastro!A82)</f>
        <v/>
      </c>
      <c r="B87" s="17" t="str">
        <f aca="false">IF(Cadastro!A82="","",Cadastro!B82)</f>
        <v/>
      </c>
      <c r="C87" s="17" t="str">
        <f aca="false">IF(Cadastro!A82="","",Cadastro!D82)</f>
        <v/>
      </c>
      <c r="D87" s="17" t="str">
        <f aca="false">IF(Cadastro!A82="","",Cadastro!F82)</f>
        <v/>
      </c>
      <c r="E87" s="17" t="str">
        <f aca="false">IF(Cadastro!A82="","",Cadastro!I82)</f>
        <v/>
      </c>
      <c r="F87" s="12" t="n">
        <f aca="false">IF(Cadastro!A82="",0,IF(AND(Cadastro!O82="Ativo",Cadastro!I82=$B$5,ISNUMBER(SEARCH($B$4,Cadastro!J82)),OR($B$6&lt;&gt;"S",Cadastro!E82="S"),OR($B$7&lt;&gt;"S",Cadastro!F82="S")),1,0))</f>
        <v>0</v>
      </c>
      <c r="G87" s="22" t="str">
        <f aca="false">IF(F87=0,"",IF(Cadastro!U82=0,0,Cadastro!X82))</f>
        <v/>
      </c>
      <c r="H87" s="12" t="str">
        <f aca="false">IF(F87=0,"",1+COUNTIF($J$10:$J$309,"&lt;"&amp;J87))</f>
        <v/>
      </c>
      <c r="I87" s="12" t="n">
        <f aca="false">IF(H87=1,1,0)</f>
        <v>0</v>
      </c>
      <c r="J87" s="23" t="n">
        <f aca="false">IF(F87=0,9000000000000000,G87+Cadastro!M82/100000)</f>
        <v>9000000000000000</v>
      </c>
    </row>
    <row r="88" customFormat="false" ht="15" hidden="false" customHeight="false" outlineLevel="0" collapsed="false">
      <c r="A88" s="17" t="str">
        <f aca="false">IF(Cadastro!A83="","",Cadastro!A83)</f>
        <v/>
      </c>
      <c r="B88" s="17" t="str">
        <f aca="false">IF(Cadastro!A83="","",Cadastro!B83)</f>
        <v/>
      </c>
      <c r="C88" s="17" t="str">
        <f aca="false">IF(Cadastro!A83="","",Cadastro!D83)</f>
        <v/>
      </c>
      <c r="D88" s="17" t="str">
        <f aca="false">IF(Cadastro!A83="","",Cadastro!F83)</f>
        <v/>
      </c>
      <c r="E88" s="17" t="str">
        <f aca="false">IF(Cadastro!A83="","",Cadastro!I83)</f>
        <v/>
      </c>
      <c r="F88" s="12" t="n">
        <f aca="false">IF(Cadastro!A83="",0,IF(AND(Cadastro!O83="Ativo",Cadastro!I83=$B$5,ISNUMBER(SEARCH($B$4,Cadastro!J83)),OR($B$6&lt;&gt;"S",Cadastro!E83="S"),OR($B$7&lt;&gt;"S",Cadastro!F83="S")),1,0))</f>
        <v>0</v>
      </c>
      <c r="G88" s="22" t="str">
        <f aca="false">IF(F88=0,"",IF(Cadastro!U83=0,0,Cadastro!X83))</f>
        <v/>
      </c>
      <c r="H88" s="12" t="str">
        <f aca="false">IF(F88=0,"",1+COUNTIF($J$10:$J$309,"&lt;"&amp;J88))</f>
        <v/>
      </c>
      <c r="I88" s="12" t="n">
        <f aca="false">IF(H88=1,1,0)</f>
        <v>0</v>
      </c>
      <c r="J88" s="23" t="n">
        <f aca="false">IF(F88=0,9000000000000000,G88+Cadastro!M83/100000)</f>
        <v>9000000000000000</v>
      </c>
    </row>
    <row r="89" customFormat="false" ht="15" hidden="false" customHeight="false" outlineLevel="0" collapsed="false">
      <c r="A89" s="17" t="str">
        <f aca="false">IF(Cadastro!A84="","",Cadastro!A84)</f>
        <v/>
      </c>
      <c r="B89" s="17" t="str">
        <f aca="false">IF(Cadastro!A84="","",Cadastro!B84)</f>
        <v/>
      </c>
      <c r="C89" s="17" t="str">
        <f aca="false">IF(Cadastro!A84="","",Cadastro!D84)</f>
        <v/>
      </c>
      <c r="D89" s="17" t="str">
        <f aca="false">IF(Cadastro!A84="","",Cadastro!F84)</f>
        <v/>
      </c>
      <c r="E89" s="17" t="str">
        <f aca="false">IF(Cadastro!A84="","",Cadastro!I84)</f>
        <v/>
      </c>
      <c r="F89" s="12" t="n">
        <f aca="false">IF(Cadastro!A84="",0,IF(AND(Cadastro!O84="Ativo",Cadastro!I84=$B$5,ISNUMBER(SEARCH($B$4,Cadastro!J84)),OR($B$6&lt;&gt;"S",Cadastro!E84="S"),OR($B$7&lt;&gt;"S",Cadastro!F84="S")),1,0))</f>
        <v>0</v>
      </c>
      <c r="G89" s="22" t="str">
        <f aca="false">IF(F89=0,"",IF(Cadastro!U84=0,0,Cadastro!X84))</f>
        <v/>
      </c>
      <c r="H89" s="12" t="str">
        <f aca="false">IF(F89=0,"",1+COUNTIF($J$10:$J$309,"&lt;"&amp;J89))</f>
        <v/>
      </c>
      <c r="I89" s="12" t="n">
        <f aca="false">IF(H89=1,1,0)</f>
        <v>0</v>
      </c>
      <c r="J89" s="23" t="n">
        <f aca="false">IF(F89=0,9000000000000000,G89+Cadastro!M84/100000)</f>
        <v>9000000000000000</v>
      </c>
    </row>
    <row r="90" customFormat="false" ht="15" hidden="false" customHeight="false" outlineLevel="0" collapsed="false">
      <c r="A90" s="17" t="str">
        <f aca="false">IF(Cadastro!A85="","",Cadastro!A85)</f>
        <v/>
      </c>
      <c r="B90" s="17" t="str">
        <f aca="false">IF(Cadastro!A85="","",Cadastro!B85)</f>
        <v/>
      </c>
      <c r="C90" s="17" t="str">
        <f aca="false">IF(Cadastro!A85="","",Cadastro!D85)</f>
        <v/>
      </c>
      <c r="D90" s="17" t="str">
        <f aca="false">IF(Cadastro!A85="","",Cadastro!F85)</f>
        <v/>
      </c>
      <c r="E90" s="17" t="str">
        <f aca="false">IF(Cadastro!A85="","",Cadastro!I85)</f>
        <v/>
      </c>
      <c r="F90" s="12" t="n">
        <f aca="false">IF(Cadastro!A85="",0,IF(AND(Cadastro!O85="Ativo",Cadastro!I85=$B$5,ISNUMBER(SEARCH($B$4,Cadastro!J85)),OR($B$6&lt;&gt;"S",Cadastro!E85="S"),OR($B$7&lt;&gt;"S",Cadastro!F85="S")),1,0))</f>
        <v>0</v>
      </c>
      <c r="G90" s="22" t="str">
        <f aca="false">IF(F90=0,"",IF(Cadastro!U85=0,0,Cadastro!X85))</f>
        <v/>
      </c>
      <c r="H90" s="12" t="str">
        <f aca="false">IF(F90=0,"",1+COUNTIF($J$10:$J$309,"&lt;"&amp;J90))</f>
        <v/>
      </c>
      <c r="I90" s="12" t="n">
        <f aca="false">IF(H90=1,1,0)</f>
        <v>0</v>
      </c>
      <c r="J90" s="23" t="n">
        <f aca="false">IF(F90=0,9000000000000000,G90+Cadastro!M85/100000)</f>
        <v>9000000000000000</v>
      </c>
    </row>
    <row r="91" customFormat="false" ht="15" hidden="false" customHeight="false" outlineLevel="0" collapsed="false">
      <c r="A91" s="17" t="str">
        <f aca="false">IF(Cadastro!A86="","",Cadastro!A86)</f>
        <v/>
      </c>
      <c r="B91" s="17" t="str">
        <f aca="false">IF(Cadastro!A86="","",Cadastro!B86)</f>
        <v/>
      </c>
      <c r="C91" s="17" t="str">
        <f aca="false">IF(Cadastro!A86="","",Cadastro!D86)</f>
        <v/>
      </c>
      <c r="D91" s="17" t="str">
        <f aca="false">IF(Cadastro!A86="","",Cadastro!F86)</f>
        <v/>
      </c>
      <c r="E91" s="17" t="str">
        <f aca="false">IF(Cadastro!A86="","",Cadastro!I86)</f>
        <v/>
      </c>
      <c r="F91" s="12" t="n">
        <f aca="false">IF(Cadastro!A86="",0,IF(AND(Cadastro!O86="Ativo",Cadastro!I86=$B$5,ISNUMBER(SEARCH($B$4,Cadastro!J86)),OR($B$6&lt;&gt;"S",Cadastro!E86="S"),OR($B$7&lt;&gt;"S",Cadastro!F86="S")),1,0))</f>
        <v>0</v>
      </c>
      <c r="G91" s="22" t="str">
        <f aca="false">IF(F91=0,"",IF(Cadastro!U86=0,0,Cadastro!X86))</f>
        <v/>
      </c>
      <c r="H91" s="12" t="str">
        <f aca="false">IF(F91=0,"",1+COUNTIF($J$10:$J$309,"&lt;"&amp;J91))</f>
        <v/>
      </c>
      <c r="I91" s="12" t="n">
        <f aca="false">IF(H91=1,1,0)</f>
        <v>0</v>
      </c>
      <c r="J91" s="23" t="n">
        <f aca="false">IF(F91=0,9000000000000000,G91+Cadastro!M86/100000)</f>
        <v>9000000000000000</v>
      </c>
    </row>
    <row r="92" customFormat="false" ht="15" hidden="false" customHeight="false" outlineLevel="0" collapsed="false">
      <c r="A92" s="17" t="str">
        <f aca="false">IF(Cadastro!A87="","",Cadastro!A87)</f>
        <v/>
      </c>
      <c r="B92" s="17" t="str">
        <f aca="false">IF(Cadastro!A87="","",Cadastro!B87)</f>
        <v/>
      </c>
      <c r="C92" s="17" t="str">
        <f aca="false">IF(Cadastro!A87="","",Cadastro!D87)</f>
        <v/>
      </c>
      <c r="D92" s="17" t="str">
        <f aca="false">IF(Cadastro!A87="","",Cadastro!F87)</f>
        <v/>
      </c>
      <c r="E92" s="17" t="str">
        <f aca="false">IF(Cadastro!A87="","",Cadastro!I87)</f>
        <v/>
      </c>
      <c r="F92" s="12" t="n">
        <f aca="false">IF(Cadastro!A87="",0,IF(AND(Cadastro!O87="Ativo",Cadastro!I87=$B$5,ISNUMBER(SEARCH($B$4,Cadastro!J87)),OR($B$6&lt;&gt;"S",Cadastro!E87="S"),OR($B$7&lt;&gt;"S",Cadastro!F87="S")),1,0))</f>
        <v>0</v>
      </c>
      <c r="G92" s="22" t="str">
        <f aca="false">IF(F92=0,"",IF(Cadastro!U87=0,0,Cadastro!X87))</f>
        <v/>
      </c>
      <c r="H92" s="12" t="str">
        <f aca="false">IF(F92=0,"",1+COUNTIF($J$10:$J$309,"&lt;"&amp;J92))</f>
        <v/>
      </c>
      <c r="I92" s="12" t="n">
        <f aca="false">IF(H92=1,1,0)</f>
        <v>0</v>
      </c>
      <c r="J92" s="23" t="n">
        <f aca="false">IF(F92=0,9000000000000000,G92+Cadastro!M87/100000)</f>
        <v>9000000000000000</v>
      </c>
    </row>
    <row r="93" customFormat="false" ht="15" hidden="false" customHeight="false" outlineLevel="0" collapsed="false">
      <c r="A93" s="17" t="str">
        <f aca="false">IF(Cadastro!A88="","",Cadastro!A88)</f>
        <v/>
      </c>
      <c r="B93" s="17" t="str">
        <f aca="false">IF(Cadastro!A88="","",Cadastro!B88)</f>
        <v/>
      </c>
      <c r="C93" s="17" t="str">
        <f aca="false">IF(Cadastro!A88="","",Cadastro!D88)</f>
        <v/>
      </c>
      <c r="D93" s="17" t="str">
        <f aca="false">IF(Cadastro!A88="","",Cadastro!F88)</f>
        <v/>
      </c>
      <c r="E93" s="17" t="str">
        <f aca="false">IF(Cadastro!A88="","",Cadastro!I88)</f>
        <v/>
      </c>
      <c r="F93" s="12" t="n">
        <f aca="false">IF(Cadastro!A88="",0,IF(AND(Cadastro!O88="Ativo",Cadastro!I88=$B$5,ISNUMBER(SEARCH($B$4,Cadastro!J88)),OR($B$6&lt;&gt;"S",Cadastro!E88="S"),OR($B$7&lt;&gt;"S",Cadastro!F88="S")),1,0))</f>
        <v>0</v>
      </c>
      <c r="G93" s="22" t="str">
        <f aca="false">IF(F93=0,"",IF(Cadastro!U88=0,0,Cadastro!X88))</f>
        <v/>
      </c>
      <c r="H93" s="12" t="str">
        <f aca="false">IF(F93=0,"",1+COUNTIF($J$10:$J$309,"&lt;"&amp;J93))</f>
        <v/>
      </c>
      <c r="I93" s="12" t="n">
        <f aca="false">IF(H93=1,1,0)</f>
        <v>0</v>
      </c>
      <c r="J93" s="23" t="n">
        <f aca="false">IF(F93=0,9000000000000000,G93+Cadastro!M88/100000)</f>
        <v>9000000000000000</v>
      </c>
    </row>
    <row r="94" customFormat="false" ht="15" hidden="false" customHeight="false" outlineLevel="0" collapsed="false">
      <c r="A94" s="17" t="str">
        <f aca="false">IF(Cadastro!A89="","",Cadastro!A89)</f>
        <v/>
      </c>
      <c r="B94" s="17" t="str">
        <f aca="false">IF(Cadastro!A89="","",Cadastro!B89)</f>
        <v/>
      </c>
      <c r="C94" s="17" t="str">
        <f aca="false">IF(Cadastro!A89="","",Cadastro!D89)</f>
        <v/>
      </c>
      <c r="D94" s="17" t="str">
        <f aca="false">IF(Cadastro!A89="","",Cadastro!F89)</f>
        <v/>
      </c>
      <c r="E94" s="17" t="str">
        <f aca="false">IF(Cadastro!A89="","",Cadastro!I89)</f>
        <v/>
      </c>
      <c r="F94" s="12" t="n">
        <f aca="false">IF(Cadastro!A89="",0,IF(AND(Cadastro!O89="Ativo",Cadastro!I89=$B$5,ISNUMBER(SEARCH($B$4,Cadastro!J89)),OR($B$6&lt;&gt;"S",Cadastro!E89="S"),OR($B$7&lt;&gt;"S",Cadastro!F89="S")),1,0))</f>
        <v>0</v>
      </c>
      <c r="G94" s="22" t="str">
        <f aca="false">IF(F94=0,"",IF(Cadastro!U89=0,0,Cadastro!X89))</f>
        <v/>
      </c>
      <c r="H94" s="12" t="str">
        <f aca="false">IF(F94=0,"",1+COUNTIF($J$10:$J$309,"&lt;"&amp;J94))</f>
        <v/>
      </c>
      <c r="I94" s="12" t="n">
        <f aca="false">IF(H94=1,1,0)</f>
        <v>0</v>
      </c>
      <c r="J94" s="23" t="n">
        <f aca="false">IF(F94=0,9000000000000000,G94+Cadastro!M89/100000)</f>
        <v>9000000000000000</v>
      </c>
    </row>
    <row r="95" customFormat="false" ht="15" hidden="false" customHeight="false" outlineLevel="0" collapsed="false">
      <c r="A95" s="17" t="str">
        <f aca="false">IF(Cadastro!A90="","",Cadastro!A90)</f>
        <v/>
      </c>
      <c r="B95" s="17" t="str">
        <f aca="false">IF(Cadastro!A90="","",Cadastro!B90)</f>
        <v/>
      </c>
      <c r="C95" s="17" t="str">
        <f aca="false">IF(Cadastro!A90="","",Cadastro!D90)</f>
        <v/>
      </c>
      <c r="D95" s="17" t="str">
        <f aca="false">IF(Cadastro!A90="","",Cadastro!F90)</f>
        <v/>
      </c>
      <c r="E95" s="17" t="str">
        <f aca="false">IF(Cadastro!A90="","",Cadastro!I90)</f>
        <v/>
      </c>
      <c r="F95" s="12" t="n">
        <f aca="false">IF(Cadastro!A90="",0,IF(AND(Cadastro!O90="Ativo",Cadastro!I90=$B$5,ISNUMBER(SEARCH($B$4,Cadastro!J90)),OR($B$6&lt;&gt;"S",Cadastro!E90="S"),OR($B$7&lt;&gt;"S",Cadastro!F90="S")),1,0))</f>
        <v>0</v>
      </c>
      <c r="G95" s="22" t="str">
        <f aca="false">IF(F95=0,"",IF(Cadastro!U90=0,0,Cadastro!X90))</f>
        <v/>
      </c>
      <c r="H95" s="12" t="str">
        <f aca="false">IF(F95=0,"",1+COUNTIF($J$10:$J$309,"&lt;"&amp;J95))</f>
        <v/>
      </c>
      <c r="I95" s="12" t="n">
        <f aca="false">IF(H95=1,1,0)</f>
        <v>0</v>
      </c>
      <c r="J95" s="23" t="n">
        <f aca="false">IF(F95=0,9000000000000000,G95+Cadastro!M90/100000)</f>
        <v>9000000000000000</v>
      </c>
    </row>
    <row r="96" customFormat="false" ht="15" hidden="false" customHeight="false" outlineLevel="0" collapsed="false">
      <c r="A96" s="17" t="str">
        <f aca="false">IF(Cadastro!A91="","",Cadastro!A91)</f>
        <v/>
      </c>
      <c r="B96" s="17" t="str">
        <f aca="false">IF(Cadastro!A91="","",Cadastro!B91)</f>
        <v/>
      </c>
      <c r="C96" s="17" t="str">
        <f aca="false">IF(Cadastro!A91="","",Cadastro!D91)</f>
        <v/>
      </c>
      <c r="D96" s="17" t="str">
        <f aca="false">IF(Cadastro!A91="","",Cadastro!F91)</f>
        <v/>
      </c>
      <c r="E96" s="17" t="str">
        <f aca="false">IF(Cadastro!A91="","",Cadastro!I91)</f>
        <v/>
      </c>
      <c r="F96" s="12" t="n">
        <f aca="false">IF(Cadastro!A91="",0,IF(AND(Cadastro!O91="Ativo",Cadastro!I91=$B$5,ISNUMBER(SEARCH($B$4,Cadastro!J91)),OR($B$6&lt;&gt;"S",Cadastro!E91="S"),OR($B$7&lt;&gt;"S",Cadastro!F91="S")),1,0))</f>
        <v>0</v>
      </c>
      <c r="G96" s="22" t="str">
        <f aca="false">IF(F96=0,"",IF(Cadastro!U91=0,0,Cadastro!X91))</f>
        <v/>
      </c>
      <c r="H96" s="12" t="str">
        <f aca="false">IF(F96=0,"",1+COUNTIF($J$10:$J$309,"&lt;"&amp;J96))</f>
        <v/>
      </c>
      <c r="I96" s="12" t="n">
        <f aca="false">IF(H96=1,1,0)</f>
        <v>0</v>
      </c>
      <c r="J96" s="23" t="n">
        <f aca="false">IF(F96=0,9000000000000000,G96+Cadastro!M91/100000)</f>
        <v>9000000000000000</v>
      </c>
    </row>
    <row r="97" customFormat="false" ht="15" hidden="false" customHeight="false" outlineLevel="0" collapsed="false">
      <c r="A97" s="17" t="str">
        <f aca="false">IF(Cadastro!A92="","",Cadastro!A92)</f>
        <v/>
      </c>
      <c r="B97" s="17" t="str">
        <f aca="false">IF(Cadastro!A92="","",Cadastro!B92)</f>
        <v/>
      </c>
      <c r="C97" s="17" t="str">
        <f aca="false">IF(Cadastro!A92="","",Cadastro!D92)</f>
        <v/>
      </c>
      <c r="D97" s="17" t="str">
        <f aca="false">IF(Cadastro!A92="","",Cadastro!F92)</f>
        <v/>
      </c>
      <c r="E97" s="17" t="str">
        <f aca="false">IF(Cadastro!A92="","",Cadastro!I92)</f>
        <v/>
      </c>
      <c r="F97" s="12" t="n">
        <f aca="false">IF(Cadastro!A92="",0,IF(AND(Cadastro!O92="Ativo",Cadastro!I92=$B$5,ISNUMBER(SEARCH($B$4,Cadastro!J92)),OR($B$6&lt;&gt;"S",Cadastro!E92="S"),OR($B$7&lt;&gt;"S",Cadastro!F92="S")),1,0))</f>
        <v>0</v>
      </c>
      <c r="G97" s="22" t="str">
        <f aca="false">IF(F97=0,"",IF(Cadastro!U92=0,0,Cadastro!X92))</f>
        <v/>
      </c>
      <c r="H97" s="12" t="str">
        <f aca="false">IF(F97=0,"",1+COUNTIF($J$10:$J$309,"&lt;"&amp;J97))</f>
        <v/>
      </c>
      <c r="I97" s="12" t="n">
        <f aca="false">IF(H97=1,1,0)</f>
        <v>0</v>
      </c>
      <c r="J97" s="23" t="n">
        <f aca="false">IF(F97=0,9000000000000000,G97+Cadastro!M92/100000)</f>
        <v>9000000000000000</v>
      </c>
    </row>
    <row r="98" customFormat="false" ht="15" hidden="false" customHeight="false" outlineLevel="0" collapsed="false">
      <c r="A98" s="17" t="str">
        <f aca="false">IF(Cadastro!A93="","",Cadastro!A93)</f>
        <v/>
      </c>
      <c r="B98" s="17" t="str">
        <f aca="false">IF(Cadastro!A93="","",Cadastro!B93)</f>
        <v/>
      </c>
      <c r="C98" s="17" t="str">
        <f aca="false">IF(Cadastro!A93="","",Cadastro!D93)</f>
        <v/>
      </c>
      <c r="D98" s="17" t="str">
        <f aca="false">IF(Cadastro!A93="","",Cadastro!F93)</f>
        <v/>
      </c>
      <c r="E98" s="17" t="str">
        <f aca="false">IF(Cadastro!A93="","",Cadastro!I93)</f>
        <v/>
      </c>
      <c r="F98" s="12" t="n">
        <f aca="false">IF(Cadastro!A93="",0,IF(AND(Cadastro!O93="Ativo",Cadastro!I93=$B$5,ISNUMBER(SEARCH($B$4,Cadastro!J93)),OR($B$6&lt;&gt;"S",Cadastro!E93="S"),OR($B$7&lt;&gt;"S",Cadastro!F93="S")),1,0))</f>
        <v>0</v>
      </c>
      <c r="G98" s="22" t="str">
        <f aca="false">IF(F98=0,"",IF(Cadastro!U93=0,0,Cadastro!X93))</f>
        <v/>
      </c>
      <c r="H98" s="12" t="str">
        <f aca="false">IF(F98=0,"",1+COUNTIF($J$10:$J$309,"&lt;"&amp;J98))</f>
        <v/>
      </c>
      <c r="I98" s="12" t="n">
        <f aca="false">IF(H98=1,1,0)</f>
        <v>0</v>
      </c>
      <c r="J98" s="23" t="n">
        <f aca="false">IF(F98=0,9000000000000000,G98+Cadastro!M93/100000)</f>
        <v>9000000000000000</v>
      </c>
    </row>
    <row r="99" customFormat="false" ht="15" hidden="false" customHeight="false" outlineLevel="0" collapsed="false">
      <c r="A99" s="17" t="str">
        <f aca="false">IF(Cadastro!A94="","",Cadastro!A94)</f>
        <v/>
      </c>
      <c r="B99" s="17" t="str">
        <f aca="false">IF(Cadastro!A94="","",Cadastro!B94)</f>
        <v/>
      </c>
      <c r="C99" s="17" t="str">
        <f aca="false">IF(Cadastro!A94="","",Cadastro!D94)</f>
        <v/>
      </c>
      <c r="D99" s="17" t="str">
        <f aca="false">IF(Cadastro!A94="","",Cadastro!F94)</f>
        <v/>
      </c>
      <c r="E99" s="17" t="str">
        <f aca="false">IF(Cadastro!A94="","",Cadastro!I94)</f>
        <v/>
      </c>
      <c r="F99" s="12" t="n">
        <f aca="false">IF(Cadastro!A94="",0,IF(AND(Cadastro!O94="Ativo",Cadastro!I94=$B$5,ISNUMBER(SEARCH($B$4,Cadastro!J94)),OR($B$6&lt;&gt;"S",Cadastro!E94="S"),OR($B$7&lt;&gt;"S",Cadastro!F94="S")),1,0))</f>
        <v>0</v>
      </c>
      <c r="G99" s="22" t="str">
        <f aca="false">IF(F99=0,"",IF(Cadastro!U94=0,0,Cadastro!X94))</f>
        <v/>
      </c>
      <c r="H99" s="12" t="str">
        <f aca="false">IF(F99=0,"",1+COUNTIF($J$10:$J$309,"&lt;"&amp;J99))</f>
        <v/>
      </c>
      <c r="I99" s="12" t="n">
        <f aca="false">IF(H99=1,1,0)</f>
        <v>0</v>
      </c>
      <c r="J99" s="23" t="n">
        <f aca="false">IF(F99=0,9000000000000000,G99+Cadastro!M94/100000)</f>
        <v>9000000000000000</v>
      </c>
    </row>
    <row r="100" customFormat="false" ht="15" hidden="false" customHeight="false" outlineLevel="0" collapsed="false">
      <c r="A100" s="17" t="str">
        <f aca="false">IF(Cadastro!A95="","",Cadastro!A95)</f>
        <v/>
      </c>
      <c r="B100" s="17" t="str">
        <f aca="false">IF(Cadastro!A95="","",Cadastro!B95)</f>
        <v/>
      </c>
      <c r="C100" s="17" t="str">
        <f aca="false">IF(Cadastro!A95="","",Cadastro!D95)</f>
        <v/>
      </c>
      <c r="D100" s="17" t="str">
        <f aca="false">IF(Cadastro!A95="","",Cadastro!F95)</f>
        <v/>
      </c>
      <c r="E100" s="17" t="str">
        <f aca="false">IF(Cadastro!A95="","",Cadastro!I95)</f>
        <v/>
      </c>
      <c r="F100" s="12" t="n">
        <f aca="false">IF(Cadastro!A95="",0,IF(AND(Cadastro!O95="Ativo",Cadastro!I95=$B$5,ISNUMBER(SEARCH($B$4,Cadastro!J95)),OR($B$6&lt;&gt;"S",Cadastro!E95="S"),OR($B$7&lt;&gt;"S",Cadastro!F95="S")),1,0))</f>
        <v>0</v>
      </c>
      <c r="G100" s="22" t="str">
        <f aca="false">IF(F100=0,"",IF(Cadastro!U95=0,0,Cadastro!X95))</f>
        <v/>
      </c>
      <c r="H100" s="12" t="str">
        <f aca="false">IF(F100=0,"",1+COUNTIF($J$10:$J$309,"&lt;"&amp;J100))</f>
        <v/>
      </c>
      <c r="I100" s="12" t="n">
        <f aca="false">IF(H100=1,1,0)</f>
        <v>0</v>
      </c>
      <c r="J100" s="23" t="n">
        <f aca="false">IF(F100=0,9000000000000000,G100+Cadastro!M95/100000)</f>
        <v>9000000000000000</v>
      </c>
    </row>
    <row r="101" customFormat="false" ht="15" hidden="false" customHeight="false" outlineLevel="0" collapsed="false">
      <c r="A101" s="17" t="str">
        <f aca="false">IF(Cadastro!A96="","",Cadastro!A96)</f>
        <v/>
      </c>
      <c r="B101" s="17" t="str">
        <f aca="false">IF(Cadastro!A96="","",Cadastro!B96)</f>
        <v/>
      </c>
      <c r="C101" s="17" t="str">
        <f aca="false">IF(Cadastro!A96="","",Cadastro!D96)</f>
        <v/>
      </c>
      <c r="D101" s="17" t="str">
        <f aca="false">IF(Cadastro!A96="","",Cadastro!F96)</f>
        <v/>
      </c>
      <c r="E101" s="17" t="str">
        <f aca="false">IF(Cadastro!A96="","",Cadastro!I96)</f>
        <v/>
      </c>
      <c r="F101" s="12" t="n">
        <f aca="false">IF(Cadastro!A96="",0,IF(AND(Cadastro!O96="Ativo",Cadastro!I96=$B$5,ISNUMBER(SEARCH($B$4,Cadastro!J96)),OR($B$6&lt;&gt;"S",Cadastro!E96="S"),OR($B$7&lt;&gt;"S",Cadastro!F96="S")),1,0))</f>
        <v>0</v>
      </c>
      <c r="G101" s="22" t="str">
        <f aca="false">IF(F101=0,"",IF(Cadastro!U96=0,0,Cadastro!X96))</f>
        <v/>
      </c>
      <c r="H101" s="12" t="str">
        <f aca="false">IF(F101=0,"",1+COUNTIF($J$10:$J$309,"&lt;"&amp;J101))</f>
        <v/>
      </c>
      <c r="I101" s="12" t="n">
        <f aca="false">IF(H101=1,1,0)</f>
        <v>0</v>
      </c>
      <c r="J101" s="23" t="n">
        <f aca="false">IF(F101=0,9000000000000000,G101+Cadastro!M96/100000)</f>
        <v>9000000000000000</v>
      </c>
    </row>
    <row r="102" customFormat="false" ht="15" hidden="false" customHeight="false" outlineLevel="0" collapsed="false">
      <c r="A102" s="17" t="str">
        <f aca="false">IF(Cadastro!A97="","",Cadastro!A97)</f>
        <v/>
      </c>
      <c r="B102" s="17" t="str">
        <f aca="false">IF(Cadastro!A97="","",Cadastro!B97)</f>
        <v/>
      </c>
      <c r="C102" s="17" t="str">
        <f aca="false">IF(Cadastro!A97="","",Cadastro!D97)</f>
        <v/>
      </c>
      <c r="D102" s="17" t="str">
        <f aca="false">IF(Cadastro!A97="","",Cadastro!F97)</f>
        <v/>
      </c>
      <c r="E102" s="17" t="str">
        <f aca="false">IF(Cadastro!A97="","",Cadastro!I97)</f>
        <v/>
      </c>
      <c r="F102" s="12" t="n">
        <f aca="false">IF(Cadastro!A97="",0,IF(AND(Cadastro!O97="Ativo",Cadastro!I97=$B$5,ISNUMBER(SEARCH($B$4,Cadastro!J97)),OR($B$6&lt;&gt;"S",Cadastro!E97="S"),OR($B$7&lt;&gt;"S",Cadastro!F97="S")),1,0))</f>
        <v>0</v>
      </c>
      <c r="G102" s="22" t="str">
        <f aca="false">IF(F102=0,"",IF(Cadastro!U97=0,0,Cadastro!X97))</f>
        <v/>
      </c>
      <c r="H102" s="12" t="str">
        <f aca="false">IF(F102=0,"",1+COUNTIF($J$10:$J$309,"&lt;"&amp;J102))</f>
        <v/>
      </c>
      <c r="I102" s="12" t="n">
        <f aca="false">IF(H102=1,1,0)</f>
        <v>0</v>
      </c>
      <c r="J102" s="23" t="n">
        <f aca="false">IF(F102=0,9000000000000000,G102+Cadastro!M97/100000)</f>
        <v>9000000000000000</v>
      </c>
    </row>
    <row r="103" customFormat="false" ht="15" hidden="false" customHeight="false" outlineLevel="0" collapsed="false">
      <c r="A103" s="17" t="str">
        <f aca="false">IF(Cadastro!A98="","",Cadastro!A98)</f>
        <v/>
      </c>
      <c r="B103" s="17" t="str">
        <f aca="false">IF(Cadastro!A98="","",Cadastro!B98)</f>
        <v/>
      </c>
      <c r="C103" s="17" t="str">
        <f aca="false">IF(Cadastro!A98="","",Cadastro!D98)</f>
        <v/>
      </c>
      <c r="D103" s="17" t="str">
        <f aca="false">IF(Cadastro!A98="","",Cadastro!F98)</f>
        <v/>
      </c>
      <c r="E103" s="17" t="str">
        <f aca="false">IF(Cadastro!A98="","",Cadastro!I98)</f>
        <v/>
      </c>
      <c r="F103" s="12" t="n">
        <f aca="false">IF(Cadastro!A98="",0,IF(AND(Cadastro!O98="Ativo",Cadastro!I98=$B$5,ISNUMBER(SEARCH($B$4,Cadastro!J98)),OR($B$6&lt;&gt;"S",Cadastro!E98="S"),OR($B$7&lt;&gt;"S",Cadastro!F98="S")),1,0))</f>
        <v>0</v>
      </c>
      <c r="G103" s="22" t="str">
        <f aca="false">IF(F103=0,"",IF(Cadastro!U98=0,0,Cadastro!X98))</f>
        <v/>
      </c>
      <c r="H103" s="12" t="str">
        <f aca="false">IF(F103=0,"",1+COUNTIF($J$10:$J$309,"&lt;"&amp;J103))</f>
        <v/>
      </c>
      <c r="I103" s="12" t="n">
        <f aca="false">IF(H103=1,1,0)</f>
        <v>0</v>
      </c>
      <c r="J103" s="23" t="n">
        <f aca="false">IF(F103=0,9000000000000000,G103+Cadastro!M98/100000)</f>
        <v>9000000000000000</v>
      </c>
    </row>
    <row r="104" customFormat="false" ht="15" hidden="false" customHeight="false" outlineLevel="0" collapsed="false">
      <c r="A104" s="17" t="str">
        <f aca="false">IF(Cadastro!A99="","",Cadastro!A99)</f>
        <v/>
      </c>
      <c r="B104" s="17" t="str">
        <f aca="false">IF(Cadastro!A99="","",Cadastro!B99)</f>
        <v/>
      </c>
      <c r="C104" s="17" t="str">
        <f aca="false">IF(Cadastro!A99="","",Cadastro!D99)</f>
        <v/>
      </c>
      <c r="D104" s="17" t="str">
        <f aca="false">IF(Cadastro!A99="","",Cadastro!F99)</f>
        <v/>
      </c>
      <c r="E104" s="17" t="str">
        <f aca="false">IF(Cadastro!A99="","",Cadastro!I99)</f>
        <v/>
      </c>
      <c r="F104" s="12" t="n">
        <f aca="false">IF(Cadastro!A99="",0,IF(AND(Cadastro!O99="Ativo",Cadastro!I99=$B$5,ISNUMBER(SEARCH($B$4,Cadastro!J99)),OR($B$6&lt;&gt;"S",Cadastro!E99="S"),OR($B$7&lt;&gt;"S",Cadastro!F99="S")),1,0))</f>
        <v>0</v>
      </c>
      <c r="G104" s="22" t="str">
        <f aca="false">IF(F104=0,"",IF(Cadastro!U99=0,0,Cadastro!X99))</f>
        <v/>
      </c>
      <c r="H104" s="12" t="str">
        <f aca="false">IF(F104=0,"",1+COUNTIF($J$10:$J$309,"&lt;"&amp;J104))</f>
        <v/>
      </c>
      <c r="I104" s="12" t="n">
        <f aca="false">IF(H104=1,1,0)</f>
        <v>0</v>
      </c>
      <c r="J104" s="23" t="n">
        <f aca="false">IF(F104=0,9000000000000000,G104+Cadastro!M99/100000)</f>
        <v>9000000000000000</v>
      </c>
    </row>
    <row r="105" customFormat="false" ht="15" hidden="false" customHeight="false" outlineLevel="0" collapsed="false">
      <c r="A105" s="17" t="str">
        <f aca="false">IF(Cadastro!A100="","",Cadastro!A100)</f>
        <v/>
      </c>
      <c r="B105" s="17" t="str">
        <f aca="false">IF(Cadastro!A100="","",Cadastro!B100)</f>
        <v/>
      </c>
      <c r="C105" s="17" t="str">
        <f aca="false">IF(Cadastro!A100="","",Cadastro!D100)</f>
        <v/>
      </c>
      <c r="D105" s="17" t="str">
        <f aca="false">IF(Cadastro!A100="","",Cadastro!F100)</f>
        <v/>
      </c>
      <c r="E105" s="17" t="str">
        <f aca="false">IF(Cadastro!A100="","",Cadastro!I100)</f>
        <v/>
      </c>
      <c r="F105" s="12" t="n">
        <f aca="false">IF(Cadastro!A100="",0,IF(AND(Cadastro!O100="Ativo",Cadastro!I100=$B$5,ISNUMBER(SEARCH($B$4,Cadastro!J100)),OR($B$6&lt;&gt;"S",Cadastro!E100="S"),OR($B$7&lt;&gt;"S",Cadastro!F100="S")),1,0))</f>
        <v>0</v>
      </c>
      <c r="G105" s="22" t="str">
        <f aca="false">IF(F105=0,"",IF(Cadastro!U100=0,0,Cadastro!X100))</f>
        <v/>
      </c>
      <c r="H105" s="12" t="str">
        <f aca="false">IF(F105=0,"",1+COUNTIF($J$10:$J$309,"&lt;"&amp;J105))</f>
        <v/>
      </c>
      <c r="I105" s="12" t="n">
        <f aca="false">IF(H105=1,1,0)</f>
        <v>0</v>
      </c>
      <c r="J105" s="23" t="n">
        <f aca="false">IF(F105=0,9000000000000000,G105+Cadastro!M100/100000)</f>
        <v>9000000000000000</v>
      </c>
    </row>
    <row r="106" customFormat="false" ht="15" hidden="false" customHeight="false" outlineLevel="0" collapsed="false">
      <c r="A106" s="17" t="str">
        <f aca="false">IF(Cadastro!A101="","",Cadastro!A101)</f>
        <v/>
      </c>
      <c r="B106" s="17" t="str">
        <f aca="false">IF(Cadastro!A101="","",Cadastro!B101)</f>
        <v/>
      </c>
      <c r="C106" s="17" t="str">
        <f aca="false">IF(Cadastro!A101="","",Cadastro!D101)</f>
        <v/>
      </c>
      <c r="D106" s="17" t="str">
        <f aca="false">IF(Cadastro!A101="","",Cadastro!F101)</f>
        <v/>
      </c>
      <c r="E106" s="17" t="str">
        <f aca="false">IF(Cadastro!A101="","",Cadastro!I101)</f>
        <v/>
      </c>
      <c r="F106" s="12" t="n">
        <f aca="false">IF(Cadastro!A101="",0,IF(AND(Cadastro!O101="Ativo",Cadastro!I101=$B$5,ISNUMBER(SEARCH($B$4,Cadastro!J101)),OR($B$6&lt;&gt;"S",Cadastro!E101="S"),OR($B$7&lt;&gt;"S",Cadastro!F101="S")),1,0))</f>
        <v>0</v>
      </c>
      <c r="G106" s="22" t="str">
        <f aca="false">IF(F106=0,"",IF(Cadastro!U101=0,0,Cadastro!X101))</f>
        <v/>
      </c>
      <c r="H106" s="12" t="str">
        <f aca="false">IF(F106=0,"",1+COUNTIF($J$10:$J$309,"&lt;"&amp;J106))</f>
        <v/>
      </c>
      <c r="I106" s="12" t="n">
        <f aca="false">IF(H106=1,1,0)</f>
        <v>0</v>
      </c>
      <c r="J106" s="23" t="n">
        <f aca="false">IF(F106=0,9000000000000000,G106+Cadastro!M101/100000)</f>
        <v>9000000000000000</v>
      </c>
    </row>
    <row r="107" customFormat="false" ht="15" hidden="false" customHeight="false" outlineLevel="0" collapsed="false">
      <c r="A107" s="17" t="str">
        <f aca="false">IF(Cadastro!A102="","",Cadastro!A102)</f>
        <v/>
      </c>
      <c r="B107" s="17" t="str">
        <f aca="false">IF(Cadastro!A102="","",Cadastro!B102)</f>
        <v/>
      </c>
      <c r="C107" s="17" t="str">
        <f aca="false">IF(Cadastro!A102="","",Cadastro!D102)</f>
        <v/>
      </c>
      <c r="D107" s="17" t="str">
        <f aca="false">IF(Cadastro!A102="","",Cadastro!F102)</f>
        <v/>
      </c>
      <c r="E107" s="17" t="str">
        <f aca="false">IF(Cadastro!A102="","",Cadastro!I102)</f>
        <v/>
      </c>
      <c r="F107" s="12" t="n">
        <f aca="false">IF(Cadastro!A102="",0,IF(AND(Cadastro!O102="Ativo",Cadastro!I102=$B$5,ISNUMBER(SEARCH($B$4,Cadastro!J102)),OR($B$6&lt;&gt;"S",Cadastro!E102="S"),OR($B$7&lt;&gt;"S",Cadastro!F102="S")),1,0))</f>
        <v>0</v>
      </c>
      <c r="G107" s="22" t="str">
        <f aca="false">IF(F107=0,"",IF(Cadastro!U102=0,0,Cadastro!X102))</f>
        <v/>
      </c>
      <c r="H107" s="12" t="str">
        <f aca="false">IF(F107=0,"",1+COUNTIF($J$10:$J$309,"&lt;"&amp;J107))</f>
        <v/>
      </c>
      <c r="I107" s="12" t="n">
        <f aca="false">IF(H107=1,1,0)</f>
        <v>0</v>
      </c>
      <c r="J107" s="23" t="n">
        <f aca="false">IF(F107=0,9000000000000000,G107+Cadastro!M102/100000)</f>
        <v>9000000000000000</v>
      </c>
    </row>
    <row r="108" customFormat="false" ht="15" hidden="false" customHeight="false" outlineLevel="0" collapsed="false">
      <c r="A108" s="17" t="str">
        <f aca="false">IF(Cadastro!A103="","",Cadastro!A103)</f>
        <v/>
      </c>
      <c r="B108" s="17" t="str">
        <f aca="false">IF(Cadastro!A103="","",Cadastro!B103)</f>
        <v/>
      </c>
      <c r="C108" s="17" t="str">
        <f aca="false">IF(Cadastro!A103="","",Cadastro!D103)</f>
        <v/>
      </c>
      <c r="D108" s="17" t="str">
        <f aca="false">IF(Cadastro!A103="","",Cadastro!F103)</f>
        <v/>
      </c>
      <c r="E108" s="17" t="str">
        <f aca="false">IF(Cadastro!A103="","",Cadastro!I103)</f>
        <v/>
      </c>
      <c r="F108" s="12" t="n">
        <f aca="false">IF(Cadastro!A103="",0,IF(AND(Cadastro!O103="Ativo",Cadastro!I103=$B$5,ISNUMBER(SEARCH($B$4,Cadastro!J103)),OR($B$6&lt;&gt;"S",Cadastro!E103="S"),OR($B$7&lt;&gt;"S",Cadastro!F103="S")),1,0))</f>
        <v>0</v>
      </c>
      <c r="G108" s="22" t="str">
        <f aca="false">IF(F108=0,"",IF(Cadastro!U103=0,0,Cadastro!X103))</f>
        <v/>
      </c>
      <c r="H108" s="12" t="str">
        <f aca="false">IF(F108=0,"",1+COUNTIF($J$10:$J$309,"&lt;"&amp;J108))</f>
        <v/>
      </c>
      <c r="I108" s="12" t="n">
        <f aca="false">IF(H108=1,1,0)</f>
        <v>0</v>
      </c>
      <c r="J108" s="23" t="n">
        <f aca="false">IF(F108=0,9000000000000000,G108+Cadastro!M103/100000)</f>
        <v>9000000000000000</v>
      </c>
    </row>
    <row r="109" customFormat="false" ht="15" hidden="false" customHeight="false" outlineLevel="0" collapsed="false">
      <c r="A109" s="17" t="str">
        <f aca="false">IF(Cadastro!A104="","",Cadastro!A104)</f>
        <v/>
      </c>
      <c r="B109" s="17" t="str">
        <f aca="false">IF(Cadastro!A104="","",Cadastro!B104)</f>
        <v/>
      </c>
      <c r="C109" s="17" t="str">
        <f aca="false">IF(Cadastro!A104="","",Cadastro!D104)</f>
        <v/>
      </c>
      <c r="D109" s="17" t="str">
        <f aca="false">IF(Cadastro!A104="","",Cadastro!F104)</f>
        <v/>
      </c>
      <c r="E109" s="17" t="str">
        <f aca="false">IF(Cadastro!A104="","",Cadastro!I104)</f>
        <v/>
      </c>
      <c r="F109" s="12" t="n">
        <f aca="false">IF(Cadastro!A104="",0,IF(AND(Cadastro!O104="Ativo",Cadastro!I104=$B$5,ISNUMBER(SEARCH($B$4,Cadastro!J104)),OR($B$6&lt;&gt;"S",Cadastro!E104="S"),OR($B$7&lt;&gt;"S",Cadastro!F104="S")),1,0))</f>
        <v>0</v>
      </c>
      <c r="G109" s="22" t="str">
        <f aca="false">IF(F109=0,"",IF(Cadastro!U104=0,0,Cadastro!X104))</f>
        <v/>
      </c>
      <c r="H109" s="12" t="str">
        <f aca="false">IF(F109=0,"",1+COUNTIF($J$10:$J$309,"&lt;"&amp;J109))</f>
        <v/>
      </c>
      <c r="I109" s="12" t="n">
        <f aca="false">IF(H109=1,1,0)</f>
        <v>0</v>
      </c>
      <c r="J109" s="23" t="n">
        <f aca="false">IF(F109=0,9000000000000000,G109+Cadastro!M104/100000)</f>
        <v>9000000000000000</v>
      </c>
    </row>
    <row r="110" customFormat="false" ht="15" hidden="false" customHeight="false" outlineLevel="0" collapsed="false">
      <c r="A110" s="17" t="str">
        <f aca="false">IF(Cadastro!A105="","",Cadastro!A105)</f>
        <v/>
      </c>
      <c r="B110" s="17" t="str">
        <f aca="false">IF(Cadastro!A105="","",Cadastro!B105)</f>
        <v/>
      </c>
      <c r="C110" s="17" t="str">
        <f aca="false">IF(Cadastro!A105="","",Cadastro!D105)</f>
        <v/>
      </c>
      <c r="D110" s="17" t="str">
        <f aca="false">IF(Cadastro!A105="","",Cadastro!F105)</f>
        <v/>
      </c>
      <c r="E110" s="17" t="str">
        <f aca="false">IF(Cadastro!A105="","",Cadastro!I105)</f>
        <v/>
      </c>
      <c r="F110" s="12" t="n">
        <f aca="false">IF(Cadastro!A105="",0,IF(AND(Cadastro!O105="Ativo",Cadastro!I105=$B$5,ISNUMBER(SEARCH($B$4,Cadastro!J105)),OR($B$6&lt;&gt;"S",Cadastro!E105="S"),OR($B$7&lt;&gt;"S",Cadastro!F105="S")),1,0))</f>
        <v>0</v>
      </c>
      <c r="G110" s="22" t="str">
        <f aca="false">IF(F110=0,"",IF(Cadastro!U105=0,0,Cadastro!X105))</f>
        <v/>
      </c>
      <c r="H110" s="12" t="str">
        <f aca="false">IF(F110=0,"",1+COUNTIF($J$10:$J$309,"&lt;"&amp;J110))</f>
        <v/>
      </c>
      <c r="I110" s="12" t="n">
        <f aca="false">IF(H110=1,1,0)</f>
        <v>0</v>
      </c>
      <c r="J110" s="23" t="n">
        <f aca="false">IF(F110=0,9000000000000000,G110+Cadastro!M105/100000)</f>
        <v>9000000000000000</v>
      </c>
    </row>
    <row r="111" customFormat="false" ht="15" hidden="false" customHeight="false" outlineLevel="0" collapsed="false">
      <c r="A111" s="17" t="str">
        <f aca="false">IF(Cadastro!A106="","",Cadastro!A106)</f>
        <v/>
      </c>
      <c r="B111" s="17" t="str">
        <f aca="false">IF(Cadastro!A106="","",Cadastro!B106)</f>
        <v/>
      </c>
      <c r="C111" s="17" t="str">
        <f aca="false">IF(Cadastro!A106="","",Cadastro!D106)</f>
        <v/>
      </c>
      <c r="D111" s="17" t="str">
        <f aca="false">IF(Cadastro!A106="","",Cadastro!F106)</f>
        <v/>
      </c>
      <c r="E111" s="17" t="str">
        <f aca="false">IF(Cadastro!A106="","",Cadastro!I106)</f>
        <v/>
      </c>
      <c r="F111" s="12" t="n">
        <f aca="false">IF(Cadastro!A106="",0,IF(AND(Cadastro!O106="Ativo",Cadastro!I106=$B$5,ISNUMBER(SEARCH($B$4,Cadastro!J106)),OR($B$6&lt;&gt;"S",Cadastro!E106="S"),OR($B$7&lt;&gt;"S",Cadastro!F106="S")),1,0))</f>
        <v>0</v>
      </c>
      <c r="G111" s="22" t="str">
        <f aca="false">IF(F111=0,"",IF(Cadastro!U106=0,0,Cadastro!X106))</f>
        <v/>
      </c>
      <c r="H111" s="12" t="str">
        <f aca="false">IF(F111=0,"",1+COUNTIF($J$10:$J$309,"&lt;"&amp;J111))</f>
        <v/>
      </c>
      <c r="I111" s="12" t="n">
        <f aca="false">IF(H111=1,1,0)</f>
        <v>0</v>
      </c>
      <c r="J111" s="23" t="n">
        <f aca="false">IF(F111=0,9000000000000000,G111+Cadastro!M106/100000)</f>
        <v>9000000000000000</v>
      </c>
    </row>
    <row r="112" customFormat="false" ht="15" hidden="false" customHeight="false" outlineLevel="0" collapsed="false">
      <c r="A112" s="17" t="str">
        <f aca="false">IF(Cadastro!A107="","",Cadastro!A107)</f>
        <v/>
      </c>
      <c r="B112" s="17" t="str">
        <f aca="false">IF(Cadastro!A107="","",Cadastro!B107)</f>
        <v/>
      </c>
      <c r="C112" s="17" t="str">
        <f aca="false">IF(Cadastro!A107="","",Cadastro!D107)</f>
        <v/>
      </c>
      <c r="D112" s="17" t="str">
        <f aca="false">IF(Cadastro!A107="","",Cadastro!F107)</f>
        <v/>
      </c>
      <c r="E112" s="17" t="str">
        <f aca="false">IF(Cadastro!A107="","",Cadastro!I107)</f>
        <v/>
      </c>
      <c r="F112" s="12" t="n">
        <f aca="false">IF(Cadastro!A107="",0,IF(AND(Cadastro!O107="Ativo",Cadastro!I107=$B$5,ISNUMBER(SEARCH($B$4,Cadastro!J107)),OR($B$6&lt;&gt;"S",Cadastro!E107="S"),OR($B$7&lt;&gt;"S",Cadastro!F107="S")),1,0))</f>
        <v>0</v>
      </c>
      <c r="G112" s="22" t="str">
        <f aca="false">IF(F112=0,"",IF(Cadastro!U107=0,0,Cadastro!X107))</f>
        <v/>
      </c>
      <c r="H112" s="12" t="str">
        <f aca="false">IF(F112=0,"",1+COUNTIF($J$10:$J$309,"&lt;"&amp;J112))</f>
        <v/>
      </c>
      <c r="I112" s="12" t="n">
        <f aca="false">IF(H112=1,1,0)</f>
        <v>0</v>
      </c>
      <c r="J112" s="23" t="n">
        <f aca="false">IF(F112=0,9000000000000000,G112+Cadastro!M107/100000)</f>
        <v>9000000000000000</v>
      </c>
    </row>
    <row r="113" customFormat="false" ht="15" hidden="false" customHeight="false" outlineLevel="0" collapsed="false">
      <c r="A113" s="17" t="str">
        <f aca="false">IF(Cadastro!A108="","",Cadastro!A108)</f>
        <v/>
      </c>
      <c r="B113" s="17" t="str">
        <f aca="false">IF(Cadastro!A108="","",Cadastro!B108)</f>
        <v/>
      </c>
      <c r="C113" s="17" t="str">
        <f aca="false">IF(Cadastro!A108="","",Cadastro!D108)</f>
        <v/>
      </c>
      <c r="D113" s="17" t="str">
        <f aca="false">IF(Cadastro!A108="","",Cadastro!F108)</f>
        <v/>
      </c>
      <c r="E113" s="17" t="str">
        <f aca="false">IF(Cadastro!A108="","",Cadastro!I108)</f>
        <v/>
      </c>
      <c r="F113" s="12" t="n">
        <f aca="false">IF(Cadastro!A108="",0,IF(AND(Cadastro!O108="Ativo",Cadastro!I108=$B$5,ISNUMBER(SEARCH($B$4,Cadastro!J108)),OR($B$6&lt;&gt;"S",Cadastro!E108="S"),OR($B$7&lt;&gt;"S",Cadastro!F108="S")),1,0))</f>
        <v>0</v>
      </c>
      <c r="G113" s="22" t="str">
        <f aca="false">IF(F113=0,"",IF(Cadastro!U108=0,0,Cadastro!X108))</f>
        <v/>
      </c>
      <c r="H113" s="12" t="str">
        <f aca="false">IF(F113=0,"",1+COUNTIF($J$10:$J$309,"&lt;"&amp;J113))</f>
        <v/>
      </c>
      <c r="I113" s="12" t="n">
        <f aca="false">IF(H113=1,1,0)</f>
        <v>0</v>
      </c>
      <c r="J113" s="23" t="n">
        <f aca="false">IF(F113=0,9000000000000000,G113+Cadastro!M108/100000)</f>
        <v>9000000000000000</v>
      </c>
    </row>
    <row r="114" customFormat="false" ht="15" hidden="false" customHeight="false" outlineLevel="0" collapsed="false">
      <c r="A114" s="17" t="str">
        <f aca="false">IF(Cadastro!A109="","",Cadastro!A109)</f>
        <v/>
      </c>
      <c r="B114" s="17" t="str">
        <f aca="false">IF(Cadastro!A109="","",Cadastro!B109)</f>
        <v/>
      </c>
      <c r="C114" s="17" t="str">
        <f aca="false">IF(Cadastro!A109="","",Cadastro!D109)</f>
        <v/>
      </c>
      <c r="D114" s="17" t="str">
        <f aca="false">IF(Cadastro!A109="","",Cadastro!F109)</f>
        <v/>
      </c>
      <c r="E114" s="17" t="str">
        <f aca="false">IF(Cadastro!A109="","",Cadastro!I109)</f>
        <v/>
      </c>
      <c r="F114" s="12" t="n">
        <f aca="false">IF(Cadastro!A109="",0,IF(AND(Cadastro!O109="Ativo",Cadastro!I109=$B$5,ISNUMBER(SEARCH($B$4,Cadastro!J109)),OR($B$6&lt;&gt;"S",Cadastro!E109="S"),OR($B$7&lt;&gt;"S",Cadastro!F109="S")),1,0))</f>
        <v>0</v>
      </c>
      <c r="G114" s="22" t="str">
        <f aca="false">IF(F114=0,"",IF(Cadastro!U109=0,0,Cadastro!X109))</f>
        <v/>
      </c>
      <c r="H114" s="12" t="str">
        <f aca="false">IF(F114=0,"",1+COUNTIF($J$10:$J$309,"&lt;"&amp;J114))</f>
        <v/>
      </c>
      <c r="I114" s="12" t="n">
        <f aca="false">IF(H114=1,1,0)</f>
        <v>0</v>
      </c>
      <c r="J114" s="23" t="n">
        <f aca="false">IF(F114=0,9000000000000000,G114+Cadastro!M109/100000)</f>
        <v>9000000000000000</v>
      </c>
    </row>
    <row r="115" customFormat="false" ht="15" hidden="false" customHeight="false" outlineLevel="0" collapsed="false">
      <c r="A115" s="17" t="str">
        <f aca="false">IF(Cadastro!A110="","",Cadastro!A110)</f>
        <v/>
      </c>
      <c r="B115" s="17" t="str">
        <f aca="false">IF(Cadastro!A110="","",Cadastro!B110)</f>
        <v/>
      </c>
      <c r="C115" s="17" t="str">
        <f aca="false">IF(Cadastro!A110="","",Cadastro!D110)</f>
        <v/>
      </c>
      <c r="D115" s="17" t="str">
        <f aca="false">IF(Cadastro!A110="","",Cadastro!F110)</f>
        <v/>
      </c>
      <c r="E115" s="17" t="str">
        <f aca="false">IF(Cadastro!A110="","",Cadastro!I110)</f>
        <v/>
      </c>
      <c r="F115" s="12" t="n">
        <f aca="false">IF(Cadastro!A110="",0,IF(AND(Cadastro!O110="Ativo",Cadastro!I110=$B$5,ISNUMBER(SEARCH($B$4,Cadastro!J110)),OR($B$6&lt;&gt;"S",Cadastro!E110="S"),OR($B$7&lt;&gt;"S",Cadastro!F110="S")),1,0))</f>
        <v>0</v>
      </c>
      <c r="G115" s="22" t="str">
        <f aca="false">IF(F115=0,"",IF(Cadastro!U110=0,0,Cadastro!X110))</f>
        <v/>
      </c>
      <c r="H115" s="12" t="str">
        <f aca="false">IF(F115=0,"",1+COUNTIF($J$10:$J$309,"&lt;"&amp;J115))</f>
        <v/>
      </c>
      <c r="I115" s="12" t="n">
        <f aca="false">IF(H115=1,1,0)</f>
        <v>0</v>
      </c>
      <c r="J115" s="23" t="n">
        <f aca="false">IF(F115=0,9000000000000000,G115+Cadastro!M110/100000)</f>
        <v>9000000000000000</v>
      </c>
    </row>
    <row r="116" customFormat="false" ht="15" hidden="false" customHeight="false" outlineLevel="0" collapsed="false">
      <c r="A116" s="17" t="str">
        <f aca="false">IF(Cadastro!A111="","",Cadastro!A111)</f>
        <v/>
      </c>
      <c r="B116" s="17" t="str">
        <f aca="false">IF(Cadastro!A111="","",Cadastro!B111)</f>
        <v/>
      </c>
      <c r="C116" s="17" t="str">
        <f aca="false">IF(Cadastro!A111="","",Cadastro!D111)</f>
        <v/>
      </c>
      <c r="D116" s="17" t="str">
        <f aca="false">IF(Cadastro!A111="","",Cadastro!F111)</f>
        <v/>
      </c>
      <c r="E116" s="17" t="str">
        <f aca="false">IF(Cadastro!A111="","",Cadastro!I111)</f>
        <v/>
      </c>
      <c r="F116" s="12" t="n">
        <f aca="false">IF(Cadastro!A111="",0,IF(AND(Cadastro!O111="Ativo",Cadastro!I111=$B$5,ISNUMBER(SEARCH($B$4,Cadastro!J111)),OR($B$6&lt;&gt;"S",Cadastro!E111="S"),OR($B$7&lt;&gt;"S",Cadastro!F111="S")),1,0))</f>
        <v>0</v>
      </c>
      <c r="G116" s="22" t="str">
        <f aca="false">IF(F116=0,"",IF(Cadastro!U111=0,0,Cadastro!X111))</f>
        <v/>
      </c>
      <c r="H116" s="12" t="str">
        <f aca="false">IF(F116=0,"",1+COUNTIF($J$10:$J$309,"&lt;"&amp;J116))</f>
        <v/>
      </c>
      <c r="I116" s="12" t="n">
        <f aca="false">IF(H116=1,1,0)</f>
        <v>0</v>
      </c>
      <c r="J116" s="23" t="n">
        <f aca="false">IF(F116=0,9000000000000000,G116+Cadastro!M111/100000)</f>
        <v>9000000000000000</v>
      </c>
    </row>
    <row r="117" customFormat="false" ht="15" hidden="false" customHeight="false" outlineLevel="0" collapsed="false">
      <c r="A117" s="17" t="str">
        <f aca="false">IF(Cadastro!A112="","",Cadastro!A112)</f>
        <v/>
      </c>
      <c r="B117" s="17" t="str">
        <f aca="false">IF(Cadastro!A112="","",Cadastro!B112)</f>
        <v/>
      </c>
      <c r="C117" s="17" t="str">
        <f aca="false">IF(Cadastro!A112="","",Cadastro!D112)</f>
        <v/>
      </c>
      <c r="D117" s="17" t="str">
        <f aca="false">IF(Cadastro!A112="","",Cadastro!F112)</f>
        <v/>
      </c>
      <c r="E117" s="17" t="str">
        <f aca="false">IF(Cadastro!A112="","",Cadastro!I112)</f>
        <v/>
      </c>
      <c r="F117" s="12" t="n">
        <f aca="false">IF(Cadastro!A112="",0,IF(AND(Cadastro!O112="Ativo",Cadastro!I112=$B$5,ISNUMBER(SEARCH($B$4,Cadastro!J112)),OR($B$6&lt;&gt;"S",Cadastro!E112="S"),OR($B$7&lt;&gt;"S",Cadastro!F112="S")),1,0))</f>
        <v>0</v>
      </c>
      <c r="G117" s="22" t="str">
        <f aca="false">IF(F117=0,"",IF(Cadastro!U112=0,0,Cadastro!X112))</f>
        <v/>
      </c>
      <c r="H117" s="12" t="str">
        <f aca="false">IF(F117=0,"",1+COUNTIF($J$10:$J$309,"&lt;"&amp;J117))</f>
        <v/>
      </c>
      <c r="I117" s="12" t="n">
        <f aca="false">IF(H117=1,1,0)</f>
        <v>0</v>
      </c>
      <c r="J117" s="23" t="n">
        <f aca="false">IF(F117=0,9000000000000000,G117+Cadastro!M112/100000)</f>
        <v>9000000000000000</v>
      </c>
    </row>
    <row r="118" customFormat="false" ht="15" hidden="false" customHeight="false" outlineLevel="0" collapsed="false">
      <c r="A118" s="17" t="str">
        <f aca="false">IF(Cadastro!A113="","",Cadastro!A113)</f>
        <v/>
      </c>
      <c r="B118" s="17" t="str">
        <f aca="false">IF(Cadastro!A113="","",Cadastro!B113)</f>
        <v/>
      </c>
      <c r="C118" s="17" t="str">
        <f aca="false">IF(Cadastro!A113="","",Cadastro!D113)</f>
        <v/>
      </c>
      <c r="D118" s="17" t="str">
        <f aca="false">IF(Cadastro!A113="","",Cadastro!F113)</f>
        <v/>
      </c>
      <c r="E118" s="17" t="str">
        <f aca="false">IF(Cadastro!A113="","",Cadastro!I113)</f>
        <v/>
      </c>
      <c r="F118" s="12" t="n">
        <f aca="false">IF(Cadastro!A113="",0,IF(AND(Cadastro!O113="Ativo",Cadastro!I113=$B$5,ISNUMBER(SEARCH($B$4,Cadastro!J113)),OR($B$6&lt;&gt;"S",Cadastro!E113="S"),OR($B$7&lt;&gt;"S",Cadastro!F113="S")),1,0))</f>
        <v>0</v>
      </c>
      <c r="G118" s="22" t="str">
        <f aca="false">IF(F118=0,"",IF(Cadastro!U113=0,0,Cadastro!X113))</f>
        <v/>
      </c>
      <c r="H118" s="12" t="str">
        <f aca="false">IF(F118=0,"",1+COUNTIF($J$10:$J$309,"&lt;"&amp;J118))</f>
        <v/>
      </c>
      <c r="I118" s="12" t="n">
        <f aca="false">IF(H118=1,1,0)</f>
        <v>0</v>
      </c>
      <c r="J118" s="23" t="n">
        <f aca="false">IF(F118=0,9000000000000000,G118+Cadastro!M113/100000)</f>
        <v>9000000000000000</v>
      </c>
    </row>
    <row r="119" customFormat="false" ht="15" hidden="false" customHeight="false" outlineLevel="0" collapsed="false">
      <c r="A119" s="17" t="str">
        <f aca="false">IF(Cadastro!A114="","",Cadastro!A114)</f>
        <v/>
      </c>
      <c r="B119" s="17" t="str">
        <f aca="false">IF(Cadastro!A114="","",Cadastro!B114)</f>
        <v/>
      </c>
      <c r="C119" s="17" t="str">
        <f aca="false">IF(Cadastro!A114="","",Cadastro!D114)</f>
        <v/>
      </c>
      <c r="D119" s="17" t="str">
        <f aca="false">IF(Cadastro!A114="","",Cadastro!F114)</f>
        <v/>
      </c>
      <c r="E119" s="17" t="str">
        <f aca="false">IF(Cadastro!A114="","",Cadastro!I114)</f>
        <v/>
      </c>
      <c r="F119" s="12" t="n">
        <f aca="false">IF(Cadastro!A114="",0,IF(AND(Cadastro!O114="Ativo",Cadastro!I114=$B$5,ISNUMBER(SEARCH($B$4,Cadastro!J114)),OR($B$6&lt;&gt;"S",Cadastro!E114="S"),OR($B$7&lt;&gt;"S",Cadastro!F114="S")),1,0))</f>
        <v>0</v>
      </c>
      <c r="G119" s="22" t="str">
        <f aca="false">IF(F119=0,"",IF(Cadastro!U114=0,0,Cadastro!X114))</f>
        <v/>
      </c>
      <c r="H119" s="12" t="str">
        <f aca="false">IF(F119=0,"",1+COUNTIF($J$10:$J$309,"&lt;"&amp;J119))</f>
        <v/>
      </c>
      <c r="I119" s="12" t="n">
        <f aca="false">IF(H119=1,1,0)</f>
        <v>0</v>
      </c>
      <c r="J119" s="23" t="n">
        <f aca="false">IF(F119=0,9000000000000000,G119+Cadastro!M114/100000)</f>
        <v>9000000000000000</v>
      </c>
    </row>
    <row r="120" customFormat="false" ht="15" hidden="false" customHeight="false" outlineLevel="0" collapsed="false">
      <c r="A120" s="17" t="str">
        <f aca="false">IF(Cadastro!A115="","",Cadastro!A115)</f>
        <v/>
      </c>
      <c r="B120" s="17" t="str">
        <f aca="false">IF(Cadastro!A115="","",Cadastro!B115)</f>
        <v/>
      </c>
      <c r="C120" s="17" t="str">
        <f aca="false">IF(Cadastro!A115="","",Cadastro!D115)</f>
        <v/>
      </c>
      <c r="D120" s="17" t="str">
        <f aca="false">IF(Cadastro!A115="","",Cadastro!F115)</f>
        <v/>
      </c>
      <c r="E120" s="17" t="str">
        <f aca="false">IF(Cadastro!A115="","",Cadastro!I115)</f>
        <v/>
      </c>
      <c r="F120" s="12" t="n">
        <f aca="false">IF(Cadastro!A115="",0,IF(AND(Cadastro!O115="Ativo",Cadastro!I115=$B$5,ISNUMBER(SEARCH($B$4,Cadastro!J115)),OR($B$6&lt;&gt;"S",Cadastro!E115="S"),OR($B$7&lt;&gt;"S",Cadastro!F115="S")),1,0))</f>
        <v>0</v>
      </c>
      <c r="G120" s="22" t="str">
        <f aca="false">IF(F120=0,"",IF(Cadastro!U115=0,0,Cadastro!X115))</f>
        <v/>
      </c>
      <c r="H120" s="12" t="str">
        <f aca="false">IF(F120=0,"",1+COUNTIF($J$10:$J$309,"&lt;"&amp;J120))</f>
        <v/>
      </c>
      <c r="I120" s="12" t="n">
        <f aca="false">IF(H120=1,1,0)</f>
        <v>0</v>
      </c>
      <c r="J120" s="23" t="n">
        <f aca="false">IF(F120=0,9000000000000000,G120+Cadastro!M115/100000)</f>
        <v>9000000000000000</v>
      </c>
    </row>
    <row r="121" customFormat="false" ht="15" hidden="false" customHeight="false" outlineLevel="0" collapsed="false">
      <c r="A121" s="17" t="str">
        <f aca="false">IF(Cadastro!A116="","",Cadastro!A116)</f>
        <v/>
      </c>
      <c r="B121" s="17" t="str">
        <f aca="false">IF(Cadastro!A116="","",Cadastro!B116)</f>
        <v/>
      </c>
      <c r="C121" s="17" t="str">
        <f aca="false">IF(Cadastro!A116="","",Cadastro!D116)</f>
        <v/>
      </c>
      <c r="D121" s="17" t="str">
        <f aca="false">IF(Cadastro!A116="","",Cadastro!F116)</f>
        <v/>
      </c>
      <c r="E121" s="17" t="str">
        <f aca="false">IF(Cadastro!A116="","",Cadastro!I116)</f>
        <v/>
      </c>
      <c r="F121" s="12" t="n">
        <f aca="false">IF(Cadastro!A116="",0,IF(AND(Cadastro!O116="Ativo",Cadastro!I116=$B$5,ISNUMBER(SEARCH($B$4,Cadastro!J116)),OR($B$6&lt;&gt;"S",Cadastro!E116="S"),OR($B$7&lt;&gt;"S",Cadastro!F116="S")),1,0))</f>
        <v>0</v>
      </c>
      <c r="G121" s="22" t="str">
        <f aca="false">IF(F121=0,"",IF(Cadastro!U116=0,0,Cadastro!X116))</f>
        <v/>
      </c>
      <c r="H121" s="12" t="str">
        <f aca="false">IF(F121=0,"",1+COUNTIF($J$10:$J$309,"&lt;"&amp;J121))</f>
        <v/>
      </c>
      <c r="I121" s="12" t="n">
        <f aca="false">IF(H121=1,1,0)</f>
        <v>0</v>
      </c>
      <c r="J121" s="23" t="n">
        <f aca="false">IF(F121=0,9000000000000000,G121+Cadastro!M116/100000)</f>
        <v>9000000000000000</v>
      </c>
    </row>
    <row r="122" customFormat="false" ht="15" hidden="false" customHeight="false" outlineLevel="0" collapsed="false">
      <c r="A122" s="17" t="str">
        <f aca="false">IF(Cadastro!A117="","",Cadastro!A117)</f>
        <v/>
      </c>
      <c r="B122" s="17" t="str">
        <f aca="false">IF(Cadastro!A117="","",Cadastro!B117)</f>
        <v/>
      </c>
      <c r="C122" s="17" t="str">
        <f aca="false">IF(Cadastro!A117="","",Cadastro!D117)</f>
        <v/>
      </c>
      <c r="D122" s="17" t="str">
        <f aca="false">IF(Cadastro!A117="","",Cadastro!F117)</f>
        <v/>
      </c>
      <c r="E122" s="17" t="str">
        <f aca="false">IF(Cadastro!A117="","",Cadastro!I117)</f>
        <v/>
      </c>
      <c r="F122" s="12" t="n">
        <f aca="false">IF(Cadastro!A117="",0,IF(AND(Cadastro!O117="Ativo",Cadastro!I117=$B$5,ISNUMBER(SEARCH($B$4,Cadastro!J117)),OR($B$6&lt;&gt;"S",Cadastro!E117="S"),OR($B$7&lt;&gt;"S",Cadastro!F117="S")),1,0))</f>
        <v>0</v>
      </c>
      <c r="G122" s="22" t="str">
        <f aca="false">IF(F122=0,"",IF(Cadastro!U117=0,0,Cadastro!X117))</f>
        <v/>
      </c>
      <c r="H122" s="12" t="str">
        <f aca="false">IF(F122=0,"",1+COUNTIF($J$10:$J$309,"&lt;"&amp;J122))</f>
        <v/>
      </c>
      <c r="I122" s="12" t="n">
        <f aca="false">IF(H122=1,1,0)</f>
        <v>0</v>
      </c>
      <c r="J122" s="23" t="n">
        <f aca="false">IF(F122=0,9000000000000000,G122+Cadastro!M117/100000)</f>
        <v>9000000000000000</v>
      </c>
    </row>
    <row r="123" customFormat="false" ht="15" hidden="false" customHeight="false" outlineLevel="0" collapsed="false">
      <c r="A123" s="17" t="str">
        <f aca="false">IF(Cadastro!A118="","",Cadastro!A118)</f>
        <v/>
      </c>
      <c r="B123" s="17" t="str">
        <f aca="false">IF(Cadastro!A118="","",Cadastro!B118)</f>
        <v/>
      </c>
      <c r="C123" s="17" t="str">
        <f aca="false">IF(Cadastro!A118="","",Cadastro!D118)</f>
        <v/>
      </c>
      <c r="D123" s="17" t="str">
        <f aca="false">IF(Cadastro!A118="","",Cadastro!F118)</f>
        <v/>
      </c>
      <c r="E123" s="17" t="str">
        <f aca="false">IF(Cadastro!A118="","",Cadastro!I118)</f>
        <v/>
      </c>
      <c r="F123" s="12" t="n">
        <f aca="false">IF(Cadastro!A118="",0,IF(AND(Cadastro!O118="Ativo",Cadastro!I118=$B$5,ISNUMBER(SEARCH($B$4,Cadastro!J118)),OR($B$6&lt;&gt;"S",Cadastro!E118="S"),OR($B$7&lt;&gt;"S",Cadastro!F118="S")),1,0))</f>
        <v>0</v>
      </c>
      <c r="G123" s="22" t="str">
        <f aca="false">IF(F123=0,"",IF(Cadastro!U118=0,0,Cadastro!X118))</f>
        <v/>
      </c>
      <c r="H123" s="12" t="str">
        <f aca="false">IF(F123=0,"",1+COUNTIF($J$10:$J$309,"&lt;"&amp;J123))</f>
        <v/>
      </c>
      <c r="I123" s="12" t="n">
        <f aca="false">IF(H123=1,1,0)</f>
        <v>0</v>
      </c>
      <c r="J123" s="23" t="n">
        <f aca="false">IF(F123=0,9000000000000000,G123+Cadastro!M118/100000)</f>
        <v>9000000000000000</v>
      </c>
    </row>
    <row r="124" customFormat="false" ht="15" hidden="false" customHeight="false" outlineLevel="0" collapsed="false">
      <c r="A124" s="17" t="str">
        <f aca="false">IF(Cadastro!A119="","",Cadastro!A119)</f>
        <v/>
      </c>
      <c r="B124" s="17" t="str">
        <f aca="false">IF(Cadastro!A119="","",Cadastro!B119)</f>
        <v/>
      </c>
      <c r="C124" s="17" t="str">
        <f aca="false">IF(Cadastro!A119="","",Cadastro!D119)</f>
        <v/>
      </c>
      <c r="D124" s="17" t="str">
        <f aca="false">IF(Cadastro!A119="","",Cadastro!F119)</f>
        <v/>
      </c>
      <c r="E124" s="17" t="str">
        <f aca="false">IF(Cadastro!A119="","",Cadastro!I119)</f>
        <v/>
      </c>
      <c r="F124" s="12" t="n">
        <f aca="false">IF(Cadastro!A119="",0,IF(AND(Cadastro!O119="Ativo",Cadastro!I119=$B$5,ISNUMBER(SEARCH($B$4,Cadastro!J119)),OR($B$6&lt;&gt;"S",Cadastro!E119="S"),OR($B$7&lt;&gt;"S",Cadastro!F119="S")),1,0))</f>
        <v>0</v>
      </c>
      <c r="G124" s="22" t="str">
        <f aca="false">IF(F124=0,"",IF(Cadastro!U119=0,0,Cadastro!X119))</f>
        <v/>
      </c>
      <c r="H124" s="12" t="str">
        <f aca="false">IF(F124=0,"",1+COUNTIF($J$10:$J$309,"&lt;"&amp;J124))</f>
        <v/>
      </c>
      <c r="I124" s="12" t="n">
        <f aca="false">IF(H124=1,1,0)</f>
        <v>0</v>
      </c>
      <c r="J124" s="23" t="n">
        <f aca="false">IF(F124=0,9000000000000000,G124+Cadastro!M119/100000)</f>
        <v>9000000000000000</v>
      </c>
    </row>
    <row r="125" customFormat="false" ht="15" hidden="false" customHeight="false" outlineLevel="0" collapsed="false">
      <c r="A125" s="17" t="str">
        <f aca="false">IF(Cadastro!A120="","",Cadastro!A120)</f>
        <v/>
      </c>
      <c r="B125" s="17" t="str">
        <f aca="false">IF(Cadastro!A120="","",Cadastro!B120)</f>
        <v/>
      </c>
      <c r="C125" s="17" t="str">
        <f aca="false">IF(Cadastro!A120="","",Cadastro!D120)</f>
        <v/>
      </c>
      <c r="D125" s="17" t="str">
        <f aca="false">IF(Cadastro!A120="","",Cadastro!F120)</f>
        <v/>
      </c>
      <c r="E125" s="17" t="str">
        <f aca="false">IF(Cadastro!A120="","",Cadastro!I120)</f>
        <v/>
      </c>
      <c r="F125" s="12" t="n">
        <f aca="false">IF(Cadastro!A120="",0,IF(AND(Cadastro!O120="Ativo",Cadastro!I120=$B$5,ISNUMBER(SEARCH($B$4,Cadastro!J120)),OR($B$6&lt;&gt;"S",Cadastro!E120="S"),OR($B$7&lt;&gt;"S",Cadastro!F120="S")),1,0))</f>
        <v>0</v>
      </c>
      <c r="G125" s="22" t="str">
        <f aca="false">IF(F125=0,"",IF(Cadastro!U120=0,0,Cadastro!X120))</f>
        <v/>
      </c>
      <c r="H125" s="12" t="str">
        <f aca="false">IF(F125=0,"",1+COUNTIF($J$10:$J$309,"&lt;"&amp;J125))</f>
        <v/>
      </c>
      <c r="I125" s="12" t="n">
        <f aca="false">IF(H125=1,1,0)</f>
        <v>0</v>
      </c>
      <c r="J125" s="23" t="n">
        <f aca="false">IF(F125=0,9000000000000000,G125+Cadastro!M120/100000)</f>
        <v>9000000000000000</v>
      </c>
    </row>
    <row r="126" customFormat="false" ht="15" hidden="false" customHeight="false" outlineLevel="0" collapsed="false">
      <c r="A126" s="17" t="str">
        <f aca="false">IF(Cadastro!A121="","",Cadastro!A121)</f>
        <v/>
      </c>
      <c r="B126" s="17" t="str">
        <f aca="false">IF(Cadastro!A121="","",Cadastro!B121)</f>
        <v/>
      </c>
      <c r="C126" s="17" t="str">
        <f aca="false">IF(Cadastro!A121="","",Cadastro!D121)</f>
        <v/>
      </c>
      <c r="D126" s="17" t="str">
        <f aca="false">IF(Cadastro!A121="","",Cadastro!F121)</f>
        <v/>
      </c>
      <c r="E126" s="17" t="str">
        <f aca="false">IF(Cadastro!A121="","",Cadastro!I121)</f>
        <v/>
      </c>
      <c r="F126" s="12" t="n">
        <f aca="false">IF(Cadastro!A121="",0,IF(AND(Cadastro!O121="Ativo",Cadastro!I121=$B$5,ISNUMBER(SEARCH($B$4,Cadastro!J121)),OR($B$6&lt;&gt;"S",Cadastro!E121="S"),OR($B$7&lt;&gt;"S",Cadastro!F121="S")),1,0))</f>
        <v>0</v>
      </c>
      <c r="G126" s="22" t="str">
        <f aca="false">IF(F126=0,"",IF(Cadastro!U121=0,0,Cadastro!X121))</f>
        <v/>
      </c>
      <c r="H126" s="12" t="str">
        <f aca="false">IF(F126=0,"",1+COUNTIF($J$10:$J$309,"&lt;"&amp;J126))</f>
        <v/>
      </c>
      <c r="I126" s="12" t="n">
        <f aca="false">IF(H126=1,1,0)</f>
        <v>0</v>
      </c>
      <c r="J126" s="23" t="n">
        <f aca="false">IF(F126=0,9000000000000000,G126+Cadastro!M121/100000)</f>
        <v>9000000000000000</v>
      </c>
    </row>
    <row r="127" customFormat="false" ht="15" hidden="false" customHeight="false" outlineLevel="0" collapsed="false">
      <c r="A127" s="17" t="str">
        <f aca="false">IF(Cadastro!A122="","",Cadastro!A122)</f>
        <v/>
      </c>
      <c r="B127" s="17" t="str">
        <f aca="false">IF(Cadastro!A122="","",Cadastro!B122)</f>
        <v/>
      </c>
      <c r="C127" s="17" t="str">
        <f aca="false">IF(Cadastro!A122="","",Cadastro!D122)</f>
        <v/>
      </c>
      <c r="D127" s="17" t="str">
        <f aca="false">IF(Cadastro!A122="","",Cadastro!F122)</f>
        <v/>
      </c>
      <c r="E127" s="17" t="str">
        <f aca="false">IF(Cadastro!A122="","",Cadastro!I122)</f>
        <v/>
      </c>
      <c r="F127" s="12" t="n">
        <f aca="false">IF(Cadastro!A122="",0,IF(AND(Cadastro!O122="Ativo",Cadastro!I122=$B$5,ISNUMBER(SEARCH($B$4,Cadastro!J122)),OR($B$6&lt;&gt;"S",Cadastro!E122="S"),OR($B$7&lt;&gt;"S",Cadastro!F122="S")),1,0))</f>
        <v>0</v>
      </c>
      <c r="G127" s="22" t="str">
        <f aca="false">IF(F127=0,"",IF(Cadastro!U122=0,0,Cadastro!X122))</f>
        <v/>
      </c>
      <c r="H127" s="12" t="str">
        <f aca="false">IF(F127=0,"",1+COUNTIF($J$10:$J$309,"&lt;"&amp;J127))</f>
        <v/>
      </c>
      <c r="I127" s="12" t="n">
        <f aca="false">IF(H127=1,1,0)</f>
        <v>0</v>
      </c>
      <c r="J127" s="23" t="n">
        <f aca="false">IF(F127=0,9000000000000000,G127+Cadastro!M122/100000)</f>
        <v>9000000000000000</v>
      </c>
    </row>
    <row r="128" customFormat="false" ht="15" hidden="false" customHeight="false" outlineLevel="0" collapsed="false">
      <c r="A128" s="17" t="str">
        <f aca="false">IF(Cadastro!A123="","",Cadastro!A123)</f>
        <v/>
      </c>
      <c r="B128" s="17" t="str">
        <f aca="false">IF(Cadastro!A123="","",Cadastro!B123)</f>
        <v/>
      </c>
      <c r="C128" s="17" t="str">
        <f aca="false">IF(Cadastro!A123="","",Cadastro!D123)</f>
        <v/>
      </c>
      <c r="D128" s="17" t="str">
        <f aca="false">IF(Cadastro!A123="","",Cadastro!F123)</f>
        <v/>
      </c>
      <c r="E128" s="17" t="str">
        <f aca="false">IF(Cadastro!A123="","",Cadastro!I123)</f>
        <v/>
      </c>
      <c r="F128" s="12" t="n">
        <f aca="false">IF(Cadastro!A123="",0,IF(AND(Cadastro!O123="Ativo",Cadastro!I123=$B$5,ISNUMBER(SEARCH($B$4,Cadastro!J123)),OR($B$6&lt;&gt;"S",Cadastro!E123="S"),OR($B$7&lt;&gt;"S",Cadastro!F123="S")),1,0))</f>
        <v>0</v>
      </c>
      <c r="G128" s="22" t="str">
        <f aca="false">IF(F128=0,"",IF(Cadastro!U123=0,0,Cadastro!X123))</f>
        <v/>
      </c>
      <c r="H128" s="12" t="str">
        <f aca="false">IF(F128=0,"",1+COUNTIF($J$10:$J$309,"&lt;"&amp;J128))</f>
        <v/>
      </c>
      <c r="I128" s="12" t="n">
        <f aca="false">IF(H128=1,1,0)</f>
        <v>0</v>
      </c>
      <c r="J128" s="23" t="n">
        <f aca="false">IF(F128=0,9000000000000000,G128+Cadastro!M123/100000)</f>
        <v>9000000000000000</v>
      </c>
    </row>
    <row r="129" customFormat="false" ht="15" hidden="false" customHeight="false" outlineLevel="0" collapsed="false">
      <c r="A129" s="17" t="str">
        <f aca="false">IF(Cadastro!A124="","",Cadastro!A124)</f>
        <v/>
      </c>
      <c r="B129" s="17" t="str">
        <f aca="false">IF(Cadastro!A124="","",Cadastro!B124)</f>
        <v/>
      </c>
      <c r="C129" s="17" t="str">
        <f aca="false">IF(Cadastro!A124="","",Cadastro!D124)</f>
        <v/>
      </c>
      <c r="D129" s="17" t="str">
        <f aca="false">IF(Cadastro!A124="","",Cadastro!F124)</f>
        <v/>
      </c>
      <c r="E129" s="17" t="str">
        <f aca="false">IF(Cadastro!A124="","",Cadastro!I124)</f>
        <v/>
      </c>
      <c r="F129" s="12" t="n">
        <f aca="false">IF(Cadastro!A124="",0,IF(AND(Cadastro!O124="Ativo",Cadastro!I124=$B$5,ISNUMBER(SEARCH($B$4,Cadastro!J124)),OR($B$6&lt;&gt;"S",Cadastro!E124="S"),OR($B$7&lt;&gt;"S",Cadastro!F124="S")),1,0))</f>
        <v>0</v>
      </c>
      <c r="G129" s="22" t="str">
        <f aca="false">IF(F129=0,"",IF(Cadastro!U124=0,0,Cadastro!X124))</f>
        <v/>
      </c>
      <c r="H129" s="12" t="str">
        <f aca="false">IF(F129=0,"",1+COUNTIF($J$10:$J$309,"&lt;"&amp;J129))</f>
        <v/>
      </c>
      <c r="I129" s="12" t="n">
        <f aca="false">IF(H129=1,1,0)</f>
        <v>0</v>
      </c>
      <c r="J129" s="23" t="n">
        <f aca="false">IF(F129=0,9000000000000000,G129+Cadastro!M124/100000)</f>
        <v>9000000000000000</v>
      </c>
    </row>
    <row r="130" customFormat="false" ht="15" hidden="false" customHeight="false" outlineLevel="0" collapsed="false">
      <c r="A130" s="17" t="str">
        <f aca="false">IF(Cadastro!A125="","",Cadastro!A125)</f>
        <v/>
      </c>
      <c r="B130" s="17" t="str">
        <f aca="false">IF(Cadastro!A125="","",Cadastro!B125)</f>
        <v/>
      </c>
      <c r="C130" s="17" t="str">
        <f aca="false">IF(Cadastro!A125="","",Cadastro!D125)</f>
        <v/>
      </c>
      <c r="D130" s="17" t="str">
        <f aca="false">IF(Cadastro!A125="","",Cadastro!F125)</f>
        <v/>
      </c>
      <c r="E130" s="17" t="str">
        <f aca="false">IF(Cadastro!A125="","",Cadastro!I125)</f>
        <v/>
      </c>
      <c r="F130" s="12" t="n">
        <f aca="false">IF(Cadastro!A125="",0,IF(AND(Cadastro!O125="Ativo",Cadastro!I125=$B$5,ISNUMBER(SEARCH($B$4,Cadastro!J125)),OR($B$6&lt;&gt;"S",Cadastro!E125="S"),OR($B$7&lt;&gt;"S",Cadastro!F125="S")),1,0))</f>
        <v>0</v>
      </c>
      <c r="G130" s="22" t="str">
        <f aca="false">IF(F130=0,"",IF(Cadastro!U125=0,0,Cadastro!X125))</f>
        <v/>
      </c>
      <c r="H130" s="12" t="str">
        <f aca="false">IF(F130=0,"",1+COUNTIF($J$10:$J$309,"&lt;"&amp;J130))</f>
        <v/>
      </c>
      <c r="I130" s="12" t="n">
        <f aca="false">IF(H130=1,1,0)</f>
        <v>0</v>
      </c>
      <c r="J130" s="23" t="n">
        <f aca="false">IF(F130=0,9000000000000000,G130+Cadastro!M125/100000)</f>
        <v>9000000000000000</v>
      </c>
    </row>
    <row r="131" customFormat="false" ht="15" hidden="false" customHeight="false" outlineLevel="0" collapsed="false">
      <c r="A131" s="17" t="str">
        <f aca="false">IF(Cadastro!A126="","",Cadastro!A126)</f>
        <v/>
      </c>
      <c r="B131" s="17" t="str">
        <f aca="false">IF(Cadastro!A126="","",Cadastro!B126)</f>
        <v/>
      </c>
      <c r="C131" s="17" t="str">
        <f aca="false">IF(Cadastro!A126="","",Cadastro!D126)</f>
        <v/>
      </c>
      <c r="D131" s="17" t="str">
        <f aca="false">IF(Cadastro!A126="","",Cadastro!F126)</f>
        <v/>
      </c>
      <c r="E131" s="17" t="str">
        <f aca="false">IF(Cadastro!A126="","",Cadastro!I126)</f>
        <v/>
      </c>
      <c r="F131" s="12" t="n">
        <f aca="false">IF(Cadastro!A126="",0,IF(AND(Cadastro!O126="Ativo",Cadastro!I126=$B$5,ISNUMBER(SEARCH($B$4,Cadastro!J126)),OR($B$6&lt;&gt;"S",Cadastro!E126="S"),OR($B$7&lt;&gt;"S",Cadastro!F126="S")),1,0))</f>
        <v>0</v>
      </c>
      <c r="G131" s="22" t="str">
        <f aca="false">IF(F131=0,"",IF(Cadastro!U126=0,0,Cadastro!X126))</f>
        <v/>
      </c>
      <c r="H131" s="12" t="str">
        <f aca="false">IF(F131=0,"",1+COUNTIF($J$10:$J$309,"&lt;"&amp;J131))</f>
        <v/>
      </c>
      <c r="I131" s="12" t="n">
        <f aca="false">IF(H131=1,1,0)</f>
        <v>0</v>
      </c>
      <c r="J131" s="23" t="n">
        <f aca="false">IF(F131=0,9000000000000000,G131+Cadastro!M126/100000)</f>
        <v>9000000000000000</v>
      </c>
    </row>
    <row r="132" customFormat="false" ht="15" hidden="false" customHeight="false" outlineLevel="0" collapsed="false">
      <c r="A132" s="17" t="str">
        <f aca="false">IF(Cadastro!A127="","",Cadastro!A127)</f>
        <v/>
      </c>
      <c r="B132" s="17" t="str">
        <f aca="false">IF(Cadastro!A127="","",Cadastro!B127)</f>
        <v/>
      </c>
      <c r="C132" s="17" t="str">
        <f aca="false">IF(Cadastro!A127="","",Cadastro!D127)</f>
        <v/>
      </c>
      <c r="D132" s="17" t="str">
        <f aca="false">IF(Cadastro!A127="","",Cadastro!F127)</f>
        <v/>
      </c>
      <c r="E132" s="17" t="str">
        <f aca="false">IF(Cadastro!A127="","",Cadastro!I127)</f>
        <v/>
      </c>
      <c r="F132" s="12" t="n">
        <f aca="false">IF(Cadastro!A127="",0,IF(AND(Cadastro!O127="Ativo",Cadastro!I127=$B$5,ISNUMBER(SEARCH($B$4,Cadastro!J127)),OR($B$6&lt;&gt;"S",Cadastro!E127="S"),OR($B$7&lt;&gt;"S",Cadastro!F127="S")),1,0))</f>
        <v>0</v>
      </c>
      <c r="G132" s="22" t="str">
        <f aca="false">IF(F132=0,"",IF(Cadastro!U127=0,0,Cadastro!X127))</f>
        <v/>
      </c>
      <c r="H132" s="12" t="str">
        <f aca="false">IF(F132=0,"",1+COUNTIF($J$10:$J$309,"&lt;"&amp;J132))</f>
        <v/>
      </c>
      <c r="I132" s="12" t="n">
        <f aca="false">IF(H132=1,1,0)</f>
        <v>0</v>
      </c>
      <c r="J132" s="23" t="n">
        <f aca="false">IF(F132=0,9000000000000000,G132+Cadastro!M127/100000)</f>
        <v>9000000000000000</v>
      </c>
    </row>
    <row r="133" customFormat="false" ht="15" hidden="false" customHeight="false" outlineLevel="0" collapsed="false">
      <c r="A133" s="17" t="str">
        <f aca="false">IF(Cadastro!A128="","",Cadastro!A128)</f>
        <v/>
      </c>
      <c r="B133" s="17" t="str">
        <f aca="false">IF(Cadastro!A128="","",Cadastro!B128)</f>
        <v/>
      </c>
      <c r="C133" s="17" t="str">
        <f aca="false">IF(Cadastro!A128="","",Cadastro!D128)</f>
        <v/>
      </c>
      <c r="D133" s="17" t="str">
        <f aca="false">IF(Cadastro!A128="","",Cadastro!F128)</f>
        <v/>
      </c>
      <c r="E133" s="17" t="str">
        <f aca="false">IF(Cadastro!A128="","",Cadastro!I128)</f>
        <v/>
      </c>
      <c r="F133" s="12" t="n">
        <f aca="false">IF(Cadastro!A128="",0,IF(AND(Cadastro!O128="Ativo",Cadastro!I128=$B$5,ISNUMBER(SEARCH($B$4,Cadastro!J128)),OR($B$6&lt;&gt;"S",Cadastro!E128="S"),OR($B$7&lt;&gt;"S",Cadastro!F128="S")),1,0))</f>
        <v>0</v>
      </c>
      <c r="G133" s="22" t="str">
        <f aca="false">IF(F133=0,"",IF(Cadastro!U128=0,0,Cadastro!X128))</f>
        <v/>
      </c>
      <c r="H133" s="12" t="str">
        <f aca="false">IF(F133=0,"",1+COUNTIF($J$10:$J$309,"&lt;"&amp;J133))</f>
        <v/>
      </c>
      <c r="I133" s="12" t="n">
        <f aca="false">IF(H133=1,1,0)</f>
        <v>0</v>
      </c>
      <c r="J133" s="23" t="n">
        <f aca="false">IF(F133=0,9000000000000000,G133+Cadastro!M128/100000)</f>
        <v>9000000000000000</v>
      </c>
    </row>
    <row r="134" customFormat="false" ht="15" hidden="false" customHeight="false" outlineLevel="0" collapsed="false">
      <c r="A134" s="17" t="str">
        <f aca="false">IF(Cadastro!A129="","",Cadastro!A129)</f>
        <v/>
      </c>
      <c r="B134" s="17" t="str">
        <f aca="false">IF(Cadastro!A129="","",Cadastro!B129)</f>
        <v/>
      </c>
      <c r="C134" s="17" t="str">
        <f aca="false">IF(Cadastro!A129="","",Cadastro!D129)</f>
        <v/>
      </c>
      <c r="D134" s="17" t="str">
        <f aca="false">IF(Cadastro!A129="","",Cadastro!F129)</f>
        <v/>
      </c>
      <c r="E134" s="17" t="str">
        <f aca="false">IF(Cadastro!A129="","",Cadastro!I129)</f>
        <v/>
      </c>
      <c r="F134" s="12" t="n">
        <f aca="false">IF(Cadastro!A129="",0,IF(AND(Cadastro!O129="Ativo",Cadastro!I129=$B$5,ISNUMBER(SEARCH($B$4,Cadastro!J129)),OR($B$6&lt;&gt;"S",Cadastro!E129="S"),OR($B$7&lt;&gt;"S",Cadastro!F129="S")),1,0))</f>
        <v>0</v>
      </c>
      <c r="G134" s="22" t="str">
        <f aca="false">IF(F134=0,"",IF(Cadastro!U129=0,0,Cadastro!X129))</f>
        <v/>
      </c>
      <c r="H134" s="12" t="str">
        <f aca="false">IF(F134=0,"",1+COUNTIF($J$10:$J$309,"&lt;"&amp;J134))</f>
        <v/>
      </c>
      <c r="I134" s="12" t="n">
        <f aca="false">IF(H134=1,1,0)</f>
        <v>0</v>
      </c>
      <c r="J134" s="23" t="n">
        <f aca="false">IF(F134=0,9000000000000000,G134+Cadastro!M129/100000)</f>
        <v>9000000000000000</v>
      </c>
    </row>
    <row r="135" customFormat="false" ht="15" hidden="false" customHeight="false" outlineLevel="0" collapsed="false">
      <c r="A135" s="17" t="str">
        <f aca="false">IF(Cadastro!A130="","",Cadastro!A130)</f>
        <v/>
      </c>
      <c r="B135" s="17" t="str">
        <f aca="false">IF(Cadastro!A130="","",Cadastro!B130)</f>
        <v/>
      </c>
      <c r="C135" s="17" t="str">
        <f aca="false">IF(Cadastro!A130="","",Cadastro!D130)</f>
        <v/>
      </c>
      <c r="D135" s="17" t="str">
        <f aca="false">IF(Cadastro!A130="","",Cadastro!F130)</f>
        <v/>
      </c>
      <c r="E135" s="17" t="str">
        <f aca="false">IF(Cadastro!A130="","",Cadastro!I130)</f>
        <v/>
      </c>
      <c r="F135" s="12" t="n">
        <f aca="false">IF(Cadastro!A130="",0,IF(AND(Cadastro!O130="Ativo",Cadastro!I130=$B$5,ISNUMBER(SEARCH($B$4,Cadastro!J130)),OR($B$6&lt;&gt;"S",Cadastro!E130="S"),OR($B$7&lt;&gt;"S",Cadastro!F130="S")),1,0))</f>
        <v>0</v>
      </c>
      <c r="G135" s="22" t="str">
        <f aca="false">IF(F135=0,"",IF(Cadastro!U130=0,0,Cadastro!X130))</f>
        <v/>
      </c>
      <c r="H135" s="12" t="str">
        <f aca="false">IF(F135=0,"",1+COUNTIF($J$10:$J$309,"&lt;"&amp;J135))</f>
        <v/>
      </c>
      <c r="I135" s="12" t="n">
        <f aca="false">IF(H135=1,1,0)</f>
        <v>0</v>
      </c>
      <c r="J135" s="23" t="n">
        <f aca="false">IF(F135=0,9000000000000000,G135+Cadastro!M130/100000)</f>
        <v>9000000000000000</v>
      </c>
    </row>
    <row r="136" customFormat="false" ht="15" hidden="false" customHeight="false" outlineLevel="0" collapsed="false">
      <c r="A136" s="17" t="str">
        <f aca="false">IF(Cadastro!A131="","",Cadastro!A131)</f>
        <v/>
      </c>
      <c r="B136" s="17" t="str">
        <f aca="false">IF(Cadastro!A131="","",Cadastro!B131)</f>
        <v/>
      </c>
      <c r="C136" s="17" t="str">
        <f aca="false">IF(Cadastro!A131="","",Cadastro!D131)</f>
        <v/>
      </c>
      <c r="D136" s="17" t="str">
        <f aca="false">IF(Cadastro!A131="","",Cadastro!F131)</f>
        <v/>
      </c>
      <c r="E136" s="17" t="str">
        <f aca="false">IF(Cadastro!A131="","",Cadastro!I131)</f>
        <v/>
      </c>
      <c r="F136" s="12" t="n">
        <f aca="false">IF(Cadastro!A131="",0,IF(AND(Cadastro!O131="Ativo",Cadastro!I131=$B$5,ISNUMBER(SEARCH($B$4,Cadastro!J131)),OR($B$6&lt;&gt;"S",Cadastro!E131="S"),OR($B$7&lt;&gt;"S",Cadastro!F131="S")),1,0))</f>
        <v>0</v>
      </c>
      <c r="G136" s="22" t="str">
        <f aca="false">IF(F136=0,"",IF(Cadastro!U131=0,0,Cadastro!X131))</f>
        <v/>
      </c>
      <c r="H136" s="12" t="str">
        <f aca="false">IF(F136=0,"",1+COUNTIF($J$10:$J$309,"&lt;"&amp;J136))</f>
        <v/>
      </c>
      <c r="I136" s="12" t="n">
        <f aca="false">IF(H136=1,1,0)</f>
        <v>0</v>
      </c>
      <c r="J136" s="23" t="n">
        <f aca="false">IF(F136=0,9000000000000000,G136+Cadastro!M131/100000)</f>
        <v>9000000000000000</v>
      </c>
    </row>
    <row r="137" customFormat="false" ht="15" hidden="false" customHeight="false" outlineLevel="0" collapsed="false">
      <c r="A137" s="17" t="str">
        <f aca="false">IF(Cadastro!A132="","",Cadastro!A132)</f>
        <v/>
      </c>
      <c r="B137" s="17" t="str">
        <f aca="false">IF(Cadastro!A132="","",Cadastro!B132)</f>
        <v/>
      </c>
      <c r="C137" s="17" t="str">
        <f aca="false">IF(Cadastro!A132="","",Cadastro!D132)</f>
        <v/>
      </c>
      <c r="D137" s="17" t="str">
        <f aca="false">IF(Cadastro!A132="","",Cadastro!F132)</f>
        <v/>
      </c>
      <c r="E137" s="17" t="str">
        <f aca="false">IF(Cadastro!A132="","",Cadastro!I132)</f>
        <v/>
      </c>
      <c r="F137" s="12" t="n">
        <f aca="false">IF(Cadastro!A132="",0,IF(AND(Cadastro!O132="Ativo",Cadastro!I132=$B$5,ISNUMBER(SEARCH($B$4,Cadastro!J132)),OR($B$6&lt;&gt;"S",Cadastro!E132="S"),OR($B$7&lt;&gt;"S",Cadastro!F132="S")),1,0))</f>
        <v>0</v>
      </c>
      <c r="G137" s="22" t="str">
        <f aca="false">IF(F137=0,"",IF(Cadastro!U132=0,0,Cadastro!X132))</f>
        <v/>
      </c>
      <c r="H137" s="12" t="str">
        <f aca="false">IF(F137=0,"",1+COUNTIF($J$10:$J$309,"&lt;"&amp;J137))</f>
        <v/>
      </c>
      <c r="I137" s="12" t="n">
        <f aca="false">IF(H137=1,1,0)</f>
        <v>0</v>
      </c>
      <c r="J137" s="23" t="n">
        <f aca="false">IF(F137=0,9000000000000000,G137+Cadastro!M132/100000)</f>
        <v>9000000000000000</v>
      </c>
    </row>
    <row r="138" customFormat="false" ht="15" hidden="false" customHeight="false" outlineLevel="0" collapsed="false">
      <c r="A138" s="17" t="str">
        <f aca="false">IF(Cadastro!A133="","",Cadastro!A133)</f>
        <v/>
      </c>
      <c r="B138" s="17" t="str">
        <f aca="false">IF(Cadastro!A133="","",Cadastro!B133)</f>
        <v/>
      </c>
      <c r="C138" s="17" t="str">
        <f aca="false">IF(Cadastro!A133="","",Cadastro!D133)</f>
        <v/>
      </c>
      <c r="D138" s="17" t="str">
        <f aca="false">IF(Cadastro!A133="","",Cadastro!F133)</f>
        <v/>
      </c>
      <c r="E138" s="17" t="str">
        <f aca="false">IF(Cadastro!A133="","",Cadastro!I133)</f>
        <v/>
      </c>
      <c r="F138" s="12" t="n">
        <f aca="false">IF(Cadastro!A133="",0,IF(AND(Cadastro!O133="Ativo",Cadastro!I133=$B$5,ISNUMBER(SEARCH($B$4,Cadastro!J133)),OR($B$6&lt;&gt;"S",Cadastro!E133="S"),OR($B$7&lt;&gt;"S",Cadastro!F133="S")),1,0))</f>
        <v>0</v>
      </c>
      <c r="G138" s="22" t="str">
        <f aca="false">IF(F138=0,"",IF(Cadastro!U133=0,0,Cadastro!X133))</f>
        <v/>
      </c>
      <c r="H138" s="12" t="str">
        <f aca="false">IF(F138=0,"",1+COUNTIF($J$10:$J$309,"&lt;"&amp;J138))</f>
        <v/>
      </c>
      <c r="I138" s="12" t="n">
        <f aca="false">IF(H138=1,1,0)</f>
        <v>0</v>
      </c>
      <c r="J138" s="23" t="n">
        <f aca="false">IF(F138=0,9000000000000000,G138+Cadastro!M133/100000)</f>
        <v>9000000000000000</v>
      </c>
    </row>
    <row r="139" customFormat="false" ht="15" hidden="false" customHeight="false" outlineLevel="0" collapsed="false">
      <c r="A139" s="17" t="str">
        <f aca="false">IF(Cadastro!A134="","",Cadastro!A134)</f>
        <v/>
      </c>
      <c r="B139" s="17" t="str">
        <f aca="false">IF(Cadastro!A134="","",Cadastro!B134)</f>
        <v/>
      </c>
      <c r="C139" s="17" t="str">
        <f aca="false">IF(Cadastro!A134="","",Cadastro!D134)</f>
        <v/>
      </c>
      <c r="D139" s="17" t="str">
        <f aca="false">IF(Cadastro!A134="","",Cadastro!F134)</f>
        <v/>
      </c>
      <c r="E139" s="17" t="str">
        <f aca="false">IF(Cadastro!A134="","",Cadastro!I134)</f>
        <v/>
      </c>
      <c r="F139" s="12" t="n">
        <f aca="false">IF(Cadastro!A134="",0,IF(AND(Cadastro!O134="Ativo",Cadastro!I134=$B$5,ISNUMBER(SEARCH($B$4,Cadastro!J134)),OR($B$6&lt;&gt;"S",Cadastro!E134="S"),OR($B$7&lt;&gt;"S",Cadastro!F134="S")),1,0))</f>
        <v>0</v>
      </c>
      <c r="G139" s="22" t="str">
        <f aca="false">IF(F139=0,"",IF(Cadastro!U134=0,0,Cadastro!X134))</f>
        <v/>
      </c>
      <c r="H139" s="12" t="str">
        <f aca="false">IF(F139=0,"",1+COUNTIF($J$10:$J$309,"&lt;"&amp;J139))</f>
        <v/>
      </c>
      <c r="I139" s="12" t="n">
        <f aca="false">IF(H139=1,1,0)</f>
        <v>0</v>
      </c>
      <c r="J139" s="23" t="n">
        <f aca="false">IF(F139=0,9000000000000000,G139+Cadastro!M134/100000)</f>
        <v>9000000000000000</v>
      </c>
    </row>
    <row r="140" customFormat="false" ht="15" hidden="false" customHeight="false" outlineLevel="0" collapsed="false">
      <c r="A140" s="17" t="str">
        <f aca="false">IF(Cadastro!A135="","",Cadastro!A135)</f>
        <v/>
      </c>
      <c r="B140" s="17" t="str">
        <f aca="false">IF(Cadastro!A135="","",Cadastro!B135)</f>
        <v/>
      </c>
      <c r="C140" s="17" t="str">
        <f aca="false">IF(Cadastro!A135="","",Cadastro!D135)</f>
        <v/>
      </c>
      <c r="D140" s="17" t="str">
        <f aca="false">IF(Cadastro!A135="","",Cadastro!F135)</f>
        <v/>
      </c>
      <c r="E140" s="17" t="str">
        <f aca="false">IF(Cadastro!A135="","",Cadastro!I135)</f>
        <v/>
      </c>
      <c r="F140" s="12" t="n">
        <f aca="false">IF(Cadastro!A135="",0,IF(AND(Cadastro!O135="Ativo",Cadastro!I135=$B$5,ISNUMBER(SEARCH($B$4,Cadastro!J135)),OR($B$6&lt;&gt;"S",Cadastro!E135="S"),OR($B$7&lt;&gt;"S",Cadastro!F135="S")),1,0))</f>
        <v>0</v>
      </c>
      <c r="G140" s="22" t="str">
        <f aca="false">IF(F140=0,"",IF(Cadastro!U135=0,0,Cadastro!X135))</f>
        <v/>
      </c>
      <c r="H140" s="12" t="str">
        <f aca="false">IF(F140=0,"",1+COUNTIF($J$10:$J$309,"&lt;"&amp;J140))</f>
        <v/>
      </c>
      <c r="I140" s="12" t="n">
        <f aca="false">IF(H140=1,1,0)</f>
        <v>0</v>
      </c>
      <c r="J140" s="23" t="n">
        <f aca="false">IF(F140=0,9000000000000000,G140+Cadastro!M135/100000)</f>
        <v>9000000000000000</v>
      </c>
    </row>
    <row r="141" customFormat="false" ht="15" hidden="false" customHeight="false" outlineLevel="0" collapsed="false">
      <c r="A141" s="17" t="str">
        <f aca="false">IF(Cadastro!A136="","",Cadastro!A136)</f>
        <v/>
      </c>
      <c r="B141" s="17" t="str">
        <f aca="false">IF(Cadastro!A136="","",Cadastro!B136)</f>
        <v/>
      </c>
      <c r="C141" s="17" t="str">
        <f aca="false">IF(Cadastro!A136="","",Cadastro!D136)</f>
        <v/>
      </c>
      <c r="D141" s="17" t="str">
        <f aca="false">IF(Cadastro!A136="","",Cadastro!F136)</f>
        <v/>
      </c>
      <c r="E141" s="17" t="str">
        <f aca="false">IF(Cadastro!A136="","",Cadastro!I136)</f>
        <v/>
      </c>
      <c r="F141" s="12" t="n">
        <f aca="false">IF(Cadastro!A136="",0,IF(AND(Cadastro!O136="Ativo",Cadastro!I136=$B$5,ISNUMBER(SEARCH($B$4,Cadastro!J136)),OR($B$6&lt;&gt;"S",Cadastro!E136="S"),OR($B$7&lt;&gt;"S",Cadastro!F136="S")),1,0))</f>
        <v>0</v>
      </c>
      <c r="G141" s="22" t="str">
        <f aca="false">IF(F141=0,"",IF(Cadastro!U136=0,0,Cadastro!X136))</f>
        <v/>
      </c>
      <c r="H141" s="12" t="str">
        <f aca="false">IF(F141=0,"",1+COUNTIF($J$10:$J$309,"&lt;"&amp;J141))</f>
        <v/>
      </c>
      <c r="I141" s="12" t="n">
        <f aca="false">IF(H141=1,1,0)</f>
        <v>0</v>
      </c>
      <c r="J141" s="23" t="n">
        <f aca="false">IF(F141=0,9000000000000000,G141+Cadastro!M136/100000)</f>
        <v>9000000000000000</v>
      </c>
    </row>
    <row r="142" customFormat="false" ht="15" hidden="false" customHeight="false" outlineLevel="0" collapsed="false">
      <c r="A142" s="17" t="str">
        <f aca="false">IF(Cadastro!A137="","",Cadastro!A137)</f>
        <v/>
      </c>
      <c r="B142" s="17" t="str">
        <f aca="false">IF(Cadastro!A137="","",Cadastro!B137)</f>
        <v/>
      </c>
      <c r="C142" s="17" t="str">
        <f aca="false">IF(Cadastro!A137="","",Cadastro!D137)</f>
        <v/>
      </c>
      <c r="D142" s="17" t="str">
        <f aca="false">IF(Cadastro!A137="","",Cadastro!F137)</f>
        <v/>
      </c>
      <c r="E142" s="17" t="str">
        <f aca="false">IF(Cadastro!A137="","",Cadastro!I137)</f>
        <v/>
      </c>
      <c r="F142" s="12" t="n">
        <f aca="false">IF(Cadastro!A137="",0,IF(AND(Cadastro!O137="Ativo",Cadastro!I137=$B$5,ISNUMBER(SEARCH($B$4,Cadastro!J137)),OR($B$6&lt;&gt;"S",Cadastro!E137="S"),OR($B$7&lt;&gt;"S",Cadastro!F137="S")),1,0))</f>
        <v>0</v>
      </c>
      <c r="G142" s="22" t="str">
        <f aca="false">IF(F142=0,"",IF(Cadastro!U137=0,0,Cadastro!X137))</f>
        <v/>
      </c>
      <c r="H142" s="12" t="str">
        <f aca="false">IF(F142=0,"",1+COUNTIF($J$10:$J$309,"&lt;"&amp;J142))</f>
        <v/>
      </c>
      <c r="I142" s="12" t="n">
        <f aca="false">IF(H142=1,1,0)</f>
        <v>0</v>
      </c>
      <c r="J142" s="23" t="n">
        <f aca="false">IF(F142=0,9000000000000000,G142+Cadastro!M137/100000)</f>
        <v>9000000000000000</v>
      </c>
    </row>
    <row r="143" customFormat="false" ht="15" hidden="false" customHeight="false" outlineLevel="0" collapsed="false">
      <c r="A143" s="17" t="str">
        <f aca="false">IF(Cadastro!A138="","",Cadastro!A138)</f>
        <v/>
      </c>
      <c r="B143" s="17" t="str">
        <f aca="false">IF(Cadastro!A138="","",Cadastro!B138)</f>
        <v/>
      </c>
      <c r="C143" s="17" t="str">
        <f aca="false">IF(Cadastro!A138="","",Cadastro!D138)</f>
        <v/>
      </c>
      <c r="D143" s="17" t="str">
        <f aca="false">IF(Cadastro!A138="","",Cadastro!F138)</f>
        <v/>
      </c>
      <c r="E143" s="17" t="str">
        <f aca="false">IF(Cadastro!A138="","",Cadastro!I138)</f>
        <v/>
      </c>
      <c r="F143" s="12" t="n">
        <f aca="false">IF(Cadastro!A138="",0,IF(AND(Cadastro!O138="Ativo",Cadastro!I138=$B$5,ISNUMBER(SEARCH($B$4,Cadastro!J138)),OR($B$6&lt;&gt;"S",Cadastro!E138="S"),OR($B$7&lt;&gt;"S",Cadastro!F138="S")),1,0))</f>
        <v>0</v>
      </c>
      <c r="G143" s="22" t="str">
        <f aca="false">IF(F143=0,"",IF(Cadastro!U138=0,0,Cadastro!X138))</f>
        <v/>
      </c>
      <c r="H143" s="12" t="str">
        <f aca="false">IF(F143=0,"",1+COUNTIF($J$10:$J$309,"&lt;"&amp;J143))</f>
        <v/>
      </c>
      <c r="I143" s="12" t="n">
        <f aca="false">IF(H143=1,1,0)</f>
        <v>0</v>
      </c>
      <c r="J143" s="23" t="n">
        <f aca="false">IF(F143=0,9000000000000000,G143+Cadastro!M138/100000)</f>
        <v>9000000000000000</v>
      </c>
    </row>
    <row r="144" customFormat="false" ht="15" hidden="false" customHeight="false" outlineLevel="0" collapsed="false">
      <c r="A144" s="17" t="str">
        <f aca="false">IF(Cadastro!A139="","",Cadastro!A139)</f>
        <v/>
      </c>
      <c r="B144" s="17" t="str">
        <f aca="false">IF(Cadastro!A139="","",Cadastro!B139)</f>
        <v/>
      </c>
      <c r="C144" s="17" t="str">
        <f aca="false">IF(Cadastro!A139="","",Cadastro!D139)</f>
        <v/>
      </c>
      <c r="D144" s="17" t="str">
        <f aca="false">IF(Cadastro!A139="","",Cadastro!F139)</f>
        <v/>
      </c>
      <c r="E144" s="17" t="str">
        <f aca="false">IF(Cadastro!A139="","",Cadastro!I139)</f>
        <v/>
      </c>
      <c r="F144" s="12" t="n">
        <f aca="false">IF(Cadastro!A139="",0,IF(AND(Cadastro!O139="Ativo",Cadastro!I139=$B$5,ISNUMBER(SEARCH($B$4,Cadastro!J139)),OR($B$6&lt;&gt;"S",Cadastro!E139="S"),OR($B$7&lt;&gt;"S",Cadastro!F139="S")),1,0))</f>
        <v>0</v>
      </c>
      <c r="G144" s="22" t="str">
        <f aca="false">IF(F144=0,"",IF(Cadastro!U139=0,0,Cadastro!X139))</f>
        <v/>
      </c>
      <c r="H144" s="12" t="str">
        <f aca="false">IF(F144=0,"",1+COUNTIF($J$10:$J$309,"&lt;"&amp;J144))</f>
        <v/>
      </c>
      <c r="I144" s="12" t="n">
        <f aca="false">IF(H144=1,1,0)</f>
        <v>0</v>
      </c>
      <c r="J144" s="23" t="n">
        <f aca="false">IF(F144=0,9000000000000000,G144+Cadastro!M139/100000)</f>
        <v>9000000000000000</v>
      </c>
    </row>
    <row r="145" customFormat="false" ht="15" hidden="false" customHeight="false" outlineLevel="0" collapsed="false">
      <c r="A145" s="17" t="str">
        <f aca="false">IF(Cadastro!A140="","",Cadastro!A140)</f>
        <v/>
      </c>
      <c r="B145" s="17" t="str">
        <f aca="false">IF(Cadastro!A140="","",Cadastro!B140)</f>
        <v/>
      </c>
      <c r="C145" s="17" t="str">
        <f aca="false">IF(Cadastro!A140="","",Cadastro!D140)</f>
        <v/>
      </c>
      <c r="D145" s="17" t="str">
        <f aca="false">IF(Cadastro!A140="","",Cadastro!F140)</f>
        <v/>
      </c>
      <c r="E145" s="17" t="str">
        <f aca="false">IF(Cadastro!A140="","",Cadastro!I140)</f>
        <v/>
      </c>
      <c r="F145" s="12" t="n">
        <f aca="false">IF(Cadastro!A140="",0,IF(AND(Cadastro!O140="Ativo",Cadastro!I140=$B$5,ISNUMBER(SEARCH($B$4,Cadastro!J140)),OR($B$6&lt;&gt;"S",Cadastro!E140="S"),OR($B$7&lt;&gt;"S",Cadastro!F140="S")),1,0))</f>
        <v>0</v>
      </c>
      <c r="G145" s="22" t="str">
        <f aca="false">IF(F145=0,"",IF(Cadastro!U140=0,0,Cadastro!X140))</f>
        <v/>
      </c>
      <c r="H145" s="12" t="str">
        <f aca="false">IF(F145=0,"",1+COUNTIF($J$10:$J$309,"&lt;"&amp;J145))</f>
        <v/>
      </c>
      <c r="I145" s="12" t="n">
        <f aca="false">IF(H145=1,1,0)</f>
        <v>0</v>
      </c>
      <c r="J145" s="23" t="n">
        <f aca="false">IF(F145=0,9000000000000000,G145+Cadastro!M140/100000)</f>
        <v>9000000000000000</v>
      </c>
    </row>
    <row r="146" customFormat="false" ht="15" hidden="false" customHeight="false" outlineLevel="0" collapsed="false">
      <c r="A146" s="17" t="str">
        <f aca="false">IF(Cadastro!A141="","",Cadastro!A141)</f>
        <v/>
      </c>
      <c r="B146" s="17" t="str">
        <f aca="false">IF(Cadastro!A141="","",Cadastro!B141)</f>
        <v/>
      </c>
      <c r="C146" s="17" t="str">
        <f aca="false">IF(Cadastro!A141="","",Cadastro!D141)</f>
        <v/>
      </c>
      <c r="D146" s="17" t="str">
        <f aca="false">IF(Cadastro!A141="","",Cadastro!F141)</f>
        <v/>
      </c>
      <c r="E146" s="17" t="str">
        <f aca="false">IF(Cadastro!A141="","",Cadastro!I141)</f>
        <v/>
      </c>
      <c r="F146" s="12" t="n">
        <f aca="false">IF(Cadastro!A141="",0,IF(AND(Cadastro!O141="Ativo",Cadastro!I141=$B$5,ISNUMBER(SEARCH($B$4,Cadastro!J141)),OR($B$6&lt;&gt;"S",Cadastro!E141="S"),OR($B$7&lt;&gt;"S",Cadastro!F141="S")),1,0))</f>
        <v>0</v>
      </c>
      <c r="G146" s="22" t="str">
        <f aca="false">IF(F146=0,"",IF(Cadastro!U141=0,0,Cadastro!X141))</f>
        <v/>
      </c>
      <c r="H146" s="12" t="str">
        <f aca="false">IF(F146=0,"",1+COUNTIF($J$10:$J$309,"&lt;"&amp;J146))</f>
        <v/>
      </c>
      <c r="I146" s="12" t="n">
        <f aca="false">IF(H146=1,1,0)</f>
        <v>0</v>
      </c>
      <c r="J146" s="23" t="n">
        <f aca="false">IF(F146=0,9000000000000000,G146+Cadastro!M141/100000)</f>
        <v>9000000000000000</v>
      </c>
    </row>
    <row r="147" customFormat="false" ht="15" hidden="false" customHeight="false" outlineLevel="0" collapsed="false">
      <c r="A147" s="17" t="str">
        <f aca="false">IF(Cadastro!A142="","",Cadastro!A142)</f>
        <v/>
      </c>
      <c r="B147" s="17" t="str">
        <f aca="false">IF(Cadastro!A142="","",Cadastro!B142)</f>
        <v/>
      </c>
      <c r="C147" s="17" t="str">
        <f aca="false">IF(Cadastro!A142="","",Cadastro!D142)</f>
        <v/>
      </c>
      <c r="D147" s="17" t="str">
        <f aca="false">IF(Cadastro!A142="","",Cadastro!F142)</f>
        <v/>
      </c>
      <c r="E147" s="17" t="str">
        <f aca="false">IF(Cadastro!A142="","",Cadastro!I142)</f>
        <v/>
      </c>
      <c r="F147" s="12" t="n">
        <f aca="false">IF(Cadastro!A142="",0,IF(AND(Cadastro!O142="Ativo",Cadastro!I142=$B$5,ISNUMBER(SEARCH($B$4,Cadastro!J142)),OR($B$6&lt;&gt;"S",Cadastro!E142="S"),OR($B$7&lt;&gt;"S",Cadastro!F142="S")),1,0))</f>
        <v>0</v>
      </c>
      <c r="G147" s="22" t="str">
        <f aca="false">IF(F147=0,"",IF(Cadastro!U142=0,0,Cadastro!X142))</f>
        <v/>
      </c>
      <c r="H147" s="12" t="str">
        <f aca="false">IF(F147=0,"",1+COUNTIF($J$10:$J$309,"&lt;"&amp;J147))</f>
        <v/>
      </c>
      <c r="I147" s="12" t="n">
        <f aca="false">IF(H147=1,1,0)</f>
        <v>0</v>
      </c>
      <c r="J147" s="23" t="n">
        <f aca="false">IF(F147=0,9000000000000000,G147+Cadastro!M142/100000)</f>
        <v>9000000000000000</v>
      </c>
    </row>
    <row r="148" customFormat="false" ht="15" hidden="false" customHeight="false" outlineLevel="0" collapsed="false">
      <c r="A148" s="17" t="str">
        <f aca="false">IF(Cadastro!A143="","",Cadastro!A143)</f>
        <v/>
      </c>
      <c r="B148" s="17" t="str">
        <f aca="false">IF(Cadastro!A143="","",Cadastro!B143)</f>
        <v/>
      </c>
      <c r="C148" s="17" t="str">
        <f aca="false">IF(Cadastro!A143="","",Cadastro!D143)</f>
        <v/>
      </c>
      <c r="D148" s="17" t="str">
        <f aca="false">IF(Cadastro!A143="","",Cadastro!F143)</f>
        <v/>
      </c>
      <c r="E148" s="17" t="str">
        <f aca="false">IF(Cadastro!A143="","",Cadastro!I143)</f>
        <v/>
      </c>
      <c r="F148" s="12" t="n">
        <f aca="false">IF(Cadastro!A143="",0,IF(AND(Cadastro!O143="Ativo",Cadastro!I143=$B$5,ISNUMBER(SEARCH($B$4,Cadastro!J143)),OR($B$6&lt;&gt;"S",Cadastro!E143="S"),OR($B$7&lt;&gt;"S",Cadastro!F143="S")),1,0))</f>
        <v>0</v>
      </c>
      <c r="G148" s="22" t="str">
        <f aca="false">IF(F148=0,"",IF(Cadastro!U143=0,0,Cadastro!X143))</f>
        <v/>
      </c>
      <c r="H148" s="12" t="str">
        <f aca="false">IF(F148=0,"",1+COUNTIF($J$10:$J$309,"&lt;"&amp;J148))</f>
        <v/>
      </c>
      <c r="I148" s="12" t="n">
        <f aca="false">IF(H148=1,1,0)</f>
        <v>0</v>
      </c>
      <c r="J148" s="23" t="n">
        <f aca="false">IF(F148=0,9000000000000000,G148+Cadastro!M143/100000)</f>
        <v>9000000000000000</v>
      </c>
    </row>
    <row r="149" customFormat="false" ht="15" hidden="false" customHeight="false" outlineLevel="0" collapsed="false">
      <c r="A149" s="17" t="str">
        <f aca="false">IF(Cadastro!A144="","",Cadastro!A144)</f>
        <v/>
      </c>
      <c r="B149" s="17" t="str">
        <f aca="false">IF(Cadastro!A144="","",Cadastro!B144)</f>
        <v/>
      </c>
      <c r="C149" s="17" t="str">
        <f aca="false">IF(Cadastro!A144="","",Cadastro!D144)</f>
        <v/>
      </c>
      <c r="D149" s="17" t="str">
        <f aca="false">IF(Cadastro!A144="","",Cadastro!F144)</f>
        <v/>
      </c>
      <c r="E149" s="17" t="str">
        <f aca="false">IF(Cadastro!A144="","",Cadastro!I144)</f>
        <v/>
      </c>
      <c r="F149" s="12" t="n">
        <f aca="false">IF(Cadastro!A144="",0,IF(AND(Cadastro!O144="Ativo",Cadastro!I144=$B$5,ISNUMBER(SEARCH($B$4,Cadastro!J144)),OR($B$6&lt;&gt;"S",Cadastro!E144="S"),OR($B$7&lt;&gt;"S",Cadastro!F144="S")),1,0))</f>
        <v>0</v>
      </c>
      <c r="G149" s="22" t="str">
        <f aca="false">IF(F149=0,"",IF(Cadastro!U144=0,0,Cadastro!X144))</f>
        <v/>
      </c>
      <c r="H149" s="12" t="str">
        <f aca="false">IF(F149=0,"",1+COUNTIF($J$10:$J$309,"&lt;"&amp;J149))</f>
        <v/>
      </c>
      <c r="I149" s="12" t="n">
        <f aca="false">IF(H149=1,1,0)</f>
        <v>0</v>
      </c>
      <c r="J149" s="23" t="n">
        <f aca="false">IF(F149=0,9000000000000000,G149+Cadastro!M144/100000)</f>
        <v>9000000000000000</v>
      </c>
    </row>
    <row r="150" customFormat="false" ht="15" hidden="false" customHeight="false" outlineLevel="0" collapsed="false">
      <c r="A150" s="17" t="str">
        <f aca="false">IF(Cadastro!A145="","",Cadastro!A145)</f>
        <v/>
      </c>
      <c r="B150" s="17" t="str">
        <f aca="false">IF(Cadastro!A145="","",Cadastro!B145)</f>
        <v/>
      </c>
      <c r="C150" s="17" t="str">
        <f aca="false">IF(Cadastro!A145="","",Cadastro!D145)</f>
        <v/>
      </c>
      <c r="D150" s="17" t="str">
        <f aca="false">IF(Cadastro!A145="","",Cadastro!F145)</f>
        <v/>
      </c>
      <c r="E150" s="17" t="str">
        <f aca="false">IF(Cadastro!A145="","",Cadastro!I145)</f>
        <v/>
      </c>
      <c r="F150" s="12" t="n">
        <f aca="false">IF(Cadastro!A145="",0,IF(AND(Cadastro!O145="Ativo",Cadastro!I145=$B$5,ISNUMBER(SEARCH($B$4,Cadastro!J145)),OR($B$6&lt;&gt;"S",Cadastro!E145="S"),OR($B$7&lt;&gt;"S",Cadastro!F145="S")),1,0))</f>
        <v>0</v>
      </c>
      <c r="G150" s="22" t="str">
        <f aca="false">IF(F150=0,"",IF(Cadastro!U145=0,0,Cadastro!X145))</f>
        <v/>
      </c>
      <c r="H150" s="12" t="str">
        <f aca="false">IF(F150=0,"",1+COUNTIF($J$10:$J$309,"&lt;"&amp;J150))</f>
        <v/>
      </c>
      <c r="I150" s="12" t="n">
        <f aca="false">IF(H150=1,1,0)</f>
        <v>0</v>
      </c>
      <c r="J150" s="23" t="n">
        <f aca="false">IF(F150=0,9000000000000000,G150+Cadastro!M145/100000)</f>
        <v>9000000000000000</v>
      </c>
    </row>
    <row r="151" customFormat="false" ht="15" hidden="false" customHeight="false" outlineLevel="0" collapsed="false">
      <c r="A151" s="17" t="str">
        <f aca="false">IF(Cadastro!A146="","",Cadastro!A146)</f>
        <v/>
      </c>
      <c r="B151" s="17" t="str">
        <f aca="false">IF(Cadastro!A146="","",Cadastro!B146)</f>
        <v/>
      </c>
      <c r="C151" s="17" t="str">
        <f aca="false">IF(Cadastro!A146="","",Cadastro!D146)</f>
        <v/>
      </c>
      <c r="D151" s="17" t="str">
        <f aca="false">IF(Cadastro!A146="","",Cadastro!F146)</f>
        <v/>
      </c>
      <c r="E151" s="17" t="str">
        <f aca="false">IF(Cadastro!A146="","",Cadastro!I146)</f>
        <v/>
      </c>
      <c r="F151" s="12" t="n">
        <f aca="false">IF(Cadastro!A146="",0,IF(AND(Cadastro!O146="Ativo",Cadastro!I146=$B$5,ISNUMBER(SEARCH($B$4,Cadastro!J146)),OR($B$6&lt;&gt;"S",Cadastro!E146="S"),OR($B$7&lt;&gt;"S",Cadastro!F146="S")),1,0))</f>
        <v>0</v>
      </c>
      <c r="G151" s="22" t="str">
        <f aca="false">IF(F151=0,"",IF(Cadastro!U146=0,0,Cadastro!X146))</f>
        <v/>
      </c>
      <c r="H151" s="12" t="str">
        <f aca="false">IF(F151=0,"",1+COUNTIF($J$10:$J$309,"&lt;"&amp;J151))</f>
        <v/>
      </c>
      <c r="I151" s="12" t="n">
        <f aca="false">IF(H151=1,1,0)</f>
        <v>0</v>
      </c>
      <c r="J151" s="23" t="n">
        <f aca="false">IF(F151=0,9000000000000000,G151+Cadastro!M146/100000)</f>
        <v>9000000000000000</v>
      </c>
    </row>
    <row r="152" customFormat="false" ht="15" hidden="false" customHeight="false" outlineLevel="0" collapsed="false">
      <c r="A152" s="17" t="str">
        <f aca="false">IF(Cadastro!A147="","",Cadastro!A147)</f>
        <v/>
      </c>
      <c r="B152" s="17" t="str">
        <f aca="false">IF(Cadastro!A147="","",Cadastro!B147)</f>
        <v/>
      </c>
      <c r="C152" s="17" t="str">
        <f aca="false">IF(Cadastro!A147="","",Cadastro!D147)</f>
        <v/>
      </c>
      <c r="D152" s="17" t="str">
        <f aca="false">IF(Cadastro!A147="","",Cadastro!F147)</f>
        <v/>
      </c>
      <c r="E152" s="17" t="str">
        <f aca="false">IF(Cadastro!A147="","",Cadastro!I147)</f>
        <v/>
      </c>
      <c r="F152" s="12" t="n">
        <f aca="false">IF(Cadastro!A147="",0,IF(AND(Cadastro!O147="Ativo",Cadastro!I147=$B$5,ISNUMBER(SEARCH($B$4,Cadastro!J147)),OR($B$6&lt;&gt;"S",Cadastro!E147="S"),OR($B$7&lt;&gt;"S",Cadastro!F147="S")),1,0))</f>
        <v>0</v>
      </c>
      <c r="G152" s="22" t="str">
        <f aca="false">IF(F152=0,"",IF(Cadastro!U147=0,0,Cadastro!X147))</f>
        <v/>
      </c>
      <c r="H152" s="12" t="str">
        <f aca="false">IF(F152=0,"",1+COUNTIF($J$10:$J$309,"&lt;"&amp;J152))</f>
        <v/>
      </c>
      <c r="I152" s="12" t="n">
        <f aca="false">IF(H152=1,1,0)</f>
        <v>0</v>
      </c>
      <c r="J152" s="23" t="n">
        <f aca="false">IF(F152=0,9000000000000000,G152+Cadastro!M147/100000)</f>
        <v>9000000000000000</v>
      </c>
    </row>
    <row r="153" customFormat="false" ht="15" hidden="false" customHeight="false" outlineLevel="0" collapsed="false">
      <c r="A153" s="17" t="str">
        <f aca="false">IF(Cadastro!A148="","",Cadastro!A148)</f>
        <v/>
      </c>
      <c r="B153" s="17" t="str">
        <f aca="false">IF(Cadastro!A148="","",Cadastro!B148)</f>
        <v/>
      </c>
      <c r="C153" s="17" t="str">
        <f aca="false">IF(Cadastro!A148="","",Cadastro!D148)</f>
        <v/>
      </c>
      <c r="D153" s="17" t="str">
        <f aca="false">IF(Cadastro!A148="","",Cadastro!F148)</f>
        <v/>
      </c>
      <c r="E153" s="17" t="str">
        <f aca="false">IF(Cadastro!A148="","",Cadastro!I148)</f>
        <v/>
      </c>
      <c r="F153" s="12" t="n">
        <f aca="false">IF(Cadastro!A148="",0,IF(AND(Cadastro!O148="Ativo",Cadastro!I148=$B$5,ISNUMBER(SEARCH($B$4,Cadastro!J148)),OR($B$6&lt;&gt;"S",Cadastro!E148="S"),OR($B$7&lt;&gt;"S",Cadastro!F148="S")),1,0))</f>
        <v>0</v>
      </c>
      <c r="G153" s="22" t="str">
        <f aca="false">IF(F153=0,"",IF(Cadastro!U148=0,0,Cadastro!X148))</f>
        <v/>
      </c>
      <c r="H153" s="12" t="str">
        <f aca="false">IF(F153=0,"",1+COUNTIF($J$10:$J$309,"&lt;"&amp;J153))</f>
        <v/>
      </c>
      <c r="I153" s="12" t="n">
        <f aca="false">IF(H153=1,1,0)</f>
        <v>0</v>
      </c>
      <c r="J153" s="23" t="n">
        <f aca="false">IF(F153=0,9000000000000000,G153+Cadastro!M148/100000)</f>
        <v>9000000000000000</v>
      </c>
    </row>
    <row r="154" customFormat="false" ht="15" hidden="false" customHeight="false" outlineLevel="0" collapsed="false">
      <c r="A154" s="17" t="str">
        <f aca="false">IF(Cadastro!A149="","",Cadastro!A149)</f>
        <v/>
      </c>
      <c r="B154" s="17" t="str">
        <f aca="false">IF(Cadastro!A149="","",Cadastro!B149)</f>
        <v/>
      </c>
      <c r="C154" s="17" t="str">
        <f aca="false">IF(Cadastro!A149="","",Cadastro!D149)</f>
        <v/>
      </c>
      <c r="D154" s="17" t="str">
        <f aca="false">IF(Cadastro!A149="","",Cadastro!F149)</f>
        <v/>
      </c>
      <c r="E154" s="17" t="str">
        <f aca="false">IF(Cadastro!A149="","",Cadastro!I149)</f>
        <v/>
      </c>
      <c r="F154" s="12" t="n">
        <f aca="false">IF(Cadastro!A149="",0,IF(AND(Cadastro!O149="Ativo",Cadastro!I149=$B$5,ISNUMBER(SEARCH($B$4,Cadastro!J149)),OR($B$6&lt;&gt;"S",Cadastro!E149="S"),OR($B$7&lt;&gt;"S",Cadastro!F149="S")),1,0))</f>
        <v>0</v>
      </c>
      <c r="G154" s="22" t="str">
        <f aca="false">IF(F154=0,"",IF(Cadastro!U149=0,0,Cadastro!X149))</f>
        <v/>
      </c>
      <c r="H154" s="12" t="str">
        <f aca="false">IF(F154=0,"",1+COUNTIF($J$10:$J$309,"&lt;"&amp;J154))</f>
        <v/>
      </c>
      <c r="I154" s="12" t="n">
        <f aca="false">IF(H154=1,1,0)</f>
        <v>0</v>
      </c>
      <c r="J154" s="23" t="n">
        <f aca="false">IF(F154=0,9000000000000000,G154+Cadastro!M149/100000)</f>
        <v>9000000000000000</v>
      </c>
    </row>
    <row r="155" customFormat="false" ht="15" hidden="false" customHeight="false" outlineLevel="0" collapsed="false">
      <c r="A155" s="17" t="str">
        <f aca="false">IF(Cadastro!A150="","",Cadastro!A150)</f>
        <v/>
      </c>
      <c r="B155" s="17" t="str">
        <f aca="false">IF(Cadastro!A150="","",Cadastro!B150)</f>
        <v/>
      </c>
      <c r="C155" s="17" t="str">
        <f aca="false">IF(Cadastro!A150="","",Cadastro!D150)</f>
        <v/>
      </c>
      <c r="D155" s="17" t="str">
        <f aca="false">IF(Cadastro!A150="","",Cadastro!F150)</f>
        <v/>
      </c>
      <c r="E155" s="17" t="str">
        <f aca="false">IF(Cadastro!A150="","",Cadastro!I150)</f>
        <v/>
      </c>
      <c r="F155" s="12" t="n">
        <f aca="false">IF(Cadastro!A150="",0,IF(AND(Cadastro!O150="Ativo",Cadastro!I150=$B$5,ISNUMBER(SEARCH($B$4,Cadastro!J150)),OR($B$6&lt;&gt;"S",Cadastro!E150="S"),OR($B$7&lt;&gt;"S",Cadastro!F150="S")),1,0))</f>
        <v>0</v>
      </c>
      <c r="G155" s="22" t="str">
        <f aca="false">IF(F155=0,"",IF(Cadastro!U150=0,0,Cadastro!X150))</f>
        <v/>
      </c>
      <c r="H155" s="12" t="str">
        <f aca="false">IF(F155=0,"",1+COUNTIF($J$10:$J$309,"&lt;"&amp;J155))</f>
        <v/>
      </c>
      <c r="I155" s="12" t="n">
        <f aca="false">IF(H155=1,1,0)</f>
        <v>0</v>
      </c>
      <c r="J155" s="23" t="n">
        <f aca="false">IF(F155=0,9000000000000000,G155+Cadastro!M150/100000)</f>
        <v>9000000000000000</v>
      </c>
    </row>
    <row r="156" customFormat="false" ht="15" hidden="false" customHeight="false" outlineLevel="0" collapsed="false">
      <c r="A156" s="17" t="str">
        <f aca="false">IF(Cadastro!A151="","",Cadastro!A151)</f>
        <v/>
      </c>
      <c r="B156" s="17" t="str">
        <f aca="false">IF(Cadastro!A151="","",Cadastro!B151)</f>
        <v/>
      </c>
      <c r="C156" s="17" t="str">
        <f aca="false">IF(Cadastro!A151="","",Cadastro!D151)</f>
        <v/>
      </c>
      <c r="D156" s="17" t="str">
        <f aca="false">IF(Cadastro!A151="","",Cadastro!F151)</f>
        <v/>
      </c>
      <c r="E156" s="17" t="str">
        <f aca="false">IF(Cadastro!A151="","",Cadastro!I151)</f>
        <v/>
      </c>
      <c r="F156" s="12" t="n">
        <f aca="false">IF(Cadastro!A151="",0,IF(AND(Cadastro!O151="Ativo",Cadastro!I151=$B$5,ISNUMBER(SEARCH($B$4,Cadastro!J151)),OR($B$6&lt;&gt;"S",Cadastro!E151="S"),OR($B$7&lt;&gt;"S",Cadastro!F151="S")),1,0))</f>
        <v>0</v>
      </c>
      <c r="G156" s="22" t="str">
        <f aca="false">IF(F156=0,"",IF(Cadastro!U151=0,0,Cadastro!X151))</f>
        <v/>
      </c>
      <c r="H156" s="12" t="str">
        <f aca="false">IF(F156=0,"",1+COUNTIF($J$10:$J$309,"&lt;"&amp;J156))</f>
        <v/>
      </c>
      <c r="I156" s="12" t="n">
        <f aca="false">IF(H156=1,1,0)</f>
        <v>0</v>
      </c>
      <c r="J156" s="23" t="n">
        <f aca="false">IF(F156=0,9000000000000000,G156+Cadastro!M151/100000)</f>
        <v>9000000000000000</v>
      </c>
    </row>
    <row r="157" customFormat="false" ht="15" hidden="false" customHeight="false" outlineLevel="0" collapsed="false">
      <c r="A157" s="17" t="str">
        <f aca="false">IF(Cadastro!A152="","",Cadastro!A152)</f>
        <v/>
      </c>
      <c r="B157" s="17" t="str">
        <f aca="false">IF(Cadastro!A152="","",Cadastro!B152)</f>
        <v/>
      </c>
      <c r="C157" s="17" t="str">
        <f aca="false">IF(Cadastro!A152="","",Cadastro!D152)</f>
        <v/>
      </c>
      <c r="D157" s="17" t="str">
        <f aca="false">IF(Cadastro!A152="","",Cadastro!F152)</f>
        <v/>
      </c>
      <c r="E157" s="17" t="str">
        <f aca="false">IF(Cadastro!A152="","",Cadastro!I152)</f>
        <v/>
      </c>
      <c r="F157" s="12" t="n">
        <f aca="false">IF(Cadastro!A152="",0,IF(AND(Cadastro!O152="Ativo",Cadastro!I152=$B$5,ISNUMBER(SEARCH($B$4,Cadastro!J152)),OR($B$6&lt;&gt;"S",Cadastro!E152="S"),OR($B$7&lt;&gt;"S",Cadastro!F152="S")),1,0))</f>
        <v>0</v>
      </c>
      <c r="G157" s="22" t="str">
        <f aca="false">IF(F157=0,"",IF(Cadastro!U152=0,0,Cadastro!X152))</f>
        <v/>
      </c>
      <c r="H157" s="12" t="str">
        <f aca="false">IF(F157=0,"",1+COUNTIF($J$10:$J$309,"&lt;"&amp;J157))</f>
        <v/>
      </c>
      <c r="I157" s="12" t="n">
        <f aca="false">IF(H157=1,1,0)</f>
        <v>0</v>
      </c>
      <c r="J157" s="23" t="n">
        <f aca="false">IF(F157=0,9000000000000000,G157+Cadastro!M152/100000)</f>
        <v>9000000000000000</v>
      </c>
    </row>
    <row r="158" customFormat="false" ht="15" hidden="false" customHeight="false" outlineLevel="0" collapsed="false">
      <c r="A158" s="17" t="str">
        <f aca="false">IF(Cadastro!A153="","",Cadastro!A153)</f>
        <v/>
      </c>
      <c r="B158" s="17" t="str">
        <f aca="false">IF(Cadastro!A153="","",Cadastro!B153)</f>
        <v/>
      </c>
      <c r="C158" s="17" t="str">
        <f aca="false">IF(Cadastro!A153="","",Cadastro!D153)</f>
        <v/>
      </c>
      <c r="D158" s="17" t="str">
        <f aca="false">IF(Cadastro!A153="","",Cadastro!F153)</f>
        <v/>
      </c>
      <c r="E158" s="17" t="str">
        <f aca="false">IF(Cadastro!A153="","",Cadastro!I153)</f>
        <v/>
      </c>
      <c r="F158" s="12" t="n">
        <f aca="false">IF(Cadastro!A153="",0,IF(AND(Cadastro!O153="Ativo",Cadastro!I153=$B$5,ISNUMBER(SEARCH($B$4,Cadastro!J153)),OR($B$6&lt;&gt;"S",Cadastro!E153="S"),OR($B$7&lt;&gt;"S",Cadastro!F153="S")),1,0))</f>
        <v>0</v>
      </c>
      <c r="G158" s="22" t="str">
        <f aca="false">IF(F158=0,"",IF(Cadastro!U153=0,0,Cadastro!X153))</f>
        <v/>
      </c>
      <c r="H158" s="12" t="str">
        <f aca="false">IF(F158=0,"",1+COUNTIF($J$10:$J$309,"&lt;"&amp;J158))</f>
        <v/>
      </c>
      <c r="I158" s="12" t="n">
        <f aca="false">IF(H158=1,1,0)</f>
        <v>0</v>
      </c>
      <c r="J158" s="23" t="n">
        <f aca="false">IF(F158=0,9000000000000000,G158+Cadastro!M153/100000)</f>
        <v>9000000000000000</v>
      </c>
    </row>
    <row r="159" customFormat="false" ht="15" hidden="false" customHeight="false" outlineLevel="0" collapsed="false">
      <c r="A159" s="17" t="str">
        <f aca="false">IF(Cadastro!A154="","",Cadastro!A154)</f>
        <v/>
      </c>
      <c r="B159" s="17" t="str">
        <f aca="false">IF(Cadastro!A154="","",Cadastro!B154)</f>
        <v/>
      </c>
      <c r="C159" s="17" t="str">
        <f aca="false">IF(Cadastro!A154="","",Cadastro!D154)</f>
        <v/>
      </c>
      <c r="D159" s="17" t="str">
        <f aca="false">IF(Cadastro!A154="","",Cadastro!F154)</f>
        <v/>
      </c>
      <c r="E159" s="17" t="str">
        <f aca="false">IF(Cadastro!A154="","",Cadastro!I154)</f>
        <v/>
      </c>
      <c r="F159" s="12" t="n">
        <f aca="false">IF(Cadastro!A154="",0,IF(AND(Cadastro!O154="Ativo",Cadastro!I154=$B$5,ISNUMBER(SEARCH($B$4,Cadastro!J154)),OR($B$6&lt;&gt;"S",Cadastro!E154="S"),OR($B$7&lt;&gt;"S",Cadastro!F154="S")),1,0))</f>
        <v>0</v>
      </c>
      <c r="G159" s="22" t="str">
        <f aca="false">IF(F159=0,"",IF(Cadastro!U154=0,0,Cadastro!X154))</f>
        <v/>
      </c>
      <c r="H159" s="12" t="str">
        <f aca="false">IF(F159=0,"",1+COUNTIF($J$10:$J$309,"&lt;"&amp;J159))</f>
        <v/>
      </c>
      <c r="I159" s="12" t="n">
        <f aca="false">IF(H159=1,1,0)</f>
        <v>0</v>
      </c>
      <c r="J159" s="23" t="n">
        <f aca="false">IF(F159=0,9000000000000000,G159+Cadastro!M154/100000)</f>
        <v>9000000000000000</v>
      </c>
    </row>
    <row r="160" customFormat="false" ht="15" hidden="false" customHeight="false" outlineLevel="0" collapsed="false">
      <c r="A160" s="17" t="str">
        <f aca="false">IF(Cadastro!A155="","",Cadastro!A155)</f>
        <v/>
      </c>
      <c r="B160" s="17" t="str">
        <f aca="false">IF(Cadastro!A155="","",Cadastro!B155)</f>
        <v/>
      </c>
      <c r="C160" s="17" t="str">
        <f aca="false">IF(Cadastro!A155="","",Cadastro!D155)</f>
        <v/>
      </c>
      <c r="D160" s="17" t="str">
        <f aca="false">IF(Cadastro!A155="","",Cadastro!F155)</f>
        <v/>
      </c>
      <c r="E160" s="17" t="str">
        <f aca="false">IF(Cadastro!A155="","",Cadastro!I155)</f>
        <v/>
      </c>
      <c r="F160" s="12" t="n">
        <f aca="false">IF(Cadastro!A155="",0,IF(AND(Cadastro!O155="Ativo",Cadastro!I155=$B$5,ISNUMBER(SEARCH($B$4,Cadastro!J155)),OR($B$6&lt;&gt;"S",Cadastro!E155="S"),OR($B$7&lt;&gt;"S",Cadastro!F155="S")),1,0))</f>
        <v>0</v>
      </c>
      <c r="G160" s="22" t="str">
        <f aca="false">IF(F160=0,"",IF(Cadastro!U155=0,0,Cadastro!X155))</f>
        <v/>
      </c>
      <c r="H160" s="12" t="str">
        <f aca="false">IF(F160=0,"",1+COUNTIF($J$10:$J$309,"&lt;"&amp;J160))</f>
        <v/>
      </c>
      <c r="I160" s="12" t="n">
        <f aca="false">IF(H160=1,1,0)</f>
        <v>0</v>
      </c>
      <c r="J160" s="23" t="n">
        <f aca="false">IF(F160=0,9000000000000000,G160+Cadastro!M155/100000)</f>
        <v>9000000000000000</v>
      </c>
    </row>
    <row r="161" customFormat="false" ht="15" hidden="false" customHeight="false" outlineLevel="0" collapsed="false">
      <c r="A161" s="17" t="str">
        <f aca="false">IF(Cadastro!A156="","",Cadastro!A156)</f>
        <v/>
      </c>
      <c r="B161" s="17" t="str">
        <f aca="false">IF(Cadastro!A156="","",Cadastro!B156)</f>
        <v/>
      </c>
      <c r="C161" s="17" t="str">
        <f aca="false">IF(Cadastro!A156="","",Cadastro!D156)</f>
        <v/>
      </c>
      <c r="D161" s="17" t="str">
        <f aca="false">IF(Cadastro!A156="","",Cadastro!F156)</f>
        <v/>
      </c>
      <c r="E161" s="17" t="str">
        <f aca="false">IF(Cadastro!A156="","",Cadastro!I156)</f>
        <v/>
      </c>
      <c r="F161" s="12" t="n">
        <f aca="false">IF(Cadastro!A156="",0,IF(AND(Cadastro!O156="Ativo",Cadastro!I156=$B$5,ISNUMBER(SEARCH($B$4,Cadastro!J156)),OR($B$6&lt;&gt;"S",Cadastro!E156="S"),OR($B$7&lt;&gt;"S",Cadastro!F156="S")),1,0))</f>
        <v>0</v>
      </c>
      <c r="G161" s="22" t="str">
        <f aca="false">IF(F161=0,"",IF(Cadastro!U156=0,0,Cadastro!X156))</f>
        <v/>
      </c>
      <c r="H161" s="12" t="str">
        <f aca="false">IF(F161=0,"",1+COUNTIF($J$10:$J$309,"&lt;"&amp;J161))</f>
        <v/>
      </c>
      <c r="I161" s="12" t="n">
        <f aca="false">IF(H161=1,1,0)</f>
        <v>0</v>
      </c>
      <c r="J161" s="23" t="n">
        <f aca="false">IF(F161=0,9000000000000000,G161+Cadastro!M156/100000)</f>
        <v>9000000000000000</v>
      </c>
    </row>
    <row r="162" customFormat="false" ht="15" hidden="false" customHeight="false" outlineLevel="0" collapsed="false">
      <c r="A162" s="17" t="str">
        <f aca="false">IF(Cadastro!A157="","",Cadastro!A157)</f>
        <v/>
      </c>
      <c r="B162" s="17" t="str">
        <f aca="false">IF(Cadastro!A157="","",Cadastro!B157)</f>
        <v/>
      </c>
      <c r="C162" s="17" t="str">
        <f aca="false">IF(Cadastro!A157="","",Cadastro!D157)</f>
        <v/>
      </c>
      <c r="D162" s="17" t="str">
        <f aca="false">IF(Cadastro!A157="","",Cadastro!F157)</f>
        <v/>
      </c>
      <c r="E162" s="17" t="str">
        <f aca="false">IF(Cadastro!A157="","",Cadastro!I157)</f>
        <v/>
      </c>
      <c r="F162" s="12" t="n">
        <f aca="false">IF(Cadastro!A157="",0,IF(AND(Cadastro!O157="Ativo",Cadastro!I157=$B$5,ISNUMBER(SEARCH($B$4,Cadastro!J157)),OR($B$6&lt;&gt;"S",Cadastro!E157="S"),OR($B$7&lt;&gt;"S",Cadastro!F157="S")),1,0))</f>
        <v>0</v>
      </c>
      <c r="G162" s="22" t="str">
        <f aca="false">IF(F162=0,"",IF(Cadastro!U157=0,0,Cadastro!X157))</f>
        <v/>
      </c>
      <c r="H162" s="12" t="str">
        <f aca="false">IF(F162=0,"",1+COUNTIF($J$10:$J$309,"&lt;"&amp;J162))</f>
        <v/>
      </c>
      <c r="I162" s="12" t="n">
        <f aca="false">IF(H162=1,1,0)</f>
        <v>0</v>
      </c>
      <c r="J162" s="23" t="n">
        <f aca="false">IF(F162=0,9000000000000000,G162+Cadastro!M157/100000)</f>
        <v>9000000000000000</v>
      </c>
    </row>
    <row r="163" customFormat="false" ht="15" hidden="false" customHeight="false" outlineLevel="0" collapsed="false">
      <c r="A163" s="17" t="str">
        <f aca="false">IF(Cadastro!A158="","",Cadastro!A158)</f>
        <v/>
      </c>
      <c r="B163" s="17" t="str">
        <f aca="false">IF(Cadastro!A158="","",Cadastro!B158)</f>
        <v/>
      </c>
      <c r="C163" s="17" t="str">
        <f aca="false">IF(Cadastro!A158="","",Cadastro!D158)</f>
        <v/>
      </c>
      <c r="D163" s="17" t="str">
        <f aca="false">IF(Cadastro!A158="","",Cadastro!F158)</f>
        <v/>
      </c>
      <c r="E163" s="17" t="str">
        <f aca="false">IF(Cadastro!A158="","",Cadastro!I158)</f>
        <v/>
      </c>
      <c r="F163" s="12" t="n">
        <f aca="false">IF(Cadastro!A158="",0,IF(AND(Cadastro!O158="Ativo",Cadastro!I158=$B$5,ISNUMBER(SEARCH($B$4,Cadastro!J158)),OR($B$6&lt;&gt;"S",Cadastro!E158="S"),OR($B$7&lt;&gt;"S",Cadastro!F158="S")),1,0))</f>
        <v>0</v>
      </c>
      <c r="G163" s="22" t="str">
        <f aca="false">IF(F163=0,"",IF(Cadastro!U158=0,0,Cadastro!X158))</f>
        <v/>
      </c>
      <c r="H163" s="12" t="str">
        <f aca="false">IF(F163=0,"",1+COUNTIF($J$10:$J$309,"&lt;"&amp;J163))</f>
        <v/>
      </c>
      <c r="I163" s="12" t="n">
        <f aca="false">IF(H163=1,1,0)</f>
        <v>0</v>
      </c>
      <c r="J163" s="23" t="n">
        <f aca="false">IF(F163=0,9000000000000000,G163+Cadastro!M158/100000)</f>
        <v>9000000000000000</v>
      </c>
    </row>
    <row r="164" customFormat="false" ht="15" hidden="false" customHeight="false" outlineLevel="0" collapsed="false">
      <c r="A164" s="17" t="str">
        <f aca="false">IF(Cadastro!A159="","",Cadastro!A159)</f>
        <v/>
      </c>
      <c r="B164" s="17" t="str">
        <f aca="false">IF(Cadastro!A159="","",Cadastro!B159)</f>
        <v/>
      </c>
      <c r="C164" s="17" t="str">
        <f aca="false">IF(Cadastro!A159="","",Cadastro!D159)</f>
        <v/>
      </c>
      <c r="D164" s="17" t="str">
        <f aca="false">IF(Cadastro!A159="","",Cadastro!F159)</f>
        <v/>
      </c>
      <c r="E164" s="17" t="str">
        <f aca="false">IF(Cadastro!A159="","",Cadastro!I159)</f>
        <v/>
      </c>
      <c r="F164" s="12" t="n">
        <f aca="false">IF(Cadastro!A159="",0,IF(AND(Cadastro!O159="Ativo",Cadastro!I159=$B$5,ISNUMBER(SEARCH($B$4,Cadastro!J159)),OR($B$6&lt;&gt;"S",Cadastro!E159="S"),OR($B$7&lt;&gt;"S",Cadastro!F159="S")),1,0))</f>
        <v>0</v>
      </c>
      <c r="G164" s="22" t="str">
        <f aca="false">IF(F164=0,"",IF(Cadastro!U159=0,0,Cadastro!X159))</f>
        <v/>
      </c>
      <c r="H164" s="12" t="str">
        <f aca="false">IF(F164=0,"",1+COUNTIF($J$10:$J$309,"&lt;"&amp;J164))</f>
        <v/>
      </c>
      <c r="I164" s="12" t="n">
        <f aca="false">IF(H164=1,1,0)</f>
        <v>0</v>
      </c>
      <c r="J164" s="23" t="n">
        <f aca="false">IF(F164=0,9000000000000000,G164+Cadastro!M159/100000)</f>
        <v>9000000000000000</v>
      </c>
    </row>
    <row r="165" customFormat="false" ht="15" hidden="false" customHeight="false" outlineLevel="0" collapsed="false">
      <c r="A165" s="17" t="str">
        <f aca="false">IF(Cadastro!A160="","",Cadastro!A160)</f>
        <v/>
      </c>
      <c r="B165" s="17" t="str">
        <f aca="false">IF(Cadastro!A160="","",Cadastro!B160)</f>
        <v/>
      </c>
      <c r="C165" s="17" t="str">
        <f aca="false">IF(Cadastro!A160="","",Cadastro!D160)</f>
        <v/>
      </c>
      <c r="D165" s="17" t="str">
        <f aca="false">IF(Cadastro!A160="","",Cadastro!F160)</f>
        <v/>
      </c>
      <c r="E165" s="17" t="str">
        <f aca="false">IF(Cadastro!A160="","",Cadastro!I160)</f>
        <v/>
      </c>
      <c r="F165" s="12" t="n">
        <f aca="false">IF(Cadastro!A160="",0,IF(AND(Cadastro!O160="Ativo",Cadastro!I160=$B$5,ISNUMBER(SEARCH($B$4,Cadastro!J160)),OR($B$6&lt;&gt;"S",Cadastro!E160="S"),OR($B$7&lt;&gt;"S",Cadastro!F160="S")),1,0))</f>
        <v>0</v>
      </c>
      <c r="G165" s="22" t="str">
        <f aca="false">IF(F165=0,"",IF(Cadastro!U160=0,0,Cadastro!X160))</f>
        <v/>
      </c>
      <c r="H165" s="12" t="str">
        <f aca="false">IF(F165=0,"",1+COUNTIF($J$10:$J$309,"&lt;"&amp;J165))</f>
        <v/>
      </c>
      <c r="I165" s="12" t="n">
        <f aca="false">IF(H165=1,1,0)</f>
        <v>0</v>
      </c>
      <c r="J165" s="23" t="n">
        <f aca="false">IF(F165=0,9000000000000000,G165+Cadastro!M160/100000)</f>
        <v>9000000000000000</v>
      </c>
    </row>
    <row r="166" customFormat="false" ht="15" hidden="false" customHeight="false" outlineLevel="0" collapsed="false">
      <c r="A166" s="17" t="str">
        <f aca="false">IF(Cadastro!A161="","",Cadastro!A161)</f>
        <v/>
      </c>
      <c r="B166" s="17" t="str">
        <f aca="false">IF(Cadastro!A161="","",Cadastro!B161)</f>
        <v/>
      </c>
      <c r="C166" s="17" t="str">
        <f aca="false">IF(Cadastro!A161="","",Cadastro!D161)</f>
        <v/>
      </c>
      <c r="D166" s="17" t="str">
        <f aca="false">IF(Cadastro!A161="","",Cadastro!F161)</f>
        <v/>
      </c>
      <c r="E166" s="17" t="str">
        <f aca="false">IF(Cadastro!A161="","",Cadastro!I161)</f>
        <v/>
      </c>
      <c r="F166" s="12" t="n">
        <f aca="false">IF(Cadastro!A161="",0,IF(AND(Cadastro!O161="Ativo",Cadastro!I161=$B$5,ISNUMBER(SEARCH($B$4,Cadastro!J161)),OR($B$6&lt;&gt;"S",Cadastro!E161="S"),OR($B$7&lt;&gt;"S",Cadastro!F161="S")),1,0))</f>
        <v>0</v>
      </c>
      <c r="G166" s="22" t="str">
        <f aca="false">IF(F166=0,"",IF(Cadastro!U161=0,0,Cadastro!X161))</f>
        <v/>
      </c>
      <c r="H166" s="12" t="str">
        <f aca="false">IF(F166=0,"",1+COUNTIF($J$10:$J$309,"&lt;"&amp;J166))</f>
        <v/>
      </c>
      <c r="I166" s="12" t="n">
        <f aca="false">IF(H166=1,1,0)</f>
        <v>0</v>
      </c>
      <c r="J166" s="23" t="n">
        <f aca="false">IF(F166=0,9000000000000000,G166+Cadastro!M161/100000)</f>
        <v>9000000000000000</v>
      </c>
    </row>
    <row r="167" customFormat="false" ht="15" hidden="false" customHeight="false" outlineLevel="0" collapsed="false">
      <c r="A167" s="17" t="str">
        <f aca="false">IF(Cadastro!A162="","",Cadastro!A162)</f>
        <v/>
      </c>
      <c r="B167" s="17" t="str">
        <f aca="false">IF(Cadastro!A162="","",Cadastro!B162)</f>
        <v/>
      </c>
      <c r="C167" s="17" t="str">
        <f aca="false">IF(Cadastro!A162="","",Cadastro!D162)</f>
        <v/>
      </c>
      <c r="D167" s="17" t="str">
        <f aca="false">IF(Cadastro!A162="","",Cadastro!F162)</f>
        <v/>
      </c>
      <c r="E167" s="17" t="str">
        <f aca="false">IF(Cadastro!A162="","",Cadastro!I162)</f>
        <v/>
      </c>
      <c r="F167" s="12" t="n">
        <f aca="false">IF(Cadastro!A162="",0,IF(AND(Cadastro!O162="Ativo",Cadastro!I162=$B$5,ISNUMBER(SEARCH($B$4,Cadastro!J162)),OR($B$6&lt;&gt;"S",Cadastro!E162="S"),OR($B$7&lt;&gt;"S",Cadastro!F162="S")),1,0))</f>
        <v>0</v>
      </c>
      <c r="G167" s="22" t="str">
        <f aca="false">IF(F167=0,"",IF(Cadastro!U162=0,0,Cadastro!X162))</f>
        <v/>
      </c>
      <c r="H167" s="12" t="str">
        <f aca="false">IF(F167=0,"",1+COUNTIF($J$10:$J$309,"&lt;"&amp;J167))</f>
        <v/>
      </c>
      <c r="I167" s="12" t="n">
        <f aca="false">IF(H167=1,1,0)</f>
        <v>0</v>
      </c>
      <c r="J167" s="23" t="n">
        <f aca="false">IF(F167=0,9000000000000000,G167+Cadastro!M162/100000)</f>
        <v>9000000000000000</v>
      </c>
    </row>
    <row r="168" customFormat="false" ht="15" hidden="false" customHeight="false" outlineLevel="0" collapsed="false">
      <c r="A168" s="17" t="str">
        <f aca="false">IF(Cadastro!A163="","",Cadastro!A163)</f>
        <v/>
      </c>
      <c r="B168" s="17" t="str">
        <f aca="false">IF(Cadastro!A163="","",Cadastro!B163)</f>
        <v/>
      </c>
      <c r="C168" s="17" t="str">
        <f aca="false">IF(Cadastro!A163="","",Cadastro!D163)</f>
        <v/>
      </c>
      <c r="D168" s="17" t="str">
        <f aca="false">IF(Cadastro!A163="","",Cadastro!F163)</f>
        <v/>
      </c>
      <c r="E168" s="17" t="str">
        <f aca="false">IF(Cadastro!A163="","",Cadastro!I163)</f>
        <v/>
      </c>
      <c r="F168" s="12" t="n">
        <f aca="false">IF(Cadastro!A163="",0,IF(AND(Cadastro!O163="Ativo",Cadastro!I163=$B$5,ISNUMBER(SEARCH($B$4,Cadastro!J163)),OR($B$6&lt;&gt;"S",Cadastro!E163="S"),OR($B$7&lt;&gt;"S",Cadastro!F163="S")),1,0))</f>
        <v>0</v>
      </c>
      <c r="G168" s="22" t="str">
        <f aca="false">IF(F168=0,"",IF(Cadastro!U163=0,0,Cadastro!X163))</f>
        <v/>
      </c>
      <c r="H168" s="12" t="str">
        <f aca="false">IF(F168=0,"",1+COUNTIF($J$10:$J$309,"&lt;"&amp;J168))</f>
        <v/>
      </c>
      <c r="I168" s="12" t="n">
        <f aca="false">IF(H168=1,1,0)</f>
        <v>0</v>
      </c>
      <c r="J168" s="23" t="n">
        <f aca="false">IF(F168=0,9000000000000000,G168+Cadastro!M163/100000)</f>
        <v>9000000000000000</v>
      </c>
    </row>
    <row r="169" customFormat="false" ht="15" hidden="false" customHeight="false" outlineLevel="0" collapsed="false">
      <c r="A169" s="17" t="str">
        <f aca="false">IF(Cadastro!A164="","",Cadastro!A164)</f>
        <v/>
      </c>
      <c r="B169" s="17" t="str">
        <f aca="false">IF(Cadastro!A164="","",Cadastro!B164)</f>
        <v/>
      </c>
      <c r="C169" s="17" t="str">
        <f aca="false">IF(Cadastro!A164="","",Cadastro!D164)</f>
        <v/>
      </c>
      <c r="D169" s="17" t="str">
        <f aca="false">IF(Cadastro!A164="","",Cadastro!F164)</f>
        <v/>
      </c>
      <c r="E169" s="17" t="str">
        <f aca="false">IF(Cadastro!A164="","",Cadastro!I164)</f>
        <v/>
      </c>
      <c r="F169" s="12" t="n">
        <f aca="false">IF(Cadastro!A164="",0,IF(AND(Cadastro!O164="Ativo",Cadastro!I164=$B$5,ISNUMBER(SEARCH($B$4,Cadastro!J164)),OR($B$6&lt;&gt;"S",Cadastro!E164="S"),OR($B$7&lt;&gt;"S",Cadastro!F164="S")),1,0))</f>
        <v>0</v>
      </c>
      <c r="G169" s="22" t="str">
        <f aca="false">IF(F169=0,"",IF(Cadastro!U164=0,0,Cadastro!X164))</f>
        <v/>
      </c>
      <c r="H169" s="12" t="str">
        <f aca="false">IF(F169=0,"",1+COUNTIF($J$10:$J$309,"&lt;"&amp;J169))</f>
        <v/>
      </c>
      <c r="I169" s="12" t="n">
        <f aca="false">IF(H169=1,1,0)</f>
        <v>0</v>
      </c>
      <c r="J169" s="23" t="n">
        <f aca="false">IF(F169=0,9000000000000000,G169+Cadastro!M164/100000)</f>
        <v>9000000000000000</v>
      </c>
    </row>
    <row r="170" customFormat="false" ht="15" hidden="false" customHeight="false" outlineLevel="0" collapsed="false">
      <c r="A170" s="17" t="str">
        <f aca="false">IF(Cadastro!A165="","",Cadastro!A165)</f>
        <v/>
      </c>
      <c r="B170" s="17" t="str">
        <f aca="false">IF(Cadastro!A165="","",Cadastro!B165)</f>
        <v/>
      </c>
      <c r="C170" s="17" t="str">
        <f aca="false">IF(Cadastro!A165="","",Cadastro!D165)</f>
        <v/>
      </c>
      <c r="D170" s="17" t="str">
        <f aca="false">IF(Cadastro!A165="","",Cadastro!F165)</f>
        <v/>
      </c>
      <c r="E170" s="17" t="str">
        <f aca="false">IF(Cadastro!A165="","",Cadastro!I165)</f>
        <v/>
      </c>
      <c r="F170" s="12" t="n">
        <f aca="false">IF(Cadastro!A165="",0,IF(AND(Cadastro!O165="Ativo",Cadastro!I165=$B$5,ISNUMBER(SEARCH($B$4,Cadastro!J165)),OR($B$6&lt;&gt;"S",Cadastro!E165="S"),OR($B$7&lt;&gt;"S",Cadastro!F165="S")),1,0))</f>
        <v>0</v>
      </c>
      <c r="G170" s="22" t="str">
        <f aca="false">IF(F170=0,"",IF(Cadastro!U165=0,0,Cadastro!X165))</f>
        <v/>
      </c>
      <c r="H170" s="12" t="str">
        <f aca="false">IF(F170=0,"",1+COUNTIF($J$10:$J$309,"&lt;"&amp;J170))</f>
        <v/>
      </c>
      <c r="I170" s="12" t="n">
        <f aca="false">IF(H170=1,1,0)</f>
        <v>0</v>
      </c>
      <c r="J170" s="23" t="n">
        <f aca="false">IF(F170=0,9000000000000000,G170+Cadastro!M165/100000)</f>
        <v>9000000000000000</v>
      </c>
    </row>
    <row r="171" customFormat="false" ht="15" hidden="false" customHeight="false" outlineLevel="0" collapsed="false">
      <c r="A171" s="17" t="str">
        <f aca="false">IF(Cadastro!A166="","",Cadastro!A166)</f>
        <v/>
      </c>
      <c r="B171" s="17" t="str">
        <f aca="false">IF(Cadastro!A166="","",Cadastro!B166)</f>
        <v/>
      </c>
      <c r="C171" s="17" t="str">
        <f aca="false">IF(Cadastro!A166="","",Cadastro!D166)</f>
        <v/>
      </c>
      <c r="D171" s="17" t="str">
        <f aca="false">IF(Cadastro!A166="","",Cadastro!F166)</f>
        <v/>
      </c>
      <c r="E171" s="17" t="str">
        <f aca="false">IF(Cadastro!A166="","",Cadastro!I166)</f>
        <v/>
      </c>
      <c r="F171" s="12" t="n">
        <f aca="false">IF(Cadastro!A166="",0,IF(AND(Cadastro!O166="Ativo",Cadastro!I166=$B$5,ISNUMBER(SEARCH($B$4,Cadastro!J166)),OR($B$6&lt;&gt;"S",Cadastro!E166="S"),OR($B$7&lt;&gt;"S",Cadastro!F166="S")),1,0))</f>
        <v>0</v>
      </c>
      <c r="G171" s="22" t="str">
        <f aca="false">IF(F171=0,"",IF(Cadastro!U166=0,0,Cadastro!X166))</f>
        <v/>
      </c>
      <c r="H171" s="12" t="str">
        <f aca="false">IF(F171=0,"",1+COUNTIF($J$10:$J$309,"&lt;"&amp;J171))</f>
        <v/>
      </c>
      <c r="I171" s="12" t="n">
        <f aca="false">IF(H171=1,1,0)</f>
        <v>0</v>
      </c>
      <c r="J171" s="23" t="n">
        <f aca="false">IF(F171=0,9000000000000000,G171+Cadastro!M166/100000)</f>
        <v>9000000000000000</v>
      </c>
    </row>
    <row r="172" customFormat="false" ht="15" hidden="false" customHeight="false" outlineLevel="0" collapsed="false">
      <c r="A172" s="17" t="str">
        <f aca="false">IF(Cadastro!A167="","",Cadastro!A167)</f>
        <v/>
      </c>
      <c r="B172" s="17" t="str">
        <f aca="false">IF(Cadastro!A167="","",Cadastro!B167)</f>
        <v/>
      </c>
      <c r="C172" s="17" t="str">
        <f aca="false">IF(Cadastro!A167="","",Cadastro!D167)</f>
        <v/>
      </c>
      <c r="D172" s="17" t="str">
        <f aca="false">IF(Cadastro!A167="","",Cadastro!F167)</f>
        <v/>
      </c>
      <c r="E172" s="17" t="str">
        <f aca="false">IF(Cadastro!A167="","",Cadastro!I167)</f>
        <v/>
      </c>
      <c r="F172" s="12" t="n">
        <f aca="false">IF(Cadastro!A167="",0,IF(AND(Cadastro!O167="Ativo",Cadastro!I167=$B$5,ISNUMBER(SEARCH($B$4,Cadastro!J167)),OR($B$6&lt;&gt;"S",Cadastro!E167="S"),OR($B$7&lt;&gt;"S",Cadastro!F167="S")),1,0))</f>
        <v>0</v>
      </c>
      <c r="G172" s="22" t="str">
        <f aca="false">IF(F172=0,"",IF(Cadastro!U167=0,0,Cadastro!X167))</f>
        <v/>
      </c>
      <c r="H172" s="12" t="str">
        <f aca="false">IF(F172=0,"",1+COUNTIF($J$10:$J$309,"&lt;"&amp;J172))</f>
        <v/>
      </c>
      <c r="I172" s="12" t="n">
        <f aca="false">IF(H172=1,1,0)</f>
        <v>0</v>
      </c>
      <c r="J172" s="23" t="n">
        <f aca="false">IF(F172=0,9000000000000000,G172+Cadastro!M167/100000)</f>
        <v>9000000000000000</v>
      </c>
    </row>
    <row r="173" customFormat="false" ht="15" hidden="false" customHeight="false" outlineLevel="0" collapsed="false">
      <c r="A173" s="17" t="str">
        <f aca="false">IF(Cadastro!A168="","",Cadastro!A168)</f>
        <v/>
      </c>
      <c r="B173" s="17" t="str">
        <f aca="false">IF(Cadastro!A168="","",Cadastro!B168)</f>
        <v/>
      </c>
      <c r="C173" s="17" t="str">
        <f aca="false">IF(Cadastro!A168="","",Cadastro!D168)</f>
        <v/>
      </c>
      <c r="D173" s="17" t="str">
        <f aca="false">IF(Cadastro!A168="","",Cadastro!F168)</f>
        <v/>
      </c>
      <c r="E173" s="17" t="str">
        <f aca="false">IF(Cadastro!A168="","",Cadastro!I168)</f>
        <v/>
      </c>
      <c r="F173" s="12" t="n">
        <f aca="false">IF(Cadastro!A168="",0,IF(AND(Cadastro!O168="Ativo",Cadastro!I168=$B$5,ISNUMBER(SEARCH($B$4,Cadastro!J168)),OR($B$6&lt;&gt;"S",Cadastro!E168="S"),OR($B$7&lt;&gt;"S",Cadastro!F168="S")),1,0))</f>
        <v>0</v>
      </c>
      <c r="G173" s="22" t="str">
        <f aca="false">IF(F173=0,"",IF(Cadastro!U168=0,0,Cadastro!X168))</f>
        <v/>
      </c>
      <c r="H173" s="12" t="str">
        <f aca="false">IF(F173=0,"",1+COUNTIF($J$10:$J$309,"&lt;"&amp;J173))</f>
        <v/>
      </c>
      <c r="I173" s="12" t="n">
        <f aca="false">IF(H173=1,1,0)</f>
        <v>0</v>
      </c>
      <c r="J173" s="23" t="n">
        <f aca="false">IF(F173=0,9000000000000000,G173+Cadastro!M168/100000)</f>
        <v>9000000000000000</v>
      </c>
    </row>
    <row r="174" customFormat="false" ht="15" hidden="false" customHeight="false" outlineLevel="0" collapsed="false">
      <c r="A174" s="17" t="str">
        <f aca="false">IF(Cadastro!A169="","",Cadastro!A169)</f>
        <v/>
      </c>
      <c r="B174" s="17" t="str">
        <f aca="false">IF(Cadastro!A169="","",Cadastro!B169)</f>
        <v/>
      </c>
      <c r="C174" s="17" t="str">
        <f aca="false">IF(Cadastro!A169="","",Cadastro!D169)</f>
        <v/>
      </c>
      <c r="D174" s="17" t="str">
        <f aca="false">IF(Cadastro!A169="","",Cadastro!F169)</f>
        <v/>
      </c>
      <c r="E174" s="17" t="str">
        <f aca="false">IF(Cadastro!A169="","",Cadastro!I169)</f>
        <v/>
      </c>
      <c r="F174" s="12" t="n">
        <f aca="false">IF(Cadastro!A169="",0,IF(AND(Cadastro!O169="Ativo",Cadastro!I169=$B$5,ISNUMBER(SEARCH($B$4,Cadastro!J169)),OR($B$6&lt;&gt;"S",Cadastro!E169="S"),OR($B$7&lt;&gt;"S",Cadastro!F169="S")),1,0))</f>
        <v>0</v>
      </c>
      <c r="G174" s="22" t="str">
        <f aca="false">IF(F174=0,"",IF(Cadastro!U169=0,0,Cadastro!X169))</f>
        <v/>
      </c>
      <c r="H174" s="12" t="str">
        <f aca="false">IF(F174=0,"",1+COUNTIF($J$10:$J$309,"&lt;"&amp;J174))</f>
        <v/>
      </c>
      <c r="I174" s="12" t="n">
        <f aca="false">IF(H174=1,1,0)</f>
        <v>0</v>
      </c>
      <c r="J174" s="23" t="n">
        <f aca="false">IF(F174=0,9000000000000000,G174+Cadastro!M169/100000)</f>
        <v>9000000000000000</v>
      </c>
    </row>
    <row r="175" customFormat="false" ht="15" hidden="false" customHeight="false" outlineLevel="0" collapsed="false">
      <c r="A175" s="17" t="str">
        <f aca="false">IF(Cadastro!A170="","",Cadastro!A170)</f>
        <v/>
      </c>
      <c r="B175" s="17" t="str">
        <f aca="false">IF(Cadastro!A170="","",Cadastro!B170)</f>
        <v/>
      </c>
      <c r="C175" s="17" t="str">
        <f aca="false">IF(Cadastro!A170="","",Cadastro!D170)</f>
        <v/>
      </c>
      <c r="D175" s="17" t="str">
        <f aca="false">IF(Cadastro!A170="","",Cadastro!F170)</f>
        <v/>
      </c>
      <c r="E175" s="17" t="str">
        <f aca="false">IF(Cadastro!A170="","",Cadastro!I170)</f>
        <v/>
      </c>
      <c r="F175" s="12" t="n">
        <f aca="false">IF(Cadastro!A170="",0,IF(AND(Cadastro!O170="Ativo",Cadastro!I170=$B$5,ISNUMBER(SEARCH($B$4,Cadastro!J170)),OR($B$6&lt;&gt;"S",Cadastro!E170="S"),OR($B$7&lt;&gt;"S",Cadastro!F170="S")),1,0))</f>
        <v>0</v>
      </c>
      <c r="G175" s="22" t="str">
        <f aca="false">IF(F175=0,"",IF(Cadastro!U170=0,0,Cadastro!X170))</f>
        <v/>
      </c>
      <c r="H175" s="12" t="str">
        <f aca="false">IF(F175=0,"",1+COUNTIF($J$10:$J$309,"&lt;"&amp;J175))</f>
        <v/>
      </c>
      <c r="I175" s="12" t="n">
        <f aca="false">IF(H175=1,1,0)</f>
        <v>0</v>
      </c>
      <c r="J175" s="23" t="n">
        <f aca="false">IF(F175=0,9000000000000000,G175+Cadastro!M170/100000)</f>
        <v>9000000000000000</v>
      </c>
    </row>
    <row r="176" customFormat="false" ht="15" hidden="false" customHeight="false" outlineLevel="0" collapsed="false">
      <c r="A176" s="17" t="str">
        <f aca="false">IF(Cadastro!A171="","",Cadastro!A171)</f>
        <v/>
      </c>
      <c r="B176" s="17" t="str">
        <f aca="false">IF(Cadastro!A171="","",Cadastro!B171)</f>
        <v/>
      </c>
      <c r="C176" s="17" t="str">
        <f aca="false">IF(Cadastro!A171="","",Cadastro!D171)</f>
        <v/>
      </c>
      <c r="D176" s="17" t="str">
        <f aca="false">IF(Cadastro!A171="","",Cadastro!F171)</f>
        <v/>
      </c>
      <c r="E176" s="17" t="str">
        <f aca="false">IF(Cadastro!A171="","",Cadastro!I171)</f>
        <v/>
      </c>
      <c r="F176" s="12" t="n">
        <f aca="false">IF(Cadastro!A171="",0,IF(AND(Cadastro!O171="Ativo",Cadastro!I171=$B$5,ISNUMBER(SEARCH($B$4,Cadastro!J171)),OR($B$6&lt;&gt;"S",Cadastro!E171="S"),OR($B$7&lt;&gt;"S",Cadastro!F171="S")),1,0))</f>
        <v>0</v>
      </c>
      <c r="G176" s="22" t="str">
        <f aca="false">IF(F176=0,"",IF(Cadastro!U171=0,0,Cadastro!X171))</f>
        <v/>
      </c>
      <c r="H176" s="12" t="str">
        <f aca="false">IF(F176=0,"",1+COUNTIF($J$10:$J$309,"&lt;"&amp;J176))</f>
        <v/>
      </c>
      <c r="I176" s="12" t="n">
        <f aca="false">IF(H176=1,1,0)</f>
        <v>0</v>
      </c>
      <c r="J176" s="23" t="n">
        <f aca="false">IF(F176=0,9000000000000000,G176+Cadastro!M171/100000)</f>
        <v>9000000000000000</v>
      </c>
    </row>
    <row r="177" customFormat="false" ht="15" hidden="false" customHeight="false" outlineLevel="0" collapsed="false">
      <c r="A177" s="17" t="str">
        <f aca="false">IF(Cadastro!A172="","",Cadastro!A172)</f>
        <v/>
      </c>
      <c r="B177" s="17" t="str">
        <f aca="false">IF(Cadastro!A172="","",Cadastro!B172)</f>
        <v/>
      </c>
      <c r="C177" s="17" t="str">
        <f aca="false">IF(Cadastro!A172="","",Cadastro!D172)</f>
        <v/>
      </c>
      <c r="D177" s="17" t="str">
        <f aca="false">IF(Cadastro!A172="","",Cadastro!F172)</f>
        <v/>
      </c>
      <c r="E177" s="17" t="str">
        <f aca="false">IF(Cadastro!A172="","",Cadastro!I172)</f>
        <v/>
      </c>
      <c r="F177" s="12" t="n">
        <f aca="false">IF(Cadastro!A172="",0,IF(AND(Cadastro!O172="Ativo",Cadastro!I172=$B$5,ISNUMBER(SEARCH($B$4,Cadastro!J172)),OR($B$6&lt;&gt;"S",Cadastro!E172="S"),OR($B$7&lt;&gt;"S",Cadastro!F172="S")),1,0))</f>
        <v>0</v>
      </c>
      <c r="G177" s="22" t="str">
        <f aca="false">IF(F177=0,"",IF(Cadastro!U172=0,0,Cadastro!X172))</f>
        <v/>
      </c>
      <c r="H177" s="12" t="str">
        <f aca="false">IF(F177=0,"",1+COUNTIF($J$10:$J$309,"&lt;"&amp;J177))</f>
        <v/>
      </c>
      <c r="I177" s="12" t="n">
        <f aca="false">IF(H177=1,1,0)</f>
        <v>0</v>
      </c>
      <c r="J177" s="23" t="n">
        <f aca="false">IF(F177=0,9000000000000000,G177+Cadastro!M172/100000)</f>
        <v>9000000000000000</v>
      </c>
    </row>
    <row r="178" customFormat="false" ht="15" hidden="false" customHeight="false" outlineLevel="0" collapsed="false">
      <c r="A178" s="17" t="str">
        <f aca="false">IF(Cadastro!A173="","",Cadastro!A173)</f>
        <v/>
      </c>
      <c r="B178" s="17" t="str">
        <f aca="false">IF(Cadastro!A173="","",Cadastro!B173)</f>
        <v/>
      </c>
      <c r="C178" s="17" t="str">
        <f aca="false">IF(Cadastro!A173="","",Cadastro!D173)</f>
        <v/>
      </c>
      <c r="D178" s="17" t="str">
        <f aca="false">IF(Cadastro!A173="","",Cadastro!F173)</f>
        <v/>
      </c>
      <c r="E178" s="17" t="str">
        <f aca="false">IF(Cadastro!A173="","",Cadastro!I173)</f>
        <v/>
      </c>
      <c r="F178" s="12" t="n">
        <f aca="false">IF(Cadastro!A173="",0,IF(AND(Cadastro!O173="Ativo",Cadastro!I173=$B$5,ISNUMBER(SEARCH($B$4,Cadastro!J173)),OR($B$6&lt;&gt;"S",Cadastro!E173="S"),OR($B$7&lt;&gt;"S",Cadastro!F173="S")),1,0))</f>
        <v>0</v>
      </c>
      <c r="G178" s="22" t="str">
        <f aca="false">IF(F178=0,"",IF(Cadastro!U173=0,0,Cadastro!X173))</f>
        <v/>
      </c>
      <c r="H178" s="12" t="str">
        <f aca="false">IF(F178=0,"",1+COUNTIF($J$10:$J$309,"&lt;"&amp;J178))</f>
        <v/>
      </c>
      <c r="I178" s="12" t="n">
        <f aca="false">IF(H178=1,1,0)</f>
        <v>0</v>
      </c>
      <c r="J178" s="23" t="n">
        <f aca="false">IF(F178=0,9000000000000000,G178+Cadastro!M173/100000)</f>
        <v>9000000000000000</v>
      </c>
    </row>
    <row r="179" customFormat="false" ht="15" hidden="false" customHeight="false" outlineLevel="0" collapsed="false">
      <c r="A179" s="17" t="str">
        <f aca="false">IF(Cadastro!A174="","",Cadastro!A174)</f>
        <v/>
      </c>
      <c r="B179" s="17" t="str">
        <f aca="false">IF(Cadastro!A174="","",Cadastro!B174)</f>
        <v/>
      </c>
      <c r="C179" s="17" t="str">
        <f aca="false">IF(Cadastro!A174="","",Cadastro!D174)</f>
        <v/>
      </c>
      <c r="D179" s="17" t="str">
        <f aca="false">IF(Cadastro!A174="","",Cadastro!F174)</f>
        <v/>
      </c>
      <c r="E179" s="17" t="str">
        <f aca="false">IF(Cadastro!A174="","",Cadastro!I174)</f>
        <v/>
      </c>
      <c r="F179" s="12" t="n">
        <f aca="false">IF(Cadastro!A174="",0,IF(AND(Cadastro!O174="Ativo",Cadastro!I174=$B$5,ISNUMBER(SEARCH($B$4,Cadastro!J174)),OR($B$6&lt;&gt;"S",Cadastro!E174="S"),OR($B$7&lt;&gt;"S",Cadastro!F174="S")),1,0))</f>
        <v>0</v>
      </c>
      <c r="G179" s="22" t="str">
        <f aca="false">IF(F179=0,"",IF(Cadastro!U174=0,0,Cadastro!X174))</f>
        <v/>
      </c>
      <c r="H179" s="12" t="str">
        <f aca="false">IF(F179=0,"",1+COUNTIF($J$10:$J$309,"&lt;"&amp;J179))</f>
        <v/>
      </c>
      <c r="I179" s="12" t="n">
        <f aca="false">IF(H179=1,1,0)</f>
        <v>0</v>
      </c>
      <c r="J179" s="23" t="n">
        <f aca="false">IF(F179=0,9000000000000000,G179+Cadastro!M174/100000)</f>
        <v>9000000000000000</v>
      </c>
    </row>
    <row r="180" customFormat="false" ht="15" hidden="false" customHeight="false" outlineLevel="0" collapsed="false">
      <c r="A180" s="17" t="str">
        <f aca="false">IF(Cadastro!A175="","",Cadastro!A175)</f>
        <v/>
      </c>
      <c r="B180" s="17" t="str">
        <f aca="false">IF(Cadastro!A175="","",Cadastro!B175)</f>
        <v/>
      </c>
      <c r="C180" s="17" t="str">
        <f aca="false">IF(Cadastro!A175="","",Cadastro!D175)</f>
        <v/>
      </c>
      <c r="D180" s="17" t="str">
        <f aca="false">IF(Cadastro!A175="","",Cadastro!F175)</f>
        <v/>
      </c>
      <c r="E180" s="17" t="str">
        <f aca="false">IF(Cadastro!A175="","",Cadastro!I175)</f>
        <v/>
      </c>
      <c r="F180" s="12" t="n">
        <f aca="false">IF(Cadastro!A175="",0,IF(AND(Cadastro!O175="Ativo",Cadastro!I175=$B$5,ISNUMBER(SEARCH($B$4,Cadastro!J175)),OR($B$6&lt;&gt;"S",Cadastro!E175="S"),OR($B$7&lt;&gt;"S",Cadastro!F175="S")),1,0))</f>
        <v>0</v>
      </c>
      <c r="G180" s="22" t="str">
        <f aca="false">IF(F180=0,"",IF(Cadastro!U175=0,0,Cadastro!X175))</f>
        <v/>
      </c>
      <c r="H180" s="12" t="str">
        <f aca="false">IF(F180=0,"",1+COUNTIF($J$10:$J$309,"&lt;"&amp;J180))</f>
        <v/>
      </c>
      <c r="I180" s="12" t="n">
        <f aca="false">IF(H180=1,1,0)</f>
        <v>0</v>
      </c>
      <c r="J180" s="23" t="n">
        <f aca="false">IF(F180=0,9000000000000000,G180+Cadastro!M175/100000)</f>
        <v>9000000000000000</v>
      </c>
    </row>
    <row r="181" customFormat="false" ht="15" hidden="false" customHeight="false" outlineLevel="0" collapsed="false">
      <c r="A181" s="17" t="str">
        <f aca="false">IF(Cadastro!A176="","",Cadastro!A176)</f>
        <v/>
      </c>
      <c r="B181" s="17" t="str">
        <f aca="false">IF(Cadastro!A176="","",Cadastro!B176)</f>
        <v/>
      </c>
      <c r="C181" s="17" t="str">
        <f aca="false">IF(Cadastro!A176="","",Cadastro!D176)</f>
        <v/>
      </c>
      <c r="D181" s="17" t="str">
        <f aca="false">IF(Cadastro!A176="","",Cadastro!F176)</f>
        <v/>
      </c>
      <c r="E181" s="17" t="str">
        <f aca="false">IF(Cadastro!A176="","",Cadastro!I176)</f>
        <v/>
      </c>
      <c r="F181" s="12" t="n">
        <f aca="false">IF(Cadastro!A176="",0,IF(AND(Cadastro!O176="Ativo",Cadastro!I176=$B$5,ISNUMBER(SEARCH($B$4,Cadastro!J176)),OR($B$6&lt;&gt;"S",Cadastro!E176="S"),OR($B$7&lt;&gt;"S",Cadastro!F176="S")),1,0))</f>
        <v>0</v>
      </c>
      <c r="G181" s="22" t="str">
        <f aca="false">IF(F181=0,"",IF(Cadastro!U176=0,0,Cadastro!X176))</f>
        <v/>
      </c>
      <c r="H181" s="12" t="str">
        <f aca="false">IF(F181=0,"",1+COUNTIF($J$10:$J$309,"&lt;"&amp;J181))</f>
        <v/>
      </c>
      <c r="I181" s="12" t="n">
        <f aca="false">IF(H181=1,1,0)</f>
        <v>0</v>
      </c>
      <c r="J181" s="23" t="n">
        <f aca="false">IF(F181=0,9000000000000000,G181+Cadastro!M176/100000)</f>
        <v>9000000000000000</v>
      </c>
    </row>
    <row r="182" customFormat="false" ht="15" hidden="false" customHeight="false" outlineLevel="0" collapsed="false">
      <c r="A182" s="17" t="str">
        <f aca="false">IF(Cadastro!A177="","",Cadastro!A177)</f>
        <v/>
      </c>
      <c r="B182" s="17" t="str">
        <f aca="false">IF(Cadastro!A177="","",Cadastro!B177)</f>
        <v/>
      </c>
      <c r="C182" s="17" t="str">
        <f aca="false">IF(Cadastro!A177="","",Cadastro!D177)</f>
        <v/>
      </c>
      <c r="D182" s="17" t="str">
        <f aca="false">IF(Cadastro!A177="","",Cadastro!F177)</f>
        <v/>
      </c>
      <c r="E182" s="17" t="str">
        <f aca="false">IF(Cadastro!A177="","",Cadastro!I177)</f>
        <v/>
      </c>
      <c r="F182" s="12" t="n">
        <f aca="false">IF(Cadastro!A177="",0,IF(AND(Cadastro!O177="Ativo",Cadastro!I177=$B$5,ISNUMBER(SEARCH($B$4,Cadastro!J177)),OR($B$6&lt;&gt;"S",Cadastro!E177="S"),OR($B$7&lt;&gt;"S",Cadastro!F177="S")),1,0))</f>
        <v>0</v>
      </c>
      <c r="G182" s="22" t="str">
        <f aca="false">IF(F182=0,"",IF(Cadastro!U177=0,0,Cadastro!X177))</f>
        <v/>
      </c>
      <c r="H182" s="12" t="str">
        <f aca="false">IF(F182=0,"",1+COUNTIF($J$10:$J$309,"&lt;"&amp;J182))</f>
        <v/>
      </c>
      <c r="I182" s="12" t="n">
        <f aca="false">IF(H182=1,1,0)</f>
        <v>0</v>
      </c>
      <c r="J182" s="23" t="n">
        <f aca="false">IF(F182=0,9000000000000000,G182+Cadastro!M177/100000)</f>
        <v>9000000000000000</v>
      </c>
    </row>
    <row r="183" customFormat="false" ht="15" hidden="false" customHeight="false" outlineLevel="0" collapsed="false">
      <c r="A183" s="17" t="str">
        <f aca="false">IF(Cadastro!A178="","",Cadastro!A178)</f>
        <v/>
      </c>
      <c r="B183" s="17" t="str">
        <f aca="false">IF(Cadastro!A178="","",Cadastro!B178)</f>
        <v/>
      </c>
      <c r="C183" s="17" t="str">
        <f aca="false">IF(Cadastro!A178="","",Cadastro!D178)</f>
        <v/>
      </c>
      <c r="D183" s="17" t="str">
        <f aca="false">IF(Cadastro!A178="","",Cadastro!F178)</f>
        <v/>
      </c>
      <c r="E183" s="17" t="str">
        <f aca="false">IF(Cadastro!A178="","",Cadastro!I178)</f>
        <v/>
      </c>
      <c r="F183" s="12" t="n">
        <f aca="false">IF(Cadastro!A178="",0,IF(AND(Cadastro!O178="Ativo",Cadastro!I178=$B$5,ISNUMBER(SEARCH($B$4,Cadastro!J178)),OR($B$6&lt;&gt;"S",Cadastro!E178="S"),OR($B$7&lt;&gt;"S",Cadastro!F178="S")),1,0))</f>
        <v>0</v>
      </c>
      <c r="G183" s="22" t="str">
        <f aca="false">IF(F183=0,"",IF(Cadastro!U178=0,0,Cadastro!X178))</f>
        <v/>
      </c>
      <c r="H183" s="12" t="str">
        <f aca="false">IF(F183=0,"",1+COUNTIF($J$10:$J$309,"&lt;"&amp;J183))</f>
        <v/>
      </c>
      <c r="I183" s="12" t="n">
        <f aca="false">IF(H183=1,1,0)</f>
        <v>0</v>
      </c>
      <c r="J183" s="23" t="n">
        <f aca="false">IF(F183=0,9000000000000000,G183+Cadastro!M178/100000)</f>
        <v>9000000000000000</v>
      </c>
    </row>
    <row r="184" customFormat="false" ht="15" hidden="false" customHeight="false" outlineLevel="0" collapsed="false">
      <c r="A184" s="17" t="str">
        <f aca="false">IF(Cadastro!A179="","",Cadastro!A179)</f>
        <v/>
      </c>
      <c r="B184" s="17" t="str">
        <f aca="false">IF(Cadastro!A179="","",Cadastro!B179)</f>
        <v/>
      </c>
      <c r="C184" s="17" t="str">
        <f aca="false">IF(Cadastro!A179="","",Cadastro!D179)</f>
        <v/>
      </c>
      <c r="D184" s="17" t="str">
        <f aca="false">IF(Cadastro!A179="","",Cadastro!F179)</f>
        <v/>
      </c>
      <c r="E184" s="17" t="str">
        <f aca="false">IF(Cadastro!A179="","",Cadastro!I179)</f>
        <v/>
      </c>
      <c r="F184" s="12" t="n">
        <f aca="false">IF(Cadastro!A179="",0,IF(AND(Cadastro!O179="Ativo",Cadastro!I179=$B$5,ISNUMBER(SEARCH($B$4,Cadastro!J179)),OR($B$6&lt;&gt;"S",Cadastro!E179="S"),OR($B$7&lt;&gt;"S",Cadastro!F179="S")),1,0))</f>
        <v>0</v>
      </c>
      <c r="G184" s="22" t="str">
        <f aca="false">IF(F184=0,"",IF(Cadastro!U179=0,0,Cadastro!X179))</f>
        <v/>
      </c>
      <c r="H184" s="12" t="str">
        <f aca="false">IF(F184=0,"",1+COUNTIF($J$10:$J$309,"&lt;"&amp;J184))</f>
        <v/>
      </c>
      <c r="I184" s="12" t="n">
        <f aca="false">IF(H184=1,1,0)</f>
        <v>0</v>
      </c>
      <c r="J184" s="23" t="n">
        <f aca="false">IF(F184=0,9000000000000000,G184+Cadastro!M179/100000)</f>
        <v>9000000000000000</v>
      </c>
    </row>
    <row r="185" customFormat="false" ht="15" hidden="false" customHeight="false" outlineLevel="0" collapsed="false">
      <c r="A185" s="17" t="str">
        <f aca="false">IF(Cadastro!A180="","",Cadastro!A180)</f>
        <v/>
      </c>
      <c r="B185" s="17" t="str">
        <f aca="false">IF(Cadastro!A180="","",Cadastro!B180)</f>
        <v/>
      </c>
      <c r="C185" s="17" t="str">
        <f aca="false">IF(Cadastro!A180="","",Cadastro!D180)</f>
        <v/>
      </c>
      <c r="D185" s="17" t="str">
        <f aca="false">IF(Cadastro!A180="","",Cadastro!F180)</f>
        <v/>
      </c>
      <c r="E185" s="17" t="str">
        <f aca="false">IF(Cadastro!A180="","",Cadastro!I180)</f>
        <v/>
      </c>
      <c r="F185" s="12" t="n">
        <f aca="false">IF(Cadastro!A180="",0,IF(AND(Cadastro!O180="Ativo",Cadastro!I180=$B$5,ISNUMBER(SEARCH($B$4,Cadastro!J180)),OR($B$6&lt;&gt;"S",Cadastro!E180="S"),OR($B$7&lt;&gt;"S",Cadastro!F180="S")),1,0))</f>
        <v>0</v>
      </c>
      <c r="G185" s="22" t="str">
        <f aca="false">IF(F185=0,"",IF(Cadastro!U180=0,0,Cadastro!X180))</f>
        <v/>
      </c>
      <c r="H185" s="12" t="str">
        <f aca="false">IF(F185=0,"",1+COUNTIF($J$10:$J$309,"&lt;"&amp;J185))</f>
        <v/>
      </c>
      <c r="I185" s="12" t="n">
        <f aca="false">IF(H185=1,1,0)</f>
        <v>0</v>
      </c>
      <c r="J185" s="23" t="n">
        <f aca="false">IF(F185=0,9000000000000000,G185+Cadastro!M180/100000)</f>
        <v>9000000000000000</v>
      </c>
    </row>
    <row r="186" customFormat="false" ht="15" hidden="false" customHeight="false" outlineLevel="0" collapsed="false">
      <c r="A186" s="17" t="str">
        <f aca="false">IF(Cadastro!A181="","",Cadastro!A181)</f>
        <v/>
      </c>
      <c r="B186" s="17" t="str">
        <f aca="false">IF(Cadastro!A181="","",Cadastro!B181)</f>
        <v/>
      </c>
      <c r="C186" s="17" t="str">
        <f aca="false">IF(Cadastro!A181="","",Cadastro!D181)</f>
        <v/>
      </c>
      <c r="D186" s="17" t="str">
        <f aca="false">IF(Cadastro!A181="","",Cadastro!F181)</f>
        <v/>
      </c>
      <c r="E186" s="17" t="str">
        <f aca="false">IF(Cadastro!A181="","",Cadastro!I181)</f>
        <v/>
      </c>
      <c r="F186" s="12" t="n">
        <f aca="false">IF(Cadastro!A181="",0,IF(AND(Cadastro!O181="Ativo",Cadastro!I181=$B$5,ISNUMBER(SEARCH($B$4,Cadastro!J181)),OR($B$6&lt;&gt;"S",Cadastro!E181="S"),OR($B$7&lt;&gt;"S",Cadastro!F181="S")),1,0))</f>
        <v>0</v>
      </c>
      <c r="G186" s="22" t="str">
        <f aca="false">IF(F186=0,"",IF(Cadastro!U181=0,0,Cadastro!X181))</f>
        <v/>
      </c>
      <c r="H186" s="12" t="str">
        <f aca="false">IF(F186=0,"",1+COUNTIF($J$10:$J$309,"&lt;"&amp;J186))</f>
        <v/>
      </c>
      <c r="I186" s="12" t="n">
        <f aca="false">IF(H186=1,1,0)</f>
        <v>0</v>
      </c>
      <c r="J186" s="23" t="n">
        <f aca="false">IF(F186=0,9000000000000000,G186+Cadastro!M181/100000)</f>
        <v>9000000000000000</v>
      </c>
    </row>
    <row r="187" customFormat="false" ht="15" hidden="false" customHeight="false" outlineLevel="0" collapsed="false">
      <c r="A187" s="17" t="str">
        <f aca="false">IF(Cadastro!A182="","",Cadastro!A182)</f>
        <v/>
      </c>
      <c r="B187" s="17" t="str">
        <f aca="false">IF(Cadastro!A182="","",Cadastro!B182)</f>
        <v/>
      </c>
      <c r="C187" s="17" t="str">
        <f aca="false">IF(Cadastro!A182="","",Cadastro!D182)</f>
        <v/>
      </c>
      <c r="D187" s="17" t="str">
        <f aca="false">IF(Cadastro!A182="","",Cadastro!F182)</f>
        <v/>
      </c>
      <c r="E187" s="17" t="str">
        <f aca="false">IF(Cadastro!A182="","",Cadastro!I182)</f>
        <v/>
      </c>
      <c r="F187" s="12" t="n">
        <f aca="false">IF(Cadastro!A182="",0,IF(AND(Cadastro!O182="Ativo",Cadastro!I182=$B$5,ISNUMBER(SEARCH($B$4,Cadastro!J182)),OR($B$6&lt;&gt;"S",Cadastro!E182="S"),OR($B$7&lt;&gt;"S",Cadastro!F182="S")),1,0))</f>
        <v>0</v>
      </c>
      <c r="G187" s="22" t="str">
        <f aca="false">IF(F187=0,"",IF(Cadastro!U182=0,0,Cadastro!X182))</f>
        <v/>
      </c>
      <c r="H187" s="12" t="str">
        <f aca="false">IF(F187=0,"",1+COUNTIF($J$10:$J$309,"&lt;"&amp;J187))</f>
        <v/>
      </c>
      <c r="I187" s="12" t="n">
        <f aca="false">IF(H187=1,1,0)</f>
        <v>0</v>
      </c>
      <c r="J187" s="23" t="n">
        <f aca="false">IF(F187=0,9000000000000000,G187+Cadastro!M182/100000)</f>
        <v>9000000000000000</v>
      </c>
    </row>
    <row r="188" customFormat="false" ht="15" hidden="false" customHeight="false" outlineLevel="0" collapsed="false">
      <c r="A188" s="17" t="str">
        <f aca="false">IF(Cadastro!A183="","",Cadastro!A183)</f>
        <v/>
      </c>
      <c r="B188" s="17" t="str">
        <f aca="false">IF(Cadastro!A183="","",Cadastro!B183)</f>
        <v/>
      </c>
      <c r="C188" s="17" t="str">
        <f aca="false">IF(Cadastro!A183="","",Cadastro!D183)</f>
        <v/>
      </c>
      <c r="D188" s="17" t="str">
        <f aca="false">IF(Cadastro!A183="","",Cadastro!F183)</f>
        <v/>
      </c>
      <c r="E188" s="17" t="str">
        <f aca="false">IF(Cadastro!A183="","",Cadastro!I183)</f>
        <v/>
      </c>
      <c r="F188" s="12" t="n">
        <f aca="false">IF(Cadastro!A183="",0,IF(AND(Cadastro!O183="Ativo",Cadastro!I183=$B$5,ISNUMBER(SEARCH($B$4,Cadastro!J183)),OR($B$6&lt;&gt;"S",Cadastro!E183="S"),OR($B$7&lt;&gt;"S",Cadastro!F183="S")),1,0))</f>
        <v>0</v>
      </c>
      <c r="G188" s="22" t="str">
        <f aca="false">IF(F188=0,"",IF(Cadastro!U183=0,0,Cadastro!X183))</f>
        <v/>
      </c>
      <c r="H188" s="12" t="str">
        <f aca="false">IF(F188=0,"",1+COUNTIF($J$10:$J$309,"&lt;"&amp;J188))</f>
        <v/>
      </c>
      <c r="I188" s="12" t="n">
        <f aca="false">IF(H188=1,1,0)</f>
        <v>0</v>
      </c>
      <c r="J188" s="23" t="n">
        <f aca="false">IF(F188=0,9000000000000000,G188+Cadastro!M183/100000)</f>
        <v>9000000000000000</v>
      </c>
    </row>
    <row r="189" customFormat="false" ht="15" hidden="false" customHeight="false" outlineLevel="0" collapsed="false">
      <c r="A189" s="17" t="str">
        <f aca="false">IF(Cadastro!A184="","",Cadastro!A184)</f>
        <v/>
      </c>
      <c r="B189" s="17" t="str">
        <f aca="false">IF(Cadastro!A184="","",Cadastro!B184)</f>
        <v/>
      </c>
      <c r="C189" s="17" t="str">
        <f aca="false">IF(Cadastro!A184="","",Cadastro!D184)</f>
        <v/>
      </c>
      <c r="D189" s="17" t="str">
        <f aca="false">IF(Cadastro!A184="","",Cadastro!F184)</f>
        <v/>
      </c>
      <c r="E189" s="17" t="str">
        <f aca="false">IF(Cadastro!A184="","",Cadastro!I184)</f>
        <v/>
      </c>
      <c r="F189" s="12" t="n">
        <f aca="false">IF(Cadastro!A184="",0,IF(AND(Cadastro!O184="Ativo",Cadastro!I184=$B$5,ISNUMBER(SEARCH($B$4,Cadastro!J184)),OR($B$6&lt;&gt;"S",Cadastro!E184="S"),OR($B$7&lt;&gt;"S",Cadastro!F184="S")),1,0))</f>
        <v>0</v>
      </c>
      <c r="G189" s="22" t="str">
        <f aca="false">IF(F189=0,"",IF(Cadastro!U184=0,0,Cadastro!X184))</f>
        <v/>
      </c>
      <c r="H189" s="12" t="str">
        <f aca="false">IF(F189=0,"",1+COUNTIF($J$10:$J$309,"&lt;"&amp;J189))</f>
        <v/>
      </c>
      <c r="I189" s="12" t="n">
        <f aca="false">IF(H189=1,1,0)</f>
        <v>0</v>
      </c>
      <c r="J189" s="23" t="n">
        <f aca="false">IF(F189=0,9000000000000000,G189+Cadastro!M184/100000)</f>
        <v>9000000000000000</v>
      </c>
    </row>
    <row r="190" customFormat="false" ht="15" hidden="false" customHeight="false" outlineLevel="0" collapsed="false">
      <c r="A190" s="17" t="str">
        <f aca="false">IF(Cadastro!A185="","",Cadastro!A185)</f>
        <v/>
      </c>
      <c r="B190" s="17" t="str">
        <f aca="false">IF(Cadastro!A185="","",Cadastro!B185)</f>
        <v/>
      </c>
      <c r="C190" s="17" t="str">
        <f aca="false">IF(Cadastro!A185="","",Cadastro!D185)</f>
        <v/>
      </c>
      <c r="D190" s="17" t="str">
        <f aca="false">IF(Cadastro!A185="","",Cadastro!F185)</f>
        <v/>
      </c>
      <c r="E190" s="17" t="str">
        <f aca="false">IF(Cadastro!A185="","",Cadastro!I185)</f>
        <v/>
      </c>
      <c r="F190" s="12" t="n">
        <f aca="false">IF(Cadastro!A185="",0,IF(AND(Cadastro!O185="Ativo",Cadastro!I185=$B$5,ISNUMBER(SEARCH($B$4,Cadastro!J185)),OR($B$6&lt;&gt;"S",Cadastro!E185="S"),OR($B$7&lt;&gt;"S",Cadastro!F185="S")),1,0))</f>
        <v>0</v>
      </c>
      <c r="G190" s="22" t="str">
        <f aca="false">IF(F190=0,"",IF(Cadastro!U185=0,0,Cadastro!X185))</f>
        <v/>
      </c>
      <c r="H190" s="12" t="str">
        <f aca="false">IF(F190=0,"",1+COUNTIF($J$10:$J$309,"&lt;"&amp;J190))</f>
        <v/>
      </c>
      <c r="I190" s="12" t="n">
        <f aca="false">IF(H190=1,1,0)</f>
        <v>0</v>
      </c>
      <c r="J190" s="23" t="n">
        <f aca="false">IF(F190=0,9000000000000000,G190+Cadastro!M185/100000)</f>
        <v>9000000000000000</v>
      </c>
    </row>
    <row r="191" customFormat="false" ht="15" hidden="false" customHeight="false" outlineLevel="0" collapsed="false">
      <c r="A191" s="17" t="str">
        <f aca="false">IF(Cadastro!A186="","",Cadastro!A186)</f>
        <v/>
      </c>
      <c r="B191" s="17" t="str">
        <f aca="false">IF(Cadastro!A186="","",Cadastro!B186)</f>
        <v/>
      </c>
      <c r="C191" s="17" t="str">
        <f aca="false">IF(Cadastro!A186="","",Cadastro!D186)</f>
        <v/>
      </c>
      <c r="D191" s="17" t="str">
        <f aca="false">IF(Cadastro!A186="","",Cadastro!F186)</f>
        <v/>
      </c>
      <c r="E191" s="17" t="str">
        <f aca="false">IF(Cadastro!A186="","",Cadastro!I186)</f>
        <v/>
      </c>
      <c r="F191" s="12" t="n">
        <f aca="false">IF(Cadastro!A186="",0,IF(AND(Cadastro!O186="Ativo",Cadastro!I186=$B$5,ISNUMBER(SEARCH($B$4,Cadastro!J186)),OR($B$6&lt;&gt;"S",Cadastro!E186="S"),OR($B$7&lt;&gt;"S",Cadastro!F186="S")),1,0))</f>
        <v>0</v>
      </c>
      <c r="G191" s="22" t="str">
        <f aca="false">IF(F191=0,"",IF(Cadastro!U186=0,0,Cadastro!X186))</f>
        <v/>
      </c>
      <c r="H191" s="12" t="str">
        <f aca="false">IF(F191=0,"",1+COUNTIF($J$10:$J$309,"&lt;"&amp;J191))</f>
        <v/>
      </c>
      <c r="I191" s="12" t="n">
        <f aca="false">IF(H191=1,1,0)</f>
        <v>0</v>
      </c>
      <c r="J191" s="23" t="n">
        <f aca="false">IF(F191=0,9000000000000000,G191+Cadastro!M186/100000)</f>
        <v>9000000000000000</v>
      </c>
    </row>
    <row r="192" customFormat="false" ht="15" hidden="false" customHeight="false" outlineLevel="0" collapsed="false">
      <c r="A192" s="17" t="str">
        <f aca="false">IF(Cadastro!A187="","",Cadastro!A187)</f>
        <v/>
      </c>
      <c r="B192" s="17" t="str">
        <f aca="false">IF(Cadastro!A187="","",Cadastro!B187)</f>
        <v/>
      </c>
      <c r="C192" s="17" t="str">
        <f aca="false">IF(Cadastro!A187="","",Cadastro!D187)</f>
        <v/>
      </c>
      <c r="D192" s="17" t="str">
        <f aca="false">IF(Cadastro!A187="","",Cadastro!F187)</f>
        <v/>
      </c>
      <c r="E192" s="17" t="str">
        <f aca="false">IF(Cadastro!A187="","",Cadastro!I187)</f>
        <v/>
      </c>
      <c r="F192" s="12" t="n">
        <f aca="false">IF(Cadastro!A187="",0,IF(AND(Cadastro!O187="Ativo",Cadastro!I187=$B$5,ISNUMBER(SEARCH($B$4,Cadastro!J187)),OR($B$6&lt;&gt;"S",Cadastro!E187="S"),OR($B$7&lt;&gt;"S",Cadastro!F187="S")),1,0))</f>
        <v>0</v>
      </c>
      <c r="G192" s="22" t="str">
        <f aca="false">IF(F192=0,"",IF(Cadastro!U187=0,0,Cadastro!X187))</f>
        <v/>
      </c>
      <c r="H192" s="12" t="str">
        <f aca="false">IF(F192=0,"",1+COUNTIF($J$10:$J$309,"&lt;"&amp;J192))</f>
        <v/>
      </c>
      <c r="I192" s="12" t="n">
        <f aca="false">IF(H192=1,1,0)</f>
        <v>0</v>
      </c>
      <c r="J192" s="23" t="n">
        <f aca="false">IF(F192=0,9000000000000000,G192+Cadastro!M187/100000)</f>
        <v>9000000000000000</v>
      </c>
    </row>
    <row r="193" customFormat="false" ht="15" hidden="false" customHeight="false" outlineLevel="0" collapsed="false">
      <c r="A193" s="17" t="str">
        <f aca="false">IF(Cadastro!A188="","",Cadastro!A188)</f>
        <v/>
      </c>
      <c r="B193" s="17" t="str">
        <f aca="false">IF(Cadastro!A188="","",Cadastro!B188)</f>
        <v/>
      </c>
      <c r="C193" s="17" t="str">
        <f aca="false">IF(Cadastro!A188="","",Cadastro!D188)</f>
        <v/>
      </c>
      <c r="D193" s="17" t="str">
        <f aca="false">IF(Cadastro!A188="","",Cadastro!F188)</f>
        <v/>
      </c>
      <c r="E193" s="17" t="str">
        <f aca="false">IF(Cadastro!A188="","",Cadastro!I188)</f>
        <v/>
      </c>
      <c r="F193" s="12" t="n">
        <f aca="false">IF(Cadastro!A188="",0,IF(AND(Cadastro!O188="Ativo",Cadastro!I188=$B$5,ISNUMBER(SEARCH($B$4,Cadastro!J188)),OR($B$6&lt;&gt;"S",Cadastro!E188="S"),OR($B$7&lt;&gt;"S",Cadastro!F188="S")),1,0))</f>
        <v>0</v>
      </c>
      <c r="G193" s="22" t="str">
        <f aca="false">IF(F193=0,"",IF(Cadastro!U188=0,0,Cadastro!X188))</f>
        <v/>
      </c>
      <c r="H193" s="12" t="str">
        <f aca="false">IF(F193=0,"",1+COUNTIF($J$10:$J$309,"&lt;"&amp;J193))</f>
        <v/>
      </c>
      <c r="I193" s="12" t="n">
        <f aca="false">IF(H193=1,1,0)</f>
        <v>0</v>
      </c>
      <c r="J193" s="23" t="n">
        <f aca="false">IF(F193=0,9000000000000000,G193+Cadastro!M188/100000)</f>
        <v>9000000000000000</v>
      </c>
    </row>
    <row r="194" customFormat="false" ht="15" hidden="false" customHeight="false" outlineLevel="0" collapsed="false">
      <c r="A194" s="17" t="str">
        <f aca="false">IF(Cadastro!A189="","",Cadastro!A189)</f>
        <v/>
      </c>
      <c r="B194" s="17" t="str">
        <f aca="false">IF(Cadastro!A189="","",Cadastro!B189)</f>
        <v/>
      </c>
      <c r="C194" s="17" t="str">
        <f aca="false">IF(Cadastro!A189="","",Cadastro!D189)</f>
        <v/>
      </c>
      <c r="D194" s="17" t="str">
        <f aca="false">IF(Cadastro!A189="","",Cadastro!F189)</f>
        <v/>
      </c>
      <c r="E194" s="17" t="str">
        <f aca="false">IF(Cadastro!A189="","",Cadastro!I189)</f>
        <v/>
      </c>
      <c r="F194" s="12" t="n">
        <f aca="false">IF(Cadastro!A189="",0,IF(AND(Cadastro!O189="Ativo",Cadastro!I189=$B$5,ISNUMBER(SEARCH($B$4,Cadastro!J189)),OR($B$6&lt;&gt;"S",Cadastro!E189="S"),OR($B$7&lt;&gt;"S",Cadastro!F189="S")),1,0))</f>
        <v>0</v>
      </c>
      <c r="G194" s="22" t="str">
        <f aca="false">IF(F194=0,"",IF(Cadastro!U189=0,0,Cadastro!X189))</f>
        <v/>
      </c>
      <c r="H194" s="12" t="str">
        <f aca="false">IF(F194=0,"",1+COUNTIF($J$10:$J$309,"&lt;"&amp;J194))</f>
        <v/>
      </c>
      <c r="I194" s="12" t="n">
        <f aca="false">IF(H194=1,1,0)</f>
        <v>0</v>
      </c>
      <c r="J194" s="23" t="n">
        <f aca="false">IF(F194=0,9000000000000000,G194+Cadastro!M189/100000)</f>
        <v>9000000000000000</v>
      </c>
    </row>
    <row r="195" customFormat="false" ht="15" hidden="false" customHeight="false" outlineLevel="0" collapsed="false">
      <c r="A195" s="17" t="str">
        <f aca="false">IF(Cadastro!A190="","",Cadastro!A190)</f>
        <v/>
      </c>
      <c r="B195" s="17" t="str">
        <f aca="false">IF(Cadastro!A190="","",Cadastro!B190)</f>
        <v/>
      </c>
      <c r="C195" s="17" t="str">
        <f aca="false">IF(Cadastro!A190="","",Cadastro!D190)</f>
        <v/>
      </c>
      <c r="D195" s="17" t="str">
        <f aca="false">IF(Cadastro!A190="","",Cadastro!F190)</f>
        <v/>
      </c>
      <c r="E195" s="17" t="str">
        <f aca="false">IF(Cadastro!A190="","",Cadastro!I190)</f>
        <v/>
      </c>
      <c r="F195" s="12" t="n">
        <f aca="false">IF(Cadastro!A190="",0,IF(AND(Cadastro!O190="Ativo",Cadastro!I190=$B$5,ISNUMBER(SEARCH($B$4,Cadastro!J190)),OR($B$6&lt;&gt;"S",Cadastro!E190="S"),OR($B$7&lt;&gt;"S",Cadastro!F190="S")),1,0))</f>
        <v>0</v>
      </c>
      <c r="G195" s="22" t="str">
        <f aca="false">IF(F195=0,"",IF(Cadastro!U190=0,0,Cadastro!X190))</f>
        <v/>
      </c>
      <c r="H195" s="12" t="str">
        <f aca="false">IF(F195=0,"",1+COUNTIF($J$10:$J$309,"&lt;"&amp;J195))</f>
        <v/>
      </c>
      <c r="I195" s="12" t="n">
        <f aca="false">IF(H195=1,1,0)</f>
        <v>0</v>
      </c>
      <c r="J195" s="23" t="n">
        <f aca="false">IF(F195=0,9000000000000000,G195+Cadastro!M190/100000)</f>
        <v>9000000000000000</v>
      </c>
    </row>
    <row r="196" customFormat="false" ht="15" hidden="false" customHeight="false" outlineLevel="0" collapsed="false">
      <c r="A196" s="17" t="str">
        <f aca="false">IF(Cadastro!A191="","",Cadastro!A191)</f>
        <v/>
      </c>
      <c r="B196" s="17" t="str">
        <f aca="false">IF(Cadastro!A191="","",Cadastro!B191)</f>
        <v/>
      </c>
      <c r="C196" s="17" t="str">
        <f aca="false">IF(Cadastro!A191="","",Cadastro!D191)</f>
        <v/>
      </c>
      <c r="D196" s="17" t="str">
        <f aca="false">IF(Cadastro!A191="","",Cadastro!F191)</f>
        <v/>
      </c>
      <c r="E196" s="17" t="str">
        <f aca="false">IF(Cadastro!A191="","",Cadastro!I191)</f>
        <v/>
      </c>
      <c r="F196" s="12" t="n">
        <f aca="false">IF(Cadastro!A191="",0,IF(AND(Cadastro!O191="Ativo",Cadastro!I191=$B$5,ISNUMBER(SEARCH($B$4,Cadastro!J191)),OR($B$6&lt;&gt;"S",Cadastro!E191="S"),OR($B$7&lt;&gt;"S",Cadastro!F191="S")),1,0))</f>
        <v>0</v>
      </c>
      <c r="G196" s="22" t="str">
        <f aca="false">IF(F196=0,"",IF(Cadastro!U191=0,0,Cadastro!X191))</f>
        <v/>
      </c>
      <c r="H196" s="12" t="str">
        <f aca="false">IF(F196=0,"",1+COUNTIF($J$10:$J$309,"&lt;"&amp;J196))</f>
        <v/>
      </c>
      <c r="I196" s="12" t="n">
        <f aca="false">IF(H196=1,1,0)</f>
        <v>0</v>
      </c>
      <c r="J196" s="23" t="n">
        <f aca="false">IF(F196=0,9000000000000000,G196+Cadastro!M191/100000)</f>
        <v>9000000000000000</v>
      </c>
    </row>
    <row r="197" customFormat="false" ht="15" hidden="false" customHeight="false" outlineLevel="0" collapsed="false">
      <c r="A197" s="17" t="str">
        <f aca="false">IF(Cadastro!A192="","",Cadastro!A192)</f>
        <v/>
      </c>
      <c r="B197" s="17" t="str">
        <f aca="false">IF(Cadastro!A192="","",Cadastro!B192)</f>
        <v/>
      </c>
      <c r="C197" s="17" t="str">
        <f aca="false">IF(Cadastro!A192="","",Cadastro!D192)</f>
        <v/>
      </c>
      <c r="D197" s="17" t="str">
        <f aca="false">IF(Cadastro!A192="","",Cadastro!F192)</f>
        <v/>
      </c>
      <c r="E197" s="17" t="str">
        <f aca="false">IF(Cadastro!A192="","",Cadastro!I192)</f>
        <v/>
      </c>
      <c r="F197" s="12" t="n">
        <f aca="false">IF(Cadastro!A192="",0,IF(AND(Cadastro!O192="Ativo",Cadastro!I192=$B$5,ISNUMBER(SEARCH($B$4,Cadastro!J192)),OR($B$6&lt;&gt;"S",Cadastro!E192="S"),OR($B$7&lt;&gt;"S",Cadastro!F192="S")),1,0))</f>
        <v>0</v>
      </c>
      <c r="G197" s="22" t="str">
        <f aca="false">IF(F197=0,"",IF(Cadastro!U192=0,0,Cadastro!X192))</f>
        <v/>
      </c>
      <c r="H197" s="12" t="str">
        <f aca="false">IF(F197=0,"",1+COUNTIF($J$10:$J$309,"&lt;"&amp;J197))</f>
        <v/>
      </c>
      <c r="I197" s="12" t="n">
        <f aca="false">IF(H197=1,1,0)</f>
        <v>0</v>
      </c>
      <c r="J197" s="23" t="n">
        <f aca="false">IF(F197=0,9000000000000000,G197+Cadastro!M192/100000)</f>
        <v>9000000000000000</v>
      </c>
    </row>
    <row r="198" customFormat="false" ht="15" hidden="false" customHeight="false" outlineLevel="0" collapsed="false">
      <c r="A198" s="17" t="str">
        <f aca="false">IF(Cadastro!A193="","",Cadastro!A193)</f>
        <v/>
      </c>
      <c r="B198" s="17" t="str">
        <f aca="false">IF(Cadastro!A193="","",Cadastro!B193)</f>
        <v/>
      </c>
      <c r="C198" s="17" t="str">
        <f aca="false">IF(Cadastro!A193="","",Cadastro!D193)</f>
        <v/>
      </c>
      <c r="D198" s="17" t="str">
        <f aca="false">IF(Cadastro!A193="","",Cadastro!F193)</f>
        <v/>
      </c>
      <c r="E198" s="17" t="str">
        <f aca="false">IF(Cadastro!A193="","",Cadastro!I193)</f>
        <v/>
      </c>
      <c r="F198" s="12" t="n">
        <f aca="false">IF(Cadastro!A193="",0,IF(AND(Cadastro!O193="Ativo",Cadastro!I193=$B$5,ISNUMBER(SEARCH($B$4,Cadastro!J193)),OR($B$6&lt;&gt;"S",Cadastro!E193="S"),OR($B$7&lt;&gt;"S",Cadastro!F193="S")),1,0))</f>
        <v>0</v>
      </c>
      <c r="G198" s="22" t="str">
        <f aca="false">IF(F198=0,"",IF(Cadastro!U193=0,0,Cadastro!X193))</f>
        <v/>
      </c>
      <c r="H198" s="12" t="str">
        <f aca="false">IF(F198=0,"",1+COUNTIF($J$10:$J$309,"&lt;"&amp;J198))</f>
        <v/>
      </c>
      <c r="I198" s="12" t="n">
        <f aca="false">IF(H198=1,1,0)</f>
        <v>0</v>
      </c>
      <c r="J198" s="23" t="n">
        <f aca="false">IF(F198=0,9000000000000000,G198+Cadastro!M193/100000)</f>
        <v>9000000000000000</v>
      </c>
    </row>
    <row r="199" customFormat="false" ht="15" hidden="false" customHeight="false" outlineLevel="0" collapsed="false">
      <c r="A199" s="17" t="str">
        <f aca="false">IF(Cadastro!A194="","",Cadastro!A194)</f>
        <v/>
      </c>
      <c r="B199" s="17" t="str">
        <f aca="false">IF(Cadastro!A194="","",Cadastro!B194)</f>
        <v/>
      </c>
      <c r="C199" s="17" t="str">
        <f aca="false">IF(Cadastro!A194="","",Cadastro!D194)</f>
        <v/>
      </c>
      <c r="D199" s="17" t="str">
        <f aca="false">IF(Cadastro!A194="","",Cadastro!F194)</f>
        <v/>
      </c>
      <c r="E199" s="17" t="str">
        <f aca="false">IF(Cadastro!A194="","",Cadastro!I194)</f>
        <v/>
      </c>
      <c r="F199" s="12" t="n">
        <f aca="false">IF(Cadastro!A194="",0,IF(AND(Cadastro!O194="Ativo",Cadastro!I194=$B$5,ISNUMBER(SEARCH($B$4,Cadastro!J194)),OR($B$6&lt;&gt;"S",Cadastro!E194="S"),OR($B$7&lt;&gt;"S",Cadastro!F194="S")),1,0))</f>
        <v>0</v>
      </c>
      <c r="G199" s="22" t="str">
        <f aca="false">IF(F199=0,"",IF(Cadastro!U194=0,0,Cadastro!X194))</f>
        <v/>
      </c>
      <c r="H199" s="12" t="str">
        <f aca="false">IF(F199=0,"",1+COUNTIF($J$10:$J$309,"&lt;"&amp;J199))</f>
        <v/>
      </c>
      <c r="I199" s="12" t="n">
        <f aca="false">IF(H199=1,1,0)</f>
        <v>0</v>
      </c>
      <c r="J199" s="23" t="n">
        <f aca="false">IF(F199=0,9000000000000000,G199+Cadastro!M194/100000)</f>
        <v>9000000000000000</v>
      </c>
    </row>
    <row r="200" customFormat="false" ht="15" hidden="false" customHeight="false" outlineLevel="0" collapsed="false">
      <c r="A200" s="17" t="str">
        <f aca="false">IF(Cadastro!A195="","",Cadastro!A195)</f>
        <v/>
      </c>
      <c r="B200" s="17" t="str">
        <f aca="false">IF(Cadastro!A195="","",Cadastro!B195)</f>
        <v/>
      </c>
      <c r="C200" s="17" t="str">
        <f aca="false">IF(Cadastro!A195="","",Cadastro!D195)</f>
        <v/>
      </c>
      <c r="D200" s="17" t="str">
        <f aca="false">IF(Cadastro!A195="","",Cadastro!F195)</f>
        <v/>
      </c>
      <c r="E200" s="17" t="str">
        <f aca="false">IF(Cadastro!A195="","",Cadastro!I195)</f>
        <v/>
      </c>
      <c r="F200" s="12" t="n">
        <f aca="false">IF(Cadastro!A195="",0,IF(AND(Cadastro!O195="Ativo",Cadastro!I195=$B$5,ISNUMBER(SEARCH($B$4,Cadastro!J195)),OR($B$6&lt;&gt;"S",Cadastro!E195="S"),OR($B$7&lt;&gt;"S",Cadastro!F195="S")),1,0))</f>
        <v>0</v>
      </c>
      <c r="G200" s="22" t="str">
        <f aca="false">IF(F200=0,"",IF(Cadastro!U195=0,0,Cadastro!X195))</f>
        <v/>
      </c>
      <c r="H200" s="12" t="str">
        <f aca="false">IF(F200=0,"",1+COUNTIF($J$10:$J$309,"&lt;"&amp;J200))</f>
        <v/>
      </c>
      <c r="I200" s="12" t="n">
        <f aca="false">IF(H200=1,1,0)</f>
        <v>0</v>
      </c>
      <c r="J200" s="23" t="n">
        <f aca="false">IF(F200=0,9000000000000000,G200+Cadastro!M195/100000)</f>
        <v>9000000000000000</v>
      </c>
    </row>
    <row r="201" customFormat="false" ht="15" hidden="false" customHeight="false" outlineLevel="0" collapsed="false">
      <c r="A201" s="17" t="str">
        <f aca="false">IF(Cadastro!A196="","",Cadastro!A196)</f>
        <v/>
      </c>
      <c r="B201" s="17" t="str">
        <f aca="false">IF(Cadastro!A196="","",Cadastro!B196)</f>
        <v/>
      </c>
      <c r="C201" s="17" t="str">
        <f aca="false">IF(Cadastro!A196="","",Cadastro!D196)</f>
        <v/>
      </c>
      <c r="D201" s="17" t="str">
        <f aca="false">IF(Cadastro!A196="","",Cadastro!F196)</f>
        <v/>
      </c>
      <c r="E201" s="17" t="str">
        <f aca="false">IF(Cadastro!A196="","",Cadastro!I196)</f>
        <v/>
      </c>
      <c r="F201" s="12" t="n">
        <f aca="false">IF(Cadastro!A196="",0,IF(AND(Cadastro!O196="Ativo",Cadastro!I196=$B$5,ISNUMBER(SEARCH($B$4,Cadastro!J196)),OR($B$6&lt;&gt;"S",Cadastro!E196="S"),OR($B$7&lt;&gt;"S",Cadastro!F196="S")),1,0))</f>
        <v>0</v>
      </c>
      <c r="G201" s="22" t="str">
        <f aca="false">IF(F201=0,"",IF(Cadastro!U196=0,0,Cadastro!X196))</f>
        <v/>
      </c>
      <c r="H201" s="12" t="str">
        <f aca="false">IF(F201=0,"",1+COUNTIF($J$10:$J$309,"&lt;"&amp;J201))</f>
        <v/>
      </c>
      <c r="I201" s="12" t="n">
        <f aca="false">IF(H201=1,1,0)</f>
        <v>0</v>
      </c>
      <c r="J201" s="23" t="n">
        <f aca="false">IF(F201=0,9000000000000000,G201+Cadastro!M196/100000)</f>
        <v>9000000000000000</v>
      </c>
    </row>
    <row r="202" customFormat="false" ht="15" hidden="false" customHeight="false" outlineLevel="0" collapsed="false">
      <c r="A202" s="17" t="str">
        <f aca="false">IF(Cadastro!A197="","",Cadastro!A197)</f>
        <v/>
      </c>
      <c r="B202" s="17" t="str">
        <f aca="false">IF(Cadastro!A197="","",Cadastro!B197)</f>
        <v/>
      </c>
      <c r="C202" s="17" t="str">
        <f aca="false">IF(Cadastro!A197="","",Cadastro!D197)</f>
        <v/>
      </c>
      <c r="D202" s="17" t="str">
        <f aca="false">IF(Cadastro!A197="","",Cadastro!F197)</f>
        <v/>
      </c>
      <c r="E202" s="17" t="str">
        <f aca="false">IF(Cadastro!A197="","",Cadastro!I197)</f>
        <v/>
      </c>
      <c r="F202" s="12" t="n">
        <f aca="false">IF(Cadastro!A197="",0,IF(AND(Cadastro!O197="Ativo",Cadastro!I197=$B$5,ISNUMBER(SEARCH($B$4,Cadastro!J197)),OR($B$6&lt;&gt;"S",Cadastro!E197="S"),OR($B$7&lt;&gt;"S",Cadastro!F197="S")),1,0))</f>
        <v>0</v>
      </c>
      <c r="G202" s="22" t="str">
        <f aca="false">IF(F202=0,"",IF(Cadastro!U197=0,0,Cadastro!X197))</f>
        <v/>
      </c>
      <c r="H202" s="12" t="str">
        <f aca="false">IF(F202=0,"",1+COUNTIF($J$10:$J$309,"&lt;"&amp;J202))</f>
        <v/>
      </c>
      <c r="I202" s="12" t="n">
        <f aca="false">IF(H202=1,1,0)</f>
        <v>0</v>
      </c>
      <c r="J202" s="23" t="n">
        <f aca="false">IF(F202=0,9000000000000000,G202+Cadastro!M197/100000)</f>
        <v>9000000000000000</v>
      </c>
    </row>
    <row r="203" customFormat="false" ht="15" hidden="false" customHeight="false" outlineLevel="0" collapsed="false">
      <c r="A203" s="17" t="str">
        <f aca="false">IF(Cadastro!A198="","",Cadastro!A198)</f>
        <v/>
      </c>
      <c r="B203" s="17" t="str">
        <f aca="false">IF(Cadastro!A198="","",Cadastro!B198)</f>
        <v/>
      </c>
      <c r="C203" s="17" t="str">
        <f aca="false">IF(Cadastro!A198="","",Cadastro!D198)</f>
        <v/>
      </c>
      <c r="D203" s="17" t="str">
        <f aca="false">IF(Cadastro!A198="","",Cadastro!F198)</f>
        <v/>
      </c>
      <c r="E203" s="17" t="str">
        <f aca="false">IF(Cadastro!A198="","",Cadastro!I198)</f>
        <v/>
      </c>
      <c r="F203" s="12" t="n">
        <f aca="false">IF(Cadastro!A198="",0,IF(AND(Cadastro!O198="Ativo",Cadastro!I198=$B$5,ISNUMBER(SEARCH($B$4,Cadastro!J198)),OR($B$6&lt;&gt;"S",Cadastro!E198="S"),OR($B$7&lt;&gt;"S",Cadastro!F198="S")),1,0))</f>
        <v>0</v>
      </c>
      <c r="G203" s="22" t="str">
        <f aca="false">IF(F203=0,"",IF(Cadastro!U198=0,0,Cadastro!X198))</f>
        <v/>
      </c>
      <c r="H203" s="12" t="str">
        <f aca="false">IF(F203=0,"",1+COUNTIF($J$10:$J$309,"&lt;"&amp;J203))</f>
        <v/>
      </c>
      <c r="I203" s="12" t="n">
        <f aca="false">IF(H203=1,1,0)</f>
        <v>0</v>
      </c>
      <c r="J203" s="23" t="n">
        <f aca="false">IF(F203=0,9000000000000000,G203+Cadastro!M198/100000)</f>
        <v>9000000000000000</v>
      </c>
    </row>
    <row r="204" customFormat="false" ht="15" hidden="false" customHeight="false" outlineLevel="0" collapsed="false">
      <c r="A204" s="17" t="str">
        <f aca="false">IF(Cadastro!A199="","",Cadastro!A199)</f>
        <v/>
      </c>
      <c r="B204" s="17" t="str">
        <f aca="false">IF(Cadastro!A199="","",Cadastro!B199)</f>
        <v/>
      </c>
      <c r="C204" s="17" t="str">
        <f aca="false">IF(Cadastro!A199="","",Cadastro!D199)</f>
        <v/>
      </c>
      <c r="D204" s="17" t="str">
        <f aca="false">IF(Cadastro!A199="","",Cadastro!F199)</f>
        <v/>
      </c>
      <c r="E204" s="17" t="str">
        <f aca="false">IF(Cadastro!A199="","",Cadastro!I199)</f>
        <v/>
      </c>
      <c r="F204" s="12" t="n">
        <f aca="false">IF(Cadastro!A199="",0,IF(AND(Cadastro!O199="Ativo",Cadastro!I199=$B$5,ISNUMBER(SEARCH($B$4,Cadastro!J199)),OR($B$6&lt;&gt;"S",Cadastro!E199="S"),OR($B$7&lt;&gt;"S",Cadastro!F199="S")),1,0))</f>
        <v>0</v>
      </c>
      <c r="G204" s="22" t="str">
        <f aca="false">IF(F204=0,"",IF(Cadastro!U199=0,0,Cadastro!X199))</f>
        <v/>
      </c>
      <c r="H204" s="12" t="str">
        <f aca="false">IF(F204=0,"",1+COUNTIF($J$10:$J$309,"&lt;"&amp;J204))</f>
        <v/>
      </c>
      <c r="I204" s="12" t="n">
        <f aca="false">IF(H204=1,1,0)</f>
        <v>0</v>
      </c>
      <c r="J204" s="23" t="n">
        <f aca="false">IF(F204=0,9000000000000000,G204+Cadastro!M199/100000)</f>
        <v>9000000000000000</v>
      </c>
    </row>
    <row r="205" customFormat="false" ht="15" hidden="false" customHeight="false" outlineLevel="0" collapsed="false">
      <c r="A205" s="17" t="str">
        <f aca="false">IF(Cadastro!A200="","",Cadastro!A200)</f>
        <v/>
      </c>
      <c r="B205" s="17" t="str">
        <f aca="false">IF(Cadastro!A200="","",Cadastro!B200)</f>
        <v/>
      </c>
      <c r="C205" s="17" t="str">
        <f aca="false">IF(Cadastro!A200="","",Cadastro!D200)</f>
        <v/>
      </c>
      <c r="D205" s="17" t="str">
        <f aca="false">IF(Cadastro!A200="","",Cadastro!F200)</f>
        <v/>
      </c>
      <c r="E205" s="17" t="str">
        <f aca="false">IF(Cadastro!A200="","",Cadastro!I200)</f>
        <v/>
      </c>
      <c r="F205" s="12" t="n">
        <f aca="false">IF(Cadastro!A200="",0,IF(AND(Cadastro!O200="Ativo",Cadastro!I200=$B$5,ISNUMBER(SEARCH($B$4,Cadastro!J200)),OR($B$6&lt;&gt;"S",Cadastro!E200="S"),OR($B$7&lt;&gt;"S",Cadastro!F200="S")),1,0))</f>
        <v>0</v>
      </c>
      <c r="G205" s="22" t="str">
        <f aca="false">IF(F205=0,"",IF(Cadastro!U200=0,0,Cadastro!X200))</f>
        <v/>
      </c>
      <c r="H205" s="12" t="str">
        <f aca="false">IF(F205=0,"",1+COUNTIF($J$10:$J$309,"&lt;"&amp;J205))</f>
        <v/>
      </c>
      <c r="I205" s="12" t="n">
        <f aca="false">IF(H205=1,1,0)</f>
        <v>0</v>
      </c>
      <c r="J205" s="23" t="n">
        <f aca="false">IF(F205=0,9000000000000000,G205+Cadastro!M200/100000)</f>
        <v>9000000000000000</v>
      </c>
    </row>
    <row r="206" customFormat="false" ht="15" hidden="false" customHeight="false" outlineLevel="0" collapsed="false">
      <c r="A206" s="17" t="str">
        <f aca="false">IF(Cadastro!A201="","",Cadastro!A201)</f>
        <v/>
      </c>
      <c r="B206" s="17" t="str">
        <f aca="false">IF(Cadastro!A201="","",Cadastro!B201)</f>
        <v/>
      </c>
      <c r="C206" s="17" t="str">
        <f aca="false">IF(Cadastro!A201="","",Cadastro!D201)</f>
        <v/>
      </c>
      <c r="D206" s="17" t="str">
        <f aca="false">IF(Cadastro!A201="","",Cadastro!F201)</f>
        <v/>
      </c>
      <c r="E206" s="17" t="str">
        <f aca="false">IF(Cadastro!A201="","",Cadastro!I201)</f>
        <v/>
      </c>
      <c r="F206" s="12" t="n">
        <f aca="false">IF(Cadastro!A201="",0,IF(AND(Cadastro!O201="Ativo",Cadastro!I201=$B$5,ISNUMBER(SEARCH($B$4,Cadastro!J201)),OR($B$6&lt;&gt;"S",Cadastro!E201="S"),OR($B$7&lt;&gt;"S",Cadastro!F201="S")),1,0))</f>
        <v>0</v>
      </c>
      <c r="G206" s="22" t="str">
        <f aca="false">IF(F206=0,"",IF(Cadastro!U201=0,0,Cadastro!X201))</f>
        <v/>
      </c>
      <c r="H206" s="12" t="str">
        <f aca="false">IF(F206=0,"",1+COUNTIF($J$10:$J$309,"&lt;"&amp;J206))</f>
        <v/>
      </c>
      <c r="I206" s="12" t="n">
        <f aca="false">IF(H206=1,1,0)</f>
        <v>0</v>
      </c>
      <c r="J206" s="23" t="n">
        <f aca="false">IF(F206=0,9000000000000000,G206+Cadastro!M201/100000)</f>
        <v>9000000000000000</v>
      </c>
    </row>
    <row r="207" customFormat="false" ht="15" hidden="false" customHeight="false" outlineLevel="0" collapsed="false">
      <c r="A207" s="17" t="str">
        <f aca="false">IF(Cadastro!A202="","",Cadastro!A202)</f>
        <v/>
      </c>
      <c r="B207" s="17" t="str">
        <f aca="false">IF(Cadastro!A202="","",Cadastro!B202)</f>
        <v/>
      </c>
      <c r="C207" s="17" t="str">
        <f aca="false">IF(Cadastro!A202="","",Cadastro!D202)</f>
        <v/>
      </c>
      <c r="D207" s="17" t="str">
        <f aca="false">IF(Cadastro!A202="","",Cadastro!F202)</f>
        <v/>
      </c>
      <c r="E207" s="17" t="str">
        <f aca="false">IF(Cadastro!A202="","",Cadastro!I202)</f>
        <v/>
      </c>
      <c r="F207" s="12" t="n">
        <f aca="false">IF(Cadastro!A202="",0,IF(AND(Cadastro!O202="Ativo",Cadastro!I202=$B$5,ISNUMBER(SEARCH($B$4,Cadastro!J202)),OR($B$6&lt;&gt;"S",Cadastro!E202="S"),OR($B$7&lt;&gt;"S",Cadastro!F202="S")),1,0))</f>
        <v>0</v>
      </c>
      <c r="G207" s="22" t="str">
        <f aca="false">IF(F207=0,"",IF(Cadastro!U202=0,0,Cadastro!X202))</f>
        <v/>
      </c>
      <c r="H207" s="12" t="str">
        <f aca="false">IF(F207=0,"",1+COUNTIF($J$10:$J$309,"&lt;"&amp;J207))</f>
        <v/>
      </c>
      <c r="I207" s="12" t="n">
        <f aca="false">IF(H207=1,1,0)</f>
        <v>0</v>
      </c>
      <c r="J207" s="23" t="n">
        <f aca="false">IF(F207=0,9000000000000000,G207+Cadastro!M202/100000)</f>
        <v>9000000000000000</v>
      </c>
    </row>
    <row r="208" customFormat="false" ht="15" hidden="false" customHeight="false" outlineLevel="0" collapsed="false">
      <c r="A208" s="17" t="str">
        <f aca="false">IF(Cadastro!A203="","",Cadastro!A203)</f>
        <v/>
      </c>
      <c r="B208" s="17" t="str">
        <f aca="false">IF(Cadastro!A203="","",Cadastro!B203)</f>
        <v/>
      </c>
      <c r="C208" s="17" t="str">
        <f aca="false">IF(Cadastro!A203="","",Cadastro!D203)</f>
        <v/>
      </c>
      <c r="D208" s="17" t="str">
        <f aca="false">IF(Cadastro!A203="","",Cadastro!F203)</f>
        <v/>
      </c>
      <c r="E208" s="17" t="str">
        <f aca="false">IF(Cadastro!A203="","",Cadastro!I203)</f>
        <v/>
      </c>
      <c r="F208" s="12" t="n">
        <f aca="false">IF(Cadastro!A203="",0,IF(AND(Cadastro!O203="Ativo",Cadastro!I203=$B$5,ISNUMBER(SEARCH($B$4,Cadastro!J203)),OR($B$6&lt;&gt;"S",Cadastro!E203="S"),OR($B$7&lt;&gt;"S",Cadastro!F203="S")),1,0))</f>
        <v>0</v>
      </c>
      <c r="G208" s="22" t="str">
        <f aca="false">IF(F208=0,"",IF(Cadastro!U203=0,0,Cadastro!X203))</f>
        <v/>
      </c>
      <c r="H208" s="12" t="str">
        <f aca="false">IF(F208=0,"",1+COUNTIF($J$10:$J$309,"&lt;"&amp;J208))</f>
        <v/>
      </c>
      <c r="I208" s="12" t="n">
        <f aca="false">IF(H208=1,1,0)</f>
        <v>0</v>
      </c>
      <c r="J208" s="23" t="n">
        <f aca="false">IF(F208=0,9000000000000000,G208+Cadastro!M203/100000)</f>
        <v>9000000000000000</v>
      </c>
    </row>
    <row r="209" customFormat="false" ht="15" hidden="false" customHeight="false" outlineLevel="0" collapsed="false">
      <c r="A209" s="17" t="str">
        <f aca="false">IF(Cadastro!A204="","",Cadastro!A204)</f>
        <v/>
      </c>
      <c r="B209" s="17" t="str">
        <f aca="false">IF(Cadastro!A204="","",Cadastro!B204)</f>
        <v/>
      </c>
      <c r="C209" s="17" t="str">
        <f aca="false">IF(Cadastro!A204="","",Cadastro!D204)</f>
        <v/>
      </c>
      <c r="D209" s="17" t="str">
        <f aca="false">IF(Cadastro!A204="","",Cadastro!F204)</f>
        <v/>
      </c>
      <c r="E209" s="17" t="str">
        <f aca="false">IF(Cadastro!A204="","",Cadastro!I204)</f>
        <v/>
      </c>
      <c r="F209" s="12" t="n">
        <f aca="false">IF(Cadastro!A204="",0,IF(AND(Cadastro!O204="Ativo",Cadastro!I204=$B$5,ISNUMBER(SEARCH($B$4,Cadastro!J204)),OR($B$6&lt;&gt;"S",Cadastro!E204="S"),OR($B$7&lt;&gt;"S",Cadastro!F204="S")),1,0))</f>
        <v>0</v>
      </c>
      <c r="G209" s="22" t="str">
        <f aca="false">IF(F209=0,"",IF(Cadastro!U204=0,0,Cadastro!X204))</f>
        <v/>
      </c>
      <c r="H209" s="12" t="str">
        <f aca="false">IF(F209=0,"",1+COUNTIF($J$10:$J$309,"&lt;"&amp;J209))</f>
        <v/>
      </c>
      <c r="I209" s="12" t="n">
        <f aca="false">IF(H209=1,1,0)</f>
        <v>0</v>
      </c>
      <c r="J209" s="23" t="n">
        <f aca="false">IF(F209=0,9000000000000000,G209+Cadastro!M204/100000)</f>
        <v>9000000000000000</v>
      </c>
    </row>
    <row r="210" customFormat="false" ht="15" hidden="false" customHeight="false" outlineLevel="0" collapsed="false">
      <c r="A210" s="17" t="str">
        <f aca="false">IF(Cadastro!A205="","",Cadastro!A205)</f>
        <v/>
      </c>
      <c r="B210" s="17" t="str">
        <f aca="false">IF(Cadastro!A205="","",Cadastro!B205)</f>
        <v/>
      </c>
      <c r="C210" s="17" t="str">
        <f aca="false">IF(Cadastro!A205="","",Cadastro!D205)</f>
        <v/>
      </c>
      <c r="D210" s="17" t="str">
        <f aca="false">IF(Cadastro!A205="","",Cadastro!F205)</f>
        <v/>
      </c>
      <c r="E210" s="17" t="str">
        <f aca="false">IF(Cadastro!A205="","",Cadastro!I205)</f>
        <v/>
      </c>
      <c r="F210" s="12" t="n">
        <f aca="false">IF(Cadastro!A205="",0,IF(AND(Cadastro!O205="Ativo",Cadastro!I205=$B$5,ISNUMBER(SEARCH($B$4,Cadastro!J205)),OR($B$6&lt;&gt;"S",Cadastro!E205="S"),OR($B$7&lt;&gt;"S",Cadastro!F205="S")),1,0))</f>
        <v>0</v>
      </c>
      <c r="G210" s="22" t="str">
        <f aca="false">IF(F210=0,"",IF(Cadastro!U205=0,0,Cadastro!X205))</f>
        <v/>
      </c>
      <c r="H210" s="12" t="str">
        <f aca="false">IF(F210=0,"",1+COUNTIF($J$10:$J$309,"&lt;"&amp;J210))</f>
        <v/>
      </c>
      <c r="I210" s="12" t="n">
        <f aca="false">IF(H210=1,1,0)</f>
        <v>0</v>
      </c>
      <c r="J210" s="23" t="n">
        <f aca="false">IF(F210=0,9000000000000000,G210+Cadastro!M205/100000)</f>
        <v>9000000000000000</v>
      </c>
    </row>
    <row r="211" customFormat="false" ht="15" hidden="false" customHeight="false" outlineLevel="0" collapsed="false">
      <c r="A211" s="17" t="str">
        <f aca="false">IF(Cadastro!A206="","",Cadastro!A206)</f>
        <v/>
      </c>
      <c r="B211" s="17" t="str">
        <f aca="false">IF(Cadastro!A206="","",Cadastro!B206)</f>
        <v/>
      </c>
      <c r="C211" s="17" t="str">
        <f aca="false">IF(Cadastro!A206="","",Cadastro!D206)</f>
        <v/>
      </c>
      <c r="D211" s="17" t="str">
        <f aca="false">IF(Cadastro!A206="","",Cadastro!F206)</f>
        <v/>
      </c>
      <c r="E211" s="17" t="str">
        <f aca="false">IF(Cadastro!A206="","",Cadastro!I206)</f>
        <v/>
      </c>
      <c r="F211" s="12" t="n">
        <f aca="false">IF(Cadastro!A206="",0,IF(AND(Cadastro!O206="Ativo",Cadastro!I206=$B$5,ISNUMBER(SEARCH($B$4,Cadastro!J206)),OR($B$6&lt;&gt;"S",Cadastro!E206="S"),OR($B$7&lt;&gt;"S",Cadastro!F206="S")),1,0))</f>
        <v>0</v>
      </c>
      <c r="G211" s="22" t="str">
        <f aca="false">IF(F211=0,"",IF(Cadastro!U206=0,0,Cadastro!X206))</f>
        <v/>
      </c>
      <c r="H211" s="12" t="str">
        <f aca="false">IF(F211=0,"",1+COUNTIF($J$10:$J$309,"&lt;"&amp;J211))</f>
        <v/>
      </c>
      <c r="I211" s="12" t="n">
        <f aca="false">IF(H211=1,1,0)</f>
        <v>0</v>
      </c>
      <c r="J211" s="23" t="n">
        <f aca="false">IF(F211=0,9000000000000000,G211+Cadastro!M206/100000)</f>
        <v>9000000000000000</v>
      </c>
    </row>
    <row r="212" customFormat="false" ht="15" hidden="false" customHeight="false" outlineLevel="0" collapsed="false">
      <c r="A212" s="17" t="str">
        <f aca="false">IF(Cadastro!A207="","",Cadastro!A207)</f>
        <v/>
      </c>
      <c r="B212" s="17" t="str">
        <f aca="false">IF(Cadastro!A207="","",Cadastro!B207)</f>
        <v/>
      </c>
      <c r="C212" s="17" t="str">
        <f aca="false">IF(Cadastro!A207="","",Cadastro!D207)</f>
        <v/>
      </c>
      <c r="D212" s="17" t="str">
        <f aca="false">IF(Cadastro!A207="","",Cadastro!F207)</f>
        <v/>
      </c>
      <c r="E212" s="17" t="str">
        <f aca="false">IF(Cadastro!A207="","",Cadastro!I207)</f>
        <v/>
      </c>
      <c r="F212" s="12" t="n">
        <f aca="false">IF(Cadastro!A207="",0,IF(AND(Cadastro!O207="Ativo",Cadastro!I207=$B$5,ISNUMBER(SEARCH($B$4,Cadastro!J207)),OR($B$6&lt;&gt;"S",Cadastro!E207="S"),OR($B$7&lt;&gt;"S",Cadastro!F207="S")),1,0))</f>
        <v>0</v>
      </c>
      <c r="G212" s="22" t="str">
        <f aca="false">IF(F212=0,"",IF(Cadastro!U207=0,0,Cadastro!X207))</f>
        <v/>
      </c>
      <c r="H212" s="12" t="str">
        <f aca="false">IF(F212=0,"",1+COUNTIF($J$10:$J$309,"&lt;"&amp;J212))</f>
        <v/>
      </c>
      <c r="I212" s="12" t="n">
        <f aca="false">IF(H212=1,1,0)</f>
        <v>0</v>
      </c>
      <c r="J212" s="23" t="n">
        <f aca="false">IF(F212=0,9000000000000000,G212+Cadastro!M207/100000)</f>
        <v>9000000000000000</v>
      </c>
    </row>
    <row r="213" customFormat="false" ht="15" hidden="false" customHeight="false" outlineLevel="0" collapsed="false">
      <c r="A213" s="17" t="str">
        <f aca="false">IF(Cadastro!A208="","",Cadastro!A208)</f>
        <v/>
      </c>
      <c r="B213" s="17" t="str">
        <f aca="false">IF(Cadastro!A208="","",Cadastro!B208)</f>
        <v/>
      </c>
      <c r="C213" s="17" t="str">
        <f aca="false">IF(Cadastro!A208="","",Cadastro!D208)</f>
        <v/>
      </c>
      <c r="D213" s="17" t="str">
        <f aca="false">IF(Cadastro!A208="","",Cadastro!F208)</f>
        <v/>
      </c>
      <c r="E213" s="17" t="str">
        <f aca="false">IF(Cadastro!A208="","",Cadastro!I208)</f>
        <v/>
      </c>
      <c r="F213" s="12" t="n">
        <f aca="false">IF(Cadastro!A208="",0,IF(AND(Cadastro!O208="Ativo",Cadastro!I208=$B$5,ISNUMBER(SEARCH($B$4,Cadastro!J208)),OR($B$6&lt;&gt;"S",Cadastro!E208="S"),OR($B$7&lt;&gt;"S",Cadastro!F208="S")),1,0))</f>
        <v>0</v>
      </c>
      <c r="G213" s="22" t="str">
        <f aca="false">IF(F213=0,"",IF(Cadastro!U208=0,0,Cadastro!X208))</f>
        <v/>
      </c>
      <c r="H213" s="12" t="str">
        <f aca="false">IF(F213=0,"",1+COUNTIF($J$10:$J$309,"&lt;"&amp;J213))</f>
        <v/>
      </c>
      <c r="I213" s="12" t="n">
        <f aca="false">IF(H213=1,1,0)</f>
        <v>0</v>
      </c>
      <c r="J213" s="23" t="n">
        <f aca="false">IF(F213=0,9000000000000000,G213+Cadastro!M208/100000)</f>
        <v>9000000000000000</v>
      </c>
    </row>
    <row r="214" customFormat="false" ht="15" hidden="false" customHeight="false" outlineLevel="0" collapsed="false">
      <c r="A214" s="17" t="str">
        <f aca="false">IF(Cadastro!A209="","",Cadastro!A209)</f>
        <v/>
      </c>
      <c r="B214" s="17" t="str">
        <f aca="false">IF(Cadastro!A209="","",Cadastro!B209)</f>
        <v/>
      </c>
      <c r="C214" s="17" t="str">
        <f aca="false">IF(Cadastro!A209="","",Cadastro!D209)</f>
        <v/>
      </c>
      <c r="D214" s="17" t="str">
        <f aca="false">IF(Cadastro!A209="","",Cadastro!F209)</f>
        <v/>
      </c>
      <c r="E214" s="17" t="str">
        <f aca="false">IF(Cadastro!A209="","",Cadastro!I209)</f>
        <v/>
      </c>
      <c r="F214" s="12" t="n">
        <f aca="false">IF(Cadastro!A209="",0,IF(AND(Cadastro!O209="Ativo",Cadastro!I209=$B$5,ISNUMBER(SEARCH($B$4,Cadastro!J209)),OR($B$6&lt;&gt;"S",Cadastro!E209="S"),OR($B$7&lt;&gt;"S",Cadastro!F209="S")),1,0))</f>
        <v>0</v>
      </c>
      <c r="G214" s="22" t="str">
        <f aca="false">IF(F214=0,"",IF(Cadastro!U209=0,0,Cadastro!X209))</f>
        <v/>
      </c>
      <c r="H214" s="12" t="str">
        <f aca="false">IF(F214=0,"",1+COUNTIF($J$10:$J$309,"&lt;"&amp;J214))</f>
        <v/>
      </c>
      <c r="I214" s="12" t="n">
        <f aca="false">IF(H214=1,1,0)</f>
        <v>0</v>
      </c>
      <c r="J214" s="23" t="n">
        <f aca="false">IF(F214=0,9000000000000000,G214+Cadastro!M209/100000)</f>
        <v>9000000000000000</v>
      </c>
    </row>
    <row r="215" customFormat="false" ht="15" hidden="false" customHeight="false" outlineLevel="0" collapsed="false">
      <c r="A215" s="17" t="str">
        <f aca="false">IF(Cadastro!A210="","",Cadastro!A210)</f>
        <v/>
      </c>
      <c r="B215" s="17" t="str">
        <f aca="false">IF(Cadastro!A210="","",Cadastro!B210)</f>
        <v/>
      </c>
      <c r="C215" s="17" t="str">
        <f aca="false">IF(Cadastro!A210="","",Cadastro!D210)</f>
        <v/>
      </c>
      <c r="D215" s="17" t="str">
        <f aca="false">IF(Cadastro!A210="","",Cadastro!F210)</f>
        <v/>
      </c>
      <c r="E215" s="17" t="str">
        <f aca="false">IF(Cadastro!A210="","",Cadastro!I210)</f>
        <v/>
      </c>
      <c r="F215" s="12" t="n">
        <f aca="false">IF(Cadastro!A210="",0,IF(AND(Cadastro!O210="Ativo",Cadastro!I210=$B$5,ISNUMBER(SEARCH($B$4,Cadastro!J210)),OR($B$6&lt;&gt;"S",Cadastro!E210="S"),OR($B$7&lt;&gt;"S",Cadastro!F210="S")),1,0))</f>
        <v>0</v>
      </c>
      <c r="G215" s="22" t="str">
        <f aca="false">IF(F215=0,"",IF(Cadastro!U210=0,0,Cadastro!X210))</f>
        <v/>
      </c>
      <c r="H215" s="12" t="str">
        <f aca="false">IF(F215=0,"",1+COUNTIF($J$10:$J$309,"&lt;"&amp;J215))</f>
        <v/>
      </c>
      <c r="I215" s="12" t="n">
        <f aca="false">IF(H215=1,1,0)</f>
        <v>0</v>
      </c>
      <c r="J215" s="23" t="n">
        <f aca="false">IF(F215=0,9000000000000000,G215+Cadastro!M210/100000)</f>
        <v>9000000000000000</v>
      </c>
    </row>
    <row r="216" customFormat="false" ht="15" hidden="false" customHeight="false" outlineLevel="0" collapsed="false">
      <c r="A216" s="17" t="str">
        <f aca="false">IF(Cadastro!A211="","",Cadastro!A211)</f>
        <v/>
      </c>
      <c r="B216" s="17" t="str">
        <f aca="false">IF(Cadastro!A211="","",Cadastro!B211)</f>
        <v/>
      </c>
      <c r="C216" s="17" t="str">
        <f aca="false">IF(Cadastro!A211="","",Cadastro!D211)</f>
        <v/>
      </c>
      <c r="D216" s="17" t="str">
        <f aca="false">IF(Cadastro!A211="","",Cadastro!F211)</f>
        <v/>
      </c>
      <c r="E216" s="17" t="str">
        <f aca="false">IF(Cadastro!A211="","",Cadastro!I211)</f>
        <v/>
      </c>
      <c r="F216" s="12" t="n">
        <f aca="false">IF(Cadastro!A211="",0,IF(AND(Cadastro!O211="Ativo",Cadastro!I211=$B$5,ISNUMBER(SEARCH($B$4,Cadastro!J211)),OR($B$6&lt;&gt;"S",Cadastro!E211="S"),OR($B$7&lt;&gt;"S",Cadastro!F211="S")),1,0))</f>
        <v>0</v>
      </c>
      <c r="G216" s="22" t="str">
        <f aca="false">IF(F216=0,"",IF(Cadastro!U211=0,0,Cadastro!X211))</f>
        <v/>
      </c>
      <c r="H216" s="12" t="str">
        <f aca="false">IF(F216=0,"",1+COUNTIF($J$10:$J$309,"&lt;"&amp;J216))</f>
        <v/>
      </c>
      <c r="I216" s="12" t="n">
        <f aca="false">IF(H216=1,1,0)</f>
        <v>0</v>
      </c>
      <c r="J216" s="23" t="n">
        <f aca="false">IF(F216=0,9000000000000000,G216+Cadastro!M211/100000)</f>
        <v>9000000000000000</v>
      </c>
    </row>
    <row r="217" customFormat="false" ht="15" hidden="false" customHeight="false" outlineLevel="0" collapsed="false">
      <c r="A217" s="17" t="str">
        <f aca="false">IF(Cadastro!A212="","",Cadastro!A212)</f>
        <v/>
      </c>
      <c r="B217" s="17" t="str">
        <f aca="false">IF(Cadastro!A212="","",Cadastro!B212)</f>
        <v/>
      </c>
      <c r="C217" s="17" t="str">
        <f aca="false">IF(Cadastro!A212="","",Cadastro!D212)</f>
        <v/>
      </c>
      <c r="D217" s="17" t="str">
        <f aca="false">IF(Cadastro!A212="","",Cadastro!F212)</f>
        <v/>
      </c>
      <c r="E217" s="17" t="str">
        <f aca="false">IF(Cadastro!A212="","",Cadastro!I212)</f>
        <v/>
      </c>
      <c r="F217" s="12" t="n">
        <f aca="false">IF(Cadastro!A212="",0,IF(AND(Cadastro!O212="Ativo",Cadastro!I212=$B$5,ISNUMBER(SEARCH($B$4,Cadastro!J212)),OR($B$6&lt;&gt;"S",Cadastro!E212="S"),OR($B$7&lt;&gt;"S",Cadastro!F212="S")),1,0))</f>
        <v>0</v>
      </c>
      <c r="G217" s="22" t="str">
        <f aca="false">IF(F217=0,"",IF(Cadastro!U212=0,0,Cadastro!X212))</f>
        <v/>
      </c>
      <c r="H217" s="12" t="str">
        <f aca="false">IF(F217=0,"",1+COUNTIF($J$10:$J$309,"&lt;"&amp;J217))</f>
        <v/>
      </c>
      <c r="I217" s="12" t="n">
        <f aca="false">IF(H217=1,1,0)</f>
        <v>0</v>
      </c>
      <c r="J217" s="23" t="n">
        <f aca="false">IF(F217=0,9000000000000000,G217+Cadastro!M212/100000)</f>
        <v>9000000000000000</v>
      </c>
    </row>
    <row r="218" customFormat="false" ht="15" hidden="false" customHeight="false" outlineLevel="0" collapsed="false">
      <c r="A218" s="17" t="str">
        <f aca="false">IF(Cadastro!A213="","",Cadastro!A213)</f>
        <v/>
      </c>
      <c r="B218" s="17" t="str">
        <f aca="false">IF(Cadastro!A213="","",Cadastro!B213)</f>
        <v/>
      </c>
      <c r="C218" s="17" t="str">
        <f aca="false">IF(Cadastro!A213="","",Cadastro!D213)</f>
        <v/>
      </c>
      <c r="D218" s="17" t="str">
        <f aca="false">IF(Cadastro!A213="","",Cadastro!F213)</f>
        <v/>
      </c>
      <c r="E218" s="17" t="str">
        <f aca="false">IF(Cadastro!A213="","",Cadastro!I213)</f>
        <v/>
      </c>
      <c r="F218" s="12" t="n">
        <f aca="false">IF(Cadastro!A213="",0,IF(AND(Cadastro!O213="Ativo",Cadastro!I213=$B$5,ISNUMBER(SEARCH($B$4,Cadastro!J213)),OR($B$6&lt;&gt;"S",Cadastro!E213="S"),OR($B$7&lt;&gt;"S",Cadastro!F213="S")),1,0))</f>
        <v>0</v>
      </c>
      <c r="G218" s="22" t="str">
        <f aca="false">IF(F218=0,"",IF(Cadastro!U213=0,0,Cadastro!X213))</f>
        <v/>
      </c>
      <c r="H218" s="12" t="str">
        <f aca="false">IF(F218=0,"",1+COUNTIF($J$10:$J$309,"&lt;"&amp;J218))</f>
        <v/>
      </c>
      <c r="I218" s="12" t="n">
        <f aca="false">IF(H218=1,1,0)</f>
        <v>0</v>
      </c>
      <c r="J218" s="23" t="n">
        <f aca="false">IF(F218=0,9000000000000000,G218+Cadastro!M213/100000)</f>
        <v>9000000000000000</v>
      </c>
    </row>
    <row r="219" customFormat="false" ht="15" hidden="false" customHeight="false" outlineLevel="0" collapsed="false">
      <c r="A219" s="17" t="str">
        <f aca="false">IF(Cadastro!A214="","",Cadastro!A214)</f>
        <v/>
      </c>
      <c r="B219" s="17" t="str">
        <f aca="false">IF(Cadastro!A214="","",Cadastro!B214)</f>
        <v/>
      </c>
      <c r="C219" s="17" t="str">
        <f aca="false">IF(Cadastro!A214="","",Cadastro!D214)</f>
        <v/>
      </c>
      <c r="D219" s="17" t="str">
        <f aca="false">IF(Cadastro!A214="","",Cadastro!F214)</f>
        <v/>
      </c>
      <c r="E219" s="17" t="str">
        <f aca="false">IF(Cadastro!A214="","",Cadastro!I214)</f>
        <v/>
      </c>
      <c r="F219" s="12" t="n">
        <f aca="false">IF(Cadastro!A214="",0,IF(AND(Cadastro!O214="Ativo",Cadastro!I214=$B$5,ISNUMBER(SEARCH($B$4,Cadastro!J214)),OR($B$6&lt;&gt;"S",Cadastro!E214="S"),OR($B$7&lt;&gt;"S",Cadastro!F214="S")),1,0))</f>
        <v>0</v>
      </c>
      <c r="G219" s="22" t="str">
        <f aca="false">IF(F219=0,"",IF(Cadastro!U214=0,0,Cadastro!X214))</f>
        <v/>
      </c>
      <c r="H219" s="12" t="str">
        <f aca="false">IF(F219=0,"",1+COUNTIF($J$10:$J$309,"&lt;"&amp;J219))</f>
        <v/>
      </c>
      <c r="I219" s="12" t="n">
        <f aca="false">IF(H219=1,1,0)</f>
        <v>0</v>
      </c>
      <c r="J219" s="23" t="n">
        <f aca="false">IF(F219=0,9000000000000000,G219+Cadastro!M214/100000)</f>
        <v>9000000000000000</v>
      </c>
    </row>
    <row r="220" customFormat="false" ht="15" hidden="false" customHeight="false" outlineLevel="0" collapsed="false">
      <c r="A220" s="17" t="str">
        <f aca="false">IF(Cadastro!A215="","",Cadastro!A215)</f>
        <v/>
      </c>
      <c r="B220" s="17" t="str">
        <f aca="false">IF(Cadastro!A215="","",Cadastro!B215)</f>
        <v/>
      </c>
      <c r="C220" s="17" t="str">
        <f aca="false">IF(Cadastro!A215="","",Cadastro!D215)</f>
        <v/>
      </c>
      <c r="D220" s="17" t="str">
        <f aca="false">IF(Cadastro!A215="","",Cadastro!F215)</f>
        <v/>
      </c>
      <c r="E220" s="17" t="str">
        <f aca="false">IF(Cadastro!A215="","",Cadastro!I215)</f>
        <v/>
      </c>
      <c r="F220" s="12" t="n">
        <f aca="false">IF(Cadastro!A215="",0,IF(AND(Cadastro!O215="Ativo",Cadastro!I215=$B$5,ISNUMBER(SEARCH($B$4,Cadastro!J215)),OR($B$6&lt;&gt;"S",Cadastro!E215="S"),OR($B$7&lt;&gt;"S",Cadastro!F215="S")),1,0))</f>
        <v>0</v>
      </c>
      <c r="G220" s="22" t="str">
        <f aca="false">IF(F220=0,"",IF(Cadastro!U215=0,0,Cadastro!X215))</f>
        <v/>
      </c>
      <c r="H220" s="12" t="str">
        <f aca="false">IF(F220=0,"",1+COUNTIF($J$10:$J$309,"&lt;"&amp;J220))</f>
        <v/>
      </c>
      <c r="I220" s="12" t="n">
        <f aca="false">IF(H220=1,1,0)</f>
        <v>0</v>
      </c>
      <c r="J220" s="23" t="n">
        <f aca="false">IF(F220=0,9000000000000000,G220+Cadastro!M215/100000)</f>
        <v>9000000000000000</v>
      </c>
    </row>
    <row r="221" customFormat="false" ht="15" hidden="false" customHeight="false" outlineLevel="0" collapsed="false">
      <c r="A221" s="17" t="str">
        <f aca="false">IF(Cadastro!A216="","",Cadastro!A216)</f>
        <v/>
      </c>
      <c r="B221" s="17" t="str">
        <f aca="false">IF(Cadastro!A216="","",Cadastro!B216)</f>
        <v/>
      </c>
      <c r="C221" s="17" t="str">
        <f aca="false">IF(Cadastro!A216="","",Cadastro!D216)</f>
        <v/>
      </c>
      <c r="D221" s="17" t="str">
        <f aca="false">IF(Cadastro!A216="","",Cadastro!F216)</f>
        <v/>
      </c>
      <c r="E221" s="17" t="str">
        <f aca="false">IF(Cadastro!A216="","",Cadastro!I216)</f>
        <v/>
      </c>
      <c r="F221" s="12" t="n">
        <f aca="false">IF(Cadastro!A216="",0,IF(AND(Cadastro!O216="Ativo",Cadastro!I216=$B$5,ISNUMBER(SEARCH($B$4,Cadastro!J216)),OR($B$6&lt;&gt;"S",Cadastro!E216="S"),OR($B$7&lt;&gt;"S",Cadastro!F216="S")),1,0))</f>
        <v>0</v>
      </c>
      <c r="G221" s="22" t="str">
        <f aca="false">IF(F221=0,"",IF(Cadastro!U216=0,0,Cadastro!X216))</f>
        <v/>
      </c>
      <c r="H221" s="12" t="str">
        <f aca="false">IF(F221=0,"",1+COUNTIF($J$10:$J$309,"&lt;"&amp;J221))</f>
        <v/>
      </c>
      <c r="I221" s="12" t="n">
        <f aca="false">IF(H221=1,1,0)</f>
        <v>0</v>
      </c>
      <c r="J221" s="23" t="n">
        <f aca="false">IF(F221=0,9000000000000000,G221+Cadastro!M216/100000)</f>
        <v>9000000000000000</v>
      </c>
    </row>
    <row r="222" customFormat="false" ht="15" hidden="false" customHeight="false" outlineLevel="0" collapsed="false">
      <c r="A222" s="17" t="str">
        <f aca="false">IF(Cadastro!A217="","",Cadastro!A217)</f>
        <v/>
      </c>
      <c r="B222" s="17" t="str">
        <f aca="false">IF(Cadastro!A217="","",Cadastro!B217)</f>
        <v/>
      </c>
      <c r="C222" s="17" t="str">
        <f aca="false">IF(Cadastro!A217="","",Cadastro!D217)</f>
        <v/>
      </c>
      <c r="D222" s="17" t="str">
        <f aca="false">IF(Cadastro!A217="","",Cadastro!F217)</f>
        <v/>
      </c>
      <c r="E222" s="17" t="str">
        <f aca="false">IF(Cadastro!A217="","",Cadastro!I217)</f>
        <v/>
      </c>
      <c r="F222" s="12" t="n">
        <f aca="false">IF(Cadastro!A217="",0,IF(AND(Cadastro!O217="Ativo",Cadastro!I217=$B$5,ISNUMBER(SEARCH($B$4,Cadastro!J217)),OR($B$6&lt;&gt;"S",Cadastro!E217="S"),OR($B$7&lt;&gt;"S",Cadastro!F217="S")),1,0))</f>
        <v>0</v>
      </c>
      <c r="G222" s="22" t="str">
        <f aca="false">IF(F222=0,"",IF(Cadastro!U217=0,0,Cadastro!X217))</f>
        <v/>
      </c>
      <c r="H222" s="12" t="str">
        <f aca="false">IF(F222=0,"",1+COUNTIF($J$10:$J$309,"&lt;"&amp;J222))</f>
        <v/>
      </c>
      <c r="I222" s="12" t="n">
        <f aca="false">IF(H222=1,1,0)</f>
        <v>0</v>
      </c>
      <c r="J222" s="23" t="n">
        <f aca="false">IF(F222=0,9000000000000000,G222+Cadastro!M217/100000)</f>
        <v>9000000000000000</v>
      </c>
    </row>
    <row r="223" customFormat="false" ht="15" hidden="false" customHeight="false" outlineLevel="0" collapsed="false">
      <c r="A223" s="17" t="str">
        <f aca="false">IF(Cadastro!A218="","",Cadastro!A218)</f>
        <v/>
      </c>
      <c r="B223" s="17" t="str">
        <f aca="false">IF(Cadastro!A218="","",Cadastro!B218)</f>
        <v/>
      </c>
      <c r="C223" s="17" t="str">
        <f aca="false">IF(Cadastro!A218="","",Cadastro!D218)</f>
        <v/>
      </c>
      <c r="D223" s="17" t="str">
        <f aca="false">IF(Cadastro!A218="","",Cadastro!F218)</f>
        <v/>
      </c>
      <c r="E223" s="17" t="str">
        <f aca="false">IF(Cadastro!A218="","",Cadastro!I218)</f>
        <v/>
      </c>
      <c r="F223" s="12" t="n">
        <f aca="false">IF(Cadastro!A218="",0,IF(AND(Cadastro!O218="Ativo",Cadastro!I218=$B$5,ISNUMBER(SEARCH($B$4,Cadastro!J218)),OR($B$6&lt;&gt;"S",Cadastro!E218="S"),OR($B$7&lt;&gt;"S",Cadastro!F218="S")),1,0))</f>
        <v>0</v>
      </c>
      <c r="G223" s="22" t="str">
        <f aca="false">IF(F223=0,"",IF(Cadastro!U218=0,0,Cadastro!X218))</f>
        <v/>
      </c>
      <c r="H223" s="12" t="str">
        <f aca="false">IF(F223=0,"",1+COUNTIF($J$10:$J$309,"&lt;"&amp;J223))</f>
        <v/>
      </c>
      <c r="I223" s="12" t="n">
        <f aca="false">IF(H223=1,1,0)</f>
        <v>0</v>
      </c>
      <c r="J223" s="23" t="n">
        <f aca="false">IF(F223=0,9000000000000000,G223+Cadastro!M218/100000)</f>
        <v>9000000000000000</v>
      </c>
    </row>
    <row r="224" customFormat="false" ht="15" hidden="false" customHeight="false" outlineLevel="0" collapsed="false">
      <c r="A224" s="17" t="str">
        <f aca="false">IF(Cadastro!A219="","",Cadastro!A219)</f>
        <v/>
      </c>
      <c r="B224" s="17" t="str">
        <f aca="false">IF(Cadastro!A219="","",Cadastro!B219)</f>
        <v/>
      </c>
      <c r="C224" s="17" t="str">
        <f aca="false">IF(Cadastro!A219="","",Cadastro!D219)</f>
        <v/>
      </c>
      <c r="D224" s="17" t="str">
        <f aca="false">IF(Cadastro!A219="","",Cadastro!F219)</f>
        <v/>
      </c>
      <c r="E224" s="17" t="str">
        <f aca="false">IF(Cadastro!A219="","",Cadastro!I219)</f>
        <v/>
      </c>
      <c r="F224" s="12" t="n">
        <f aca="false">IF(Cadastro!A219="",0,IF(AND(Cadastro!O219="Ativo",Cadastro!I219=$B$5,ISNUMBER(SEARCH($B$4,Cadastro!J219)),OR($B$6&lt;&gt;"S",Cadastro!E219="S"),OR($B$7&lt;&gt;"S",Cadastro!F219="S")),1,0))</f>
        <v>0</v>
      </c>
      <c r="G224" s="22" t="str">
        <f aca="false">IF(F224=0,"",IF(Cadastro!U219=0,0,Cadastro!X219))</f>
        <v/>
      </c>
      <c r="H224" s="12" t="str">
        <f aca="false">IF(F224=0,"",1+COUNTIF($J$10:$J$309,"&lt;"&amp;J224))</f>
        <v/>
      </c>
      <c r="I224" s="12" t="n">
        <f aca="false">IF(H224=1,1,0)</f>
        <v>0</v>
      </c>
      <c r="J224" s="23" t="n">
        <f aca="false">IF(F224=0,9000000000000000,G224+Cadastro!M219/100000)</f>
        <v>9000000000000000</v>
      </c>
    </row>
    <row r="225" customFormat="false" ht="15" hidden="false" customHeight="false" outlineLevel="0" collapsed="false">
      <c r="A225" s="17" t="str">
        <f aca="false">IF(Cadastro!A220="","",Cadastro!A220)</f>
        <v/>
      </c>
      <c r="B225" s="17" t="str">
        <f aca="false">IF(Cadastro!A220="","",Cadastro!B220)</f>
        <v/>
      </c>
      <c r="C225" s="17" t="str">
        <f aca="false">IF(Cadastro!A220="","",Cadastro!D220)</f>
        <v/>
      </c>
      <c r="D225" s="17" t="str">
        <f aca="false">IF(Cadastro!A220="","",Cadastro!F220)</f>
        <v/>
      </c>
      <c r="E225" s="17" t="str">
        <f aca="false">IF(Cadastro!A220="","",Cadastro!I220)</f>
        <v/>
      </c>
      <c r="F225" s="12" t="n">
        <f aca="false">IF(Cadastro!A220="",0,IF(AND(Cadastro!O220="Ativo",Cadastro!I220=$B$5,ISNUMBER(SEARCH($B$4,Cadastro!J220)),OR($B$6&lt;&gt;"S",Cadastro!E220="S"),OR($B$7&lt;&gt;"S",Cadastro!F220="S")),1,0))</f>
        <v>0</v>
      </c>
      <c r="G225" s="22" t="str">
        <f aca="false">IF(F225=0,"",IF(Cadastro!U220=0,0,Cadastro!X220))</f>
        <v/>
      </c>
      <c r="H225" s="12" t="str">
        <f aca="false">IF(F225=0,"",1+COUNTIF($J$10:$J$309,"&lt;"&amp;J225))</f>
        <v/>
      </c>
      <c r="I225" s="12" t="n">
        <f aca="false">IF(H225=1,1,0)</f>
        <v>0</v>
      </c>
      <c r="J225" s="23" t="n">
        <f aca="false">IF(F225=0,9000000000000000,G225+Cadastro!M220/100000)</f>
        <v>9000000000000000</v>
      </c>
    </row>
    <row r="226" customFormat="false" ht="15" hidden="false" customHeight="false" outlineLevel="0" collapsed="false">
      <c r="A226" s="17" t="str">
        <f aca="false">IF(Cadastro!A221="","",Cadastro!A221)</f>
        <v/>
      </c>
      <c r="B226" s="17" t="str">
        <f aca="false">IF(Cadastro!A221="","",Cadastro!B221)</f>
        <v/>
      </c>
      <c r="C226" s="17" t="str">
        <f aca="false">IF(Cadastro!A221="","",Cadastro!D221)</f>
        <v/>
      </c>
      <c r="D226" s="17" t="str">
        <f aca="false">IF(Cadastro!A221="","",Cadastro!F221)</f>
        <v/>
      </c>
      <c r="E226" s="17" t="str">
        <f aca="false">IF(Cadastro!A221="","",Cadastro!I221)</f>
        <v/>
      </c>
      <c r="F226" s="12" t="n">
        <f aca="false">IF(Cadastro!A221="",0,IF(AND(Cadastro!O221="Ativo",Cadastro!I221=$B$5,ISNUMBER(SEARCH($B$4,Cadastro!J221)),OR($B$6&lt;&gt;"S",Cadastro!E221="S"),OR($B$7&lt;&gt;"S",Cadastro!F221="S")),1,0))</f>
        <v>0</v>
      </c>
      <c r="G226" s="22" t="str">
        <f aca="false">IF(F226=0,"",IF(Cadastro!U221=0,0,Cadastro!X221))</f>
        <v/>
      </c>
      <c r="H226" s="12" t="str">
        <f aca="false">IF(F226=0,"",1+COUNTIF($J$10:$J$309,"&lt;"&amp;J226))</f>
        <v/>
      </c>
      <c r="I226" s="12" t="n">
        <f aca="false">IF(H226=1,1,0)</f>
        <v>0</v>
      </c>
      <c r="J226" s="23" t="n">
        <f aca="false">IF(F226=0,9000000000000000,G226+Cadastro!M221/100000)</f>
        <v>9000000000000000</v>
      </c>
    </row>
    <row r="227" customFormat="false" ht="15" hidden="false" customHeight="false" outlineLevel="0" collapsed="false">
      <c r="A227" s="17" t="str">
        <f aca="false">IF(Cadastro!A222="","",Cadastro!A222)</f>
        <v/>
      </c>
      <c r="B227" s="17" t="str">
        <f aca="false">IF(Cadastro!A222="","",Cadastro!B222)</f>
        <v/>
      </c>
      <c r="C227" s="17" t="str">
        <f aca="false">IF(Cadastro!A222="","",Cadastro!D222)</f>
        <v/>
      </c>
      <c r="D227" s="17" t="str">
        <f aca="false">IF(Cadastro!A222="","",Cadastro!F222)</f>
        <v/>
      </c>
      <c r="E227" s="17" t="str">
        <f aca="false">IF(Cadastro!A222="","",Cadastro!I222)</f>
        <v/>
      </c>
      <c r="F227" s="12" t="n">
        <f aca="false">IF(Cadastro!A222="",0,IF(AND(Cadastro!O222="Ativo",Cadastro!I222=$B$5,ISNUMBER(SEARCH($B$4,Cadastro!J222)),OR($B$6&lt;&gt;"S",Cadastro!E222="S"),OR($B$7&lt;&gt;"S",Cadastro!F222="S")),1,0))</f>
        <v>0</v>
      </c>
      <c r="G227" s="22" t="str">
        <f aca="false">IF(F227=0,"",IF(Cadastro!U222=0,0,Cadastro!X222))</f>
        <v/>
      </c>
      <c r="H227" s="12" t="str">
        <f aca="false">IF(F227=0,"",1+COUNTIF($J$10:$J$309,"&lt;"&amp;J227))</f>
        <v/>
      </c>
      <c r="I227" s="12" t="n">
        <f aca="false">IF(H227=1,1,0)</f>
        <v>0</v>
      </c>
      <c r="J227" s="23" t="n">
        <f aca="false">IF(F227=0,9000000000000000,G227+Cadastro!M222/100000)</f>
        <v>9000000000000000</v>
      </c>
    </row>
    <row r="228" customFormat="false" ht="15" hidden="false" customHeight="false" outlineLevel="0" collapsed="false">
      <c r="A228" s="17" t="str">
        <f aca="false">IF(Cadastro!A223="","",Cadastro!A223)</f>
        <v/>
      </c>
      <c r="B228" s="17" t="str">
        <f aca="false">IF(Cadastro!A223="","",Cadastro!B223)</f>
        <v/>
      </c>
      <c r="C228" s="17" t="str">
        <f aca="false">IF(Cadastro!A223="","",Cadastro!D223)</f>
        <v/>
      </c>
      <c r="D228" s="17" t="str">
        <f aca="false">IF(Cadastro!A223="","",Cadastro!F223)</f>
        <v/>
      </c>
      <c r="E228" s="17" t="str">
        <f aca="false">IF(Cadastro!A223="","",Cadastro!I223)</f>
        <v/>
      </c>
      <c r="F228" s="12" t="n">
        <f aca="false">IF(Cadastro!A223="",0,IF(AND(Cadastro!O223="Ativo",Cadastro!I223=$B$5,ISNUMBER(SEARCH($B$4,Cadastro!J223)),OR($B$6&lt;&gt;"S",Cadastro!E223="S"),OR($B$7&lt;&gt;"S",Cadastro!F223="S")),1,0))</f>
        <v>0</v>
      </c>
      <c r="G228" s="22" t="str">
        <f aca="false">IF(F228=0,"",IF(Cadastro!U223=0,0,Cadastro!X223))</f>
        <v/>
      </c>
      <c r="H228" s="12" t="str">
        <f aca="false">IF(F228=0,"",1+COUNTIF($J$10:$J$309,"&lt;"&amp;J228))</f>
        <v/>
      </c>
      <c r="I228" s="12" t="n">
        <f aca="false">IF(H228=1,1,0)</f>
        <v>0</v>
      </c>
      <c r="J228" s="23" t="n">
        <f aca="false">IF(F228=0,9000000000000000,G228+Cadastro!M223/100000)</f>
        <v>9000000000000000</v>
      </c>
    </row>
    <row r="229" customFormat="false" ht="15" hidden="false" customHeight="false" outlineLevel="0" collapsed="false">
      <c r="A229" s="17" t="str">
        <f aca="false">IF(Cadastro!A224="","",Cadastro!A224)</f>
        <v/>
      </c>
      <c r="B229" s="17" t="str">
        <f aca="false">IF(Cadastro!A224="","",Cadastro!B224)</f>
        <v/>
      </c>
      <c r="C229" s="17" t="str">
        <f aca="false">IF(Cadastro!A224="","",Cadastro!D224)</f>
        <v/>
      </c>
      <c r="D229" s="17" t="str">
        <f aca="false">IF(Cadastro!A224="","",Cadastro!F224)</f>
        <v/>
      </c>
      <c r="E229" s="17" t="str">
        <f aca="false">IF(Cadastro!A224="","",Cadastro!I224)</f>
        <v/>
      </c>
      <c r="F229" s="12" t="n">
        <f aca="false">IF(Cadastro!A224="",0,IF(AND(Cadastro!O224="Ativo",Cadastro!I224=$B$5,ISNUMBER(SEARCH($B$4,Cadastro!J224)),OR($B$6&lt;&gt;"S",Cadastro!E224="S"),OR($B$7&lt;&gt;"S",Cadastro!F224="S")),1,0))</f>
        <v>0</v>
      </c>
      <c r="G229" s="22" t="str">
        <f aca="false">IF(F229=0,"",IF(Cadastro!U224=0,0,Cadastro!X224))</f>
        <v/>
      </c>
      <c r="H229" s="12" t="str">
        <f aca="false">IF(F229=0,"",1+COUNTIF($J$10:$J$309,"&lt;"&amp;J229))</f>
        <v/>
      </c>
      <c r="I229" s="12" t="n">
        <f aca="false">IF(H229=1,1,0)</f>
        <v>0</v>
      </c>
      <c r="J229" s="23" t="n">
        <f aca="false">IF(F229=0,9000000000000000,G229+Cadastro!M224/100000)</f>
        <v>9000000000000000</v>
      </c>
    </row>
    <row r="230" customFormat="false" ht="15" hidden="false" customHeight="false" outlineLevel="0" collapsed="false">
      <c r="A230" s="17" t="str">
        <f aca="false">IF(Cadastro!A225="","",Cadastro!A225)</f>
        <v/>
      </c>
      <c r="B230" s="17" t="str">
        <f aca="false">IF(Cadastro!A225="","",Cadastro!B225)</f>
        <v/>
      </c>
      <c r="C230" s="17" t="str">
        <f aca="false">IF(Cadastro!A225="","",Cadastro!D225)</f>
        <v/>
      </c>
      <c r="D230" s="17" t="str">
        <f aca="false">IF(Cadastro!A225="","",Cadastro!F225)</f>
        <v/>
      </c>
      <c r="E230" s="17" t="str">
        <f aca="false">IF(Cadastro!A225="","",Cadastro!I225)</f>
        <v/>
      </c>
      <c r="F230" s="12" t="n">
        <f aca="false">IF(Cadastro!A225="",0,IF(AND(Cadastro!O225="Ativo",Cadastro!I225=$B$5,ISNUMBER(SEARCH($B$4,Cadastro!J225)),OR($B$6&lt;&gt;"S",Cadastro!E225="S"),OR($B$7&lt;&gt;"S",Cadastro!F225="S")),1,0))</f>
        <v>0</v>
      </c>
      <c r="G230" s="22" t="str">
        <f aca="false">IF(F230=0,"",IF(Cadastro!U225=0,0,Cadastro!X225))</f>
        <v/>
      </c>
      <c r="H230" s="12" t="str">
        <f aca="false">IF(F230=0,"",1+COUNTIF($J$10:$J$309,"&lt;"&amp;J230))</f>
        <v/>
      </c>
      <c r="I230" s="12" t="n">
        <f aca="false">IF(H230=1,1,0)</f>
        <v>0</v>
      </c>
      <c r="J230" s="23" t="n">
        <f aca="false">IF(F230=0,9000000000000000,G230+Cadastro!M225/100000)</f>
        <v>9000000000000000</v>
      </c>
    </row>
    <row r="231" customFormat="false" ht="15" hidden="false" customHeight="false" outlineLevel="0" collapsed="false">
      <c r="A231" s="17" t="str">
        <f aca="false">IF(Cadastro!A226="","",Cadastro!A226)</f>
        <v/>
      </c>
      <c r="B231" s="17" t="str">
        <f aca="false">IF(Cadastro!A226="","",Cadastro!B226)</f>
        <v/>
      </c>
      <c r="C231" s="17" t="str">
        <f aca="false">IF(Cadastro!A226="","",Cadastro!D226)</f>
        <v/>
      </c>
      <c r="D231" s="17" t="str">
        <f aca="false">IF(Cadastro!A226="","",Cadastro!F226)</f>
        <v/>
      </c>
      <c r="E231" s="17" t="str">
        <f aca="false">IF(Cadastro!A226="","",Cadastro!I226)</f>
        <v/>
      </c>
      <c r="F231" s="12" t="n">
        <f aca="false">IF(Cadastro!A226="",0,IF(AND(Cadastro!O226="Ativo",Cadastro!I226=$B$5,ISNUMBER(SEARCH($B$4,Cadastro!J226)),OR($B$6&lt;&gt;"S",Cadastro!E226="S"),OR($B$7&lt;&gt;"S",Cadastro!F226="S")),1,0))</f>
        <v>0</v>
      </c>
      <c r="G231" s="22" t="str">
        <f aca="false">IF(F231=0,"",IF(Cadastro!U226=0,0,Cadastro!X226))</f>
        <v/>
      </c>
      <c r="H231" s="12" t="str">
        <f aca="false">IF(F231=0,"",1+COUNTIF($J$10:$J$309,"&lt;"&amp;J231))</f>
        <v/>
      </c>
      <c r="I231" s="12" t="n">
        <f aca="false">IF(H231=1,1,0)</f>
        <v>0</v>
      </c>
      <c r="J231" s="23" t="n">
        <f aca="false">IF(F231=0,9000000000000000,G231+Cadastro!M226/100000)</f>
        <v>9000000000000000</v>
      </c>
    </row>
    <row r="232" customFormat="false" ht="15" hidden="false" customHeight="false" outlineLevel="0" collapsed="false">
      <c r="A232" s="17" t="str">
        <f aca="false">IF(Cadastro!A227="","",Cadastro!A227)</f>
        <v/>
      </c>
      <c r="B232" s="17" t="str">
        <f aca="false">IF(Cadastro!A227="","",Cadastro!B227)</f>
        <v/>
      </c>
      <c r="C232" s="17" t="str">
        <f aca="false">IF(Cadastro!A227="","",Cadastro!D227)</f>
        <v/>
      </c>
      <c r="D232" s="17" t="str">
        <f aca="false">IF(Cadastro!A227="","",Cadastro!F227)</f>
        <v/>
      </c>
      <c r="E232" s="17" t="str">
        <f aca="false">IF(Cadastro!A227="","",Cadastro!I227)</f>
        <v/>
      </c>
      <c r="F232" s="12" t="n">
        <f aca="false">IF(Cadastro!A227="",0,IF(AND(Cadastro!O227="Ativo",Cadastro!I227=$B$5,ISNUMBER(SEARCH($B$4,Cadastro!J227)),OR($B$6&lt;&gt;"S",Cadastro!E227="S"),OR($B$7&lt;&gt;"S",Cadastro!F227="S")),1,0))</f>
        <v>0</v>
      </c>
      <c r="G232" s="22" t="str">
        <f aca="false">IF(F232=0,"",IF(Cadastro!U227=0,0,Cadastro!X227))</f>
        <v/>
      </c>
      <c r="H232" s="12" t="str">
        <f aca="false">IF(F232=0,"",1+COUNTIF($J$10:$J$309,"&lt;"&amp;J232))</f>
        <v/>
      </c>
      <c r="I232" s="12" t="n">
        <f aca="false">IF(H232=1,1,0)</f>
        <v>0</v>
      </c>
      <c r="J232" s="23" t="n">
        <f aca="false">IF(F232=0,9000000000000000,G232+Cadastro!M227/100000)</f>
        <v>9000000000000000</v>
      </c>
    </row>
    <row r="233" customFormat="false" ht="15" hidden="false" customHeight="false" outlineLevel="0" collapsed="false">
      <c r="A233" s="17" t="str">
        <f aca="false">IF(Cadastro!A228="","",Cadastro!A228)</f>
        <v/>
      </c>
      <c r="B233" s="17" t="str">
        <f aca="false">IF(Cadastro!A228="","",Cadastro!B228)</f>
        <v/>
      </c>
      <c r="C233" s="17" t="str">
        <f aca="false">IF(Cadastro!A228="","",Cadastro!D228)</f>
        <v/>
      </c>
      <c r="D233" s="17" t="str">
        <f aca="false">IF(Cadastro!A228="","",Cadastro!F228)</f>
        <v/>
      </c>
      <c r="E233" s="17" t="str">
        <f aca="false">IF(Cadastro!A228="","",Cadastro!I228)</f>
        <v/>
      </c>
      <c r="F233" s="12" t="n">
        <f aca="false">IF(Cadastro!A228="",0,IF(AND(Cadastro!O228="Ativo",Cadastro!I228=$B$5,ISNUMBER(SEARCH($B$4,Cadastro!J228)),OR($B$6&lt;&gt;"S",Cadastro!E228="S"),OR($B$7&lt;&gt;"S",Cadastro!F228="S")),1,0))</f>
        <v>0</v>
      </c>
      <c r="G233" s="22" t="str">
        <f aca="false">IF(F233=0,"",IF(Cadastro!U228=0,0,Cadastro!X228))</f>
        <v/>
      </c>
      <c r="H233" s="12" t="str">
        <f aca="false">IF(F233=0,"",1+COUNTIF($J$10:$J$309,"&lt;"&amp;J233))</f>
        <v/>
      </c>
      <c r="I233" s="12" t="n">
        <f aca="false">IF(H233=1,1,0)</f>
        <v>0</v>
      </c>
      <c r="J233" s="23" t="n">
        <f aca="false">IF(F233=0,9000000000000000,G233+Cadastro!M228/100000)</f>
        <v>9000000000000000</v>
      </c>
    </row>
    <row r="234" customFormat="false" ht="15" hidden="false" customHeight="false" outlineLevel="0" collapsed="false">
      <c r="A234" s="17" t="str">
        <f aca="false">IF(Cadastro!A229="","",Cadastro!A229)</f>
        <v/>
      </c>
      <c r="B234" s="17" t="str">
        <f aca="false">IF(Cadastro!A229="","",Cadastro!B229)</f>
        <v/>
      </c>
      <c r="C234" s="17" t="str">
        <f aca="false">IF(Cadastro!A229="","",Cadastro!D229)</f>
        <v/>
      </c>
      <c r="D234" s="17" t="str">
        <f aca="false">IF(Cadastro!A229="","",Cadastro!F229)</f>
        <v/>
      </c>
      <c r="E234" s="17" t="str">
        <f aca="false">IF(Cadastro!A229="","",Cadastro!I229)</f>
        <v/>
      </c>
      <c r="F234" s="12" t="n">
        <f aca="false">IF(Cadastro!A229="",0,IF(AND(Cadastro!O229="Ativo",Cadastro!I229=$B$5,ISNUMBER(SEARCH($B$4,Cadastro!J229)),OR($B$6&lt;&gt;"S",Cadastro!E229="S"),OR($B$7&lt;&gt;"S",Cadastro!F229="S")),1,0))</f>
        <v>0</v>
      </c>
      <c r="G234" s="22" t="str">
        <f aca="false">IF(F234=0,"",IF(Cadastro!U229=0,0,Cadastro!X229))</f>
        <v/>
      </c>
      <c r="H234" s="12" t="str">
        <f aca="false">IF(F234=0,"",1+COUNTIF($J$10:$J$309,"&lt;"&amp;J234))</f>
        <v/>
      </c>
      <c r="I234" s="12" t="n">
        <f aca="false">IF(H234=1,1,0)</f>
        <v>0</v>
      </c>
      <c r="J234" s="23" t="n">
        <f aca="false">IF(F234=0,9000000000000000,G234+Cadastro!M229/100000)</f>
        <v>9000000000000000</v>
      </c>
    </row>
    <row r="235" customFormat="false" ht="15" hidden="false" customHeight="false" outlineLevel="0" collapsed="false">
      <c r="A235" s="17" t="str">
        <f aca="false">IF(Cadastro!A230="","",Cadastro!A230)</f>
        <v/>
      </c>
      <c r="B235" s="17" t="str">
        <f aca="false">IF(Cadastro!A230="","",Cadastro!B230)</f>
        <v/>
      </c>
      <c r="C235" s="17" t="str">
        <f aca="false">IF(Cadastro!A230="","",Cadastro!D230)</f>
        <v/>
      </c>
      <c r="D235" s="17" t="str">
        <f aca="false">IF(Cadastro!A230="","",Cadastro!F230)</f>
        <v/>
      </c>
      <c r="E235" s="17" t="str">
        <f aca="false">IF(Cadastro!A230="","",Cadastro!I230)</f>
        <v/>
      </c>
      <c r="F235" s="12" t="n">
        <f aca="false">IF(Cadastro!A230="",0,IF(AND(Cadastro!O230="Ativo",Cadastro!I230=$B$5,ISNUMBER(SEARCH($B$4,Cadastro!J230)),OR($B$6&lt;&gt;"S",Cadastro!E230="S"),OR($B$7&lt;&gt;"S",Cadastro!F230="S")),1,0))</f>
        <v>0</v>
      </c>
      <c r="G235" s="22" t="str">
        <f aca="false">IF(F235=0,"",IF(Cadastro!U230=0,0,Cadastro!X230))</f>
        <v/>
      </c>
      <c r="H235" s="12" t="str">
        <f aca="false">IF(F235=0,"",1+COUNTIF($J$10:$J$309,"&lt;"&amp;J235))</f>
        <v/>
      </c>
      <c r="I235" s="12" t="n">
        <f aca="false">IF(H235=1,1,0)</f>
        <v>0</v>
      </c>
      <c r="J235" s="23" t="n">
        <f aca="false">IF(F235=0,9000000000000000,G235+Cadastro!M230/100000)</f>
        <v>9000000000000000</v>
      </c>
    </row>
    <row r="236" customFormat="false" ht="15" hidden="false" customHeight="false" outlineLevel="0" collapsed="false">
      <c r="A236" s="17" t="str">
        <f aca="false">IF(Cadastro!A231="","",Cadastro!A231)</f>
        <v/>
      </c>
      <c r="B236" s="17" t="str">
        <f aca="false">IF(Cadastro!A231="","",Cadastro!B231)</f>
        <v/>
      </c>
      <c r="C236" s="17" t="str">
        <f aca="false">IF(Cadastro!A231="","",Cadastro!D231)</f>
        <v/>
      </c>
      <c r="D236" s="17" t="str">
        <f aca="false">IF(Cadastro!A231="","",Cadastro!F231)</f>
        <v/>
      </c>
      <c r="E236" s="17" t="str">
        <f aca="false">IF(Cadastro!A231="","",Cadastro!I231)</f>
        <v/>
      </c>
      <c r="F236" s="12" t="n">
        <f aca="false">IF(Cadastro!A231="",0,IF(AND(Cadastro!O231="Ativo",Cadastro!I231=$B$5,ISNUMBER(SEARCH($B$4,Cadastro!J231)),OR($B$6&lt;&gt;"S",Cadastro!E231="S"),OR($B$7&lt;&gt;"S",Cadastro!F231="S")),1,0))</f>
        <v>0</v>
      </c>
      <c r="G236" s="22" t="str">
        <f aca="false">IF(F236=0,"",IF(Cadastro!U231=0,0,Cadastro!X231))</f>
        <v/>
      </c>
      <c r="H236" s="12" t="str">
        <f aca="false">IF(F236=0,"",1+COUNTIF($J$10:$J$309,"&lt;"&amp;J236))</f>
        <v/>
      </c>
      <c r="I236" s="12" t="n">
        <f aca="false">IF(H236=1,1,0)</f>
        <v>0</v>
      </c>
      <c r="J236" s="23" t="n">
        <f aca="false">IF(F236=0,9000000000000000,G236+Cadastro!M231/100000)</f>
        <v>9000000000000000</v>
      </c>
    </row>
    <row r="237" customFormat="false" ht="15" hidden="false" customHeight="false" outlineLevel="0" collapsed="false">
      <c r="A237" s="17" t="str">
        <f aca="false">IF(Cadastro!A232="","",Cadastro!A232)</f>
        <v/>
      </c>
      <c r="B237" s="17" t="str">
        <f aca="false">IF(Cadastro!A232="","",Cadastro!B232)</f>
        <v/>
      </c>
      <c r="C237" s="17" t="str">
        <f aca="false">IF(Cadastro!A232="","",Cadastro!D232)</f>
        <v/>
      </c>
      <c r="D237" s="17" t="str">
        <f aca="false">IF(Cadastro!A232="","",Cadastro!F232)</f>
        <v/>
      </c>
      <c r="E237" s="17" t="str">
        <f aca="false">IF(Cadastro!A232="","",Cadastro!I232)</f>
        <v/>
      </c>
      <c r="F237" s="12" t="n">
        <f aca="false">IF(Cadastro!A232="",0,IF(AND(Cadastro!O232="Ativo",Cadastro!I232=$B$5,ISNUMBER(SEARCH($B$4,Cadastro!J232)),OR($B$6&lt;&gt;"S",Cadastro!E232="S"),OR($B$7&lt;&gt;"S",Cadastro!F232="S")),1,0))</f>
        <v>0</v>
      </c>
      <c r="G237" s="22" t="str">
        <f aca="false">IF(F237=0,"",IF(Cadastro!U232=0,0,Cadastro!X232))</f>
        <v/>
      </c>
      <c r="H237" s="12" t="str">
        <f aca="false">IF(F237=0,"",1+COUNTIF($J$10:$J$309,"&lt;"&amp;J237))</f>
        <v/>
      </c>
      <c r="I237" s="12" t="n">
        <f aca="false">IF(H237=1,1,0)</f>
        <v>0</v>
      </c>
      <c r="J237" s="23" t="n">
        <f aca="false">IF(F237=0,9000000000000000,G237+Cadastro!M232/100000)</f>
        <v>9000000000000000</v>
      </c>
    </row>
    <row r="238" customFormat="false" ht="15" hidden="false" customHeight="false" outlineLevel="0" collapsed="false">
      <c r="A238" s="17" t="str">
        <f aca="false">IF(Cadastro!A233="","",Cadastro!A233)</f>
        <v/>
      </c>
      <c r="B238" s="17" t="str">
        <f aca="false">IF(Cadastro!A233="","",Cadastro!B233)</f>
        <v/>
      </c>
      <c r="C238" s="17" t="str">
        <f aca="false">IF(Cadastro!A233="","",Cadastro!D233)</f>
        <v/>
      </c>
      <c r="D238" s="17" t="str">
        <f aca="false">IF(Cadastro!A233="","",Cadastro!F233)</f>
        <v/>
      </c>
      <c r="E238" s="17" t="str">
        <f aca="false">IF(Cadastro!A233="","",Cadastro!I233)</f>
        <v/>
      </c>
      <c r="F238" s="12" t="n">
        <f aca="false">IF(Cadastro!A233="",0,IF(AND(Cadastro!O233="Ativo",Cadastro!I233=$B$5,ISNUMBER(SEARCH($B$4,Cadastro!J233)),OR($B$6&lt;&gt;"S",Cadastro!E233="S"),OR($B$7&lt;&gt;"S",Cadastro!F233="S")),1,0))</f>
        <v>0</v>
      </c>
      <c r="G238" s="22" t="str">
        <f aca="false">IF(F238=0,"",IF(Cadastro!U233=0,0,Cadastro!X233))</f>
        <v/>
      </c>
      <c r="H238" s="12" t="str">
        <f aca="false">IF(F238=0,"",1+COUNTIF($J$10:$J$309,"&lt;"&amp;J238))</f>
        <v/>
      </c>
      <c r="I238" s="12" t="n">
        <f aca="false">IF(H238=1,1,0)</f>
        <v>0</v>
      </c>
      <c r="J238" s="23" t="n">
        <f aca="false">IF(F238=0,9000000000000000,G238+Cadastro!M233/100000)</f>
        <v>9000000000000000</v>
      </c>
    </row>
    <row r="239" customFormat="false" ht="15" hidden="false" customHeight="false" outlineLevel="0" collapsed="false">
      <c r="A239" s="17" t="str">
        <f aca="false">IF(Cadastro!A234="","",Cadastro!A234)</f>
        <v/>
      </c>
      <c r="B239" s="17" t="str">
        <f aca="false">IF(Cadastro!A234="","",Cadastro!B234)</f>
        <v/>
      </c>
      <c r="C239" s="17" t="str">
        <f aca="false">IF(Cadastro!A234="","",Cadastro!D234)</f>
        <v/>
      </c>
      <c r="D239" s="17" t="str">
        <f aca="false">IF(Cadastro!A234="","",Cadastro!F234)</f>
        <v/>
      </c>
      <c r="E239" s="17" t="str">
        <f aca="false">IF(Cadastro!A234="","",Cadastro!I234)</f>
        <v/>
      </c>
      <c r="F239" s="12" t="n">
        <f aca="false">IF(Cadastro!A234="",0,IF(AND(Cadastro!O234="Ativo",Cadastro!I234=$B$5,ISNUMBER(SEARCH($B$4,Cadastro!J234)),OR($B$6&lt;&gt;"S",Cadastro!E234="S"),OR($B$7&lt;&gt;"S",Cadastro!F234="S")),1,0))</f>
        <v>0</v>
      </c>
      <c r="G239" s="22" t="str">
        <f aca="false">IF(F239=0,"",IF(Cadastro!U234=0,0,Cadastro!X234))</f>
        <v/>
      </c>
      <c r="H239" s="12" t="str">
        <f aca="false">IF(F239=0,"",1+COUNTIF($J$10:$J$309,"&lt;"&amp;J239))</f>
        <v/>
      </c>
      <c r="I239" s="12" t="n">
        <f aca="false">IF(H239=1,1,0)</f>
        <v>0</v>
      </c>
      <c r="J239" s="23" t="n">
        <f aca="false">IF(F239=0,9000000000000000,G239+Cadastro!M234/100000)</f>
        <v>9000000000000000</v>
      </c>
    </row>
    <row r="240" customFormat="false" ht="15" hidden="false" customHeight="false" outlineLevel="0" collapsed="false">
      <c r="A240" s="17" t="str">
        <f aca="false">IF(Cadastro!A235="","",Cadastro!A235)</f>
        <v/>
      </c>
      <c r="B240" s="17" t="str">
        <f aca="false">IF(Cadastro!A235="","",Cadastro!B235)</f>
        <v/>
      </c>
      <c r="C240" s="17" t="str">
        <f aca="false">IF(Cadastro!A235="","",Cadastro!D235)</f>
        <v/>
      </c>
      <c r="D240" s="17" t="str">
        <f aca="false">IF(Cadastro!A235="","",Cadastro!F235)</f>
        <v/>
      </c>
      <c r="E240" s="17" t="str">
        <f aca="false">IF(Cadastro!A235="","",Cadastro!I235)</f>
        <v/>
      </c>
      <c r="F240" s="12" t="n">
        <f aca="false">IF(Cadastro!A235="",0,IF(AND(Cadastro!O235="Ativo",Cadastro!I235=$B$5,ISNUMBER(SEARCH($B$4,Cadastro!J235)),OR($B$6&lt;&gt;"S",Cadastro!E235="S"),OR($B$7&lt;&gt;"S",Cadastro!F235="S")),1,0))</f>
        <v>0</v>
      </c>
      <c r="G240" s="22" t="str">
        <f aca="false">IF(F240=0,"",IF(Cadastro!U235=0,0,Cadastro!X235))</f>
        <v/>
      </c>
      <c r="H240" s="12" t="str">
        <f aca="false">IF(F240=0,"",1+COUNTIF($J$10:$J$309,"&lt;"&amp;J240))</f>
        <v/>
      </c>
      <c r="I240" s="12" t="n">
        <f aca="false">IF(H240=1,1,0)</f>
        <v>0</v>
      </c>
      <c r="J240" s="23" t="n">
        <f aca="false">IF(F240=0,9000000000000000,G240+Cadastro!M235/100000)</f>
        <v>9000000000000000</v>
      </c>
    </row>
    <row r="241" customFormat="false" ht="15" hidden="false" customHeight="false" outlineLevel="0" collapsed="false">
      <c r="A241" s="17" t="str">
        <f aca="false">IF(Cadastro!A236="","",Cadastro!A236)</f>
        <v/>
      </c>
      <c r="B241" s="17" t="str">
        <f aca="false">IF(Cadastro!A236="","",Cadastro!B236)</f>
        <v/>
      </c>
      <c r="C241" s="17" t="str">
        <f aca="false">IF(Cadastro!A236="","",Cadastro!D236)</f>
        <v/>
      </c>
      <c r="D241" s="17" t="str">
        <f aca="false">IF(Cadastro!A236="","",Cadastro!F236)</f>
        <v/>
      </c>
      <c r="E241" s="17" t="str">
        <f aca="false">IF(Cadastro!A236="","",Cadastro!I236)</f>
        <v/>
      </c>
      <c r="F241" s="12" t="n">
        <f aca="false">IF(Cadastro!A236="",0,IF(AND(Cadastro!O236="Ativo",Cadastro!I236=$B$5,ISNUMBER(SEARCH($B$4,Cadastro!J236)),OR($B$6&lt;&gt;"S",Cadastro!E236="S"),OR($B$7&lt;&gt;"S",Cadastro!F236="S")),1,0))</f>
        <v>0</v>
      </c>
      <c r="G241" s="22" t="str">
        <f aca="false">IF(F241=0,"",IF(Cadastro!U236=0,0,Cadastro!X236))</f>
        <v/>
      </c>
      <c r="H241" s="12" t="str">
        <f aca="false">IF(F241=0,"",1+COUNTIF($J$10:$J$309,"&lt;"&amp;J241))</f>
        <v/>
      </c>
      <c r="I241" s="12" t="n">
        <f aca="false">IF(H241=1,1,0)</f>
        <v>0</v>
      </c>
      <c r="J241" s="23" t="n">
        <f aca="false">IF(F241=0,9000000000000000,G241+Cadastro!M236/100000)</f>
        <v>9000000000000000</v>
      </c>
    </row>
    <row r="242" customFormat="false" ht="15" hidden="false" customHeight="false" outlineLevel="0" collapsed="false">
      <c r="A242" s="17" t="str">
        <f aca="false">IF(Cadastro!A237="","",Cadastro!A237)</f>
        <v/>
      </c>
      <c r="B242" s="17" t="str">
        <f aca="false">IF(Cadastro!A237="","",Cadastro!B237)</f>
        <v/>
      </c>
      <c r="C242" s="17" t="str">
        <f aca="false">IF(Cadastro!A237="","",Cadastro!D237)</f>
        <v/>
      </c>
      <c r="D242" s="17" t="str">
        <f aca="false">IF(Cadastro!A237="","",Cadastro!F237)</f>
        <v/>
      </c>
      <c r="E242" s="17" t="str">
        <f aca="false">IF(Cadastro!A237="","",Cadastro!I237)</f>
        <v/>
      </c>
      <c r="F242" s="12" t="n">
        <f aca="false">IF(Cadastro!A237="",0,IF(AND(Cadastro!O237="Ativo",Cadastro!I237=$B$5,ISNUMBER(SEARCH($B$4,Cadastro!J237)),OR($B$6&lt;&gt;"S",Cadastro!E237="S"),OR($B$7&lt;&gt;"S",Cadastro!F237="S")),1,0))</f>
        <v>0</v>
      </c>
      <c r="G242" s="22" t="str">
        <f aca="false">IF(F242=0,"",IF(Cadastro!U237=0,0,Cadastro!X237))</f>
        <v/>
      </c>
      <c r="H242" s="12" t="str">
        <f aca="false">IF(F242=0,"",1+COUNTIF($J$10:$J$309,"&lt;"&amp;J242))</f>
        <v/>
      </c>
      <c r="I242" s="12" t="n">
        <f aca="false">IF(H242=1,1,0)</f>
        <v>0</v>
      </c>
      <c r="J242" s="23" t="n">
        <f aca="false">IF(F242=0,9000000000000000,G242+Cadastro!M237/100000)</f>
        <v>9000000000000000</v>
      </c>
    </row>
    <row r="243" customFormat="false" ht="15" hidden="false" customHeight="false" outlineLevel="0" collapsed="false">
      <c r="A243" s="17" t="str">
        <f aca="false">IF(Cadastro!A238="","",Cadastro!A238)</f>
        <v/>
      </c>
      <c r="B243" s="17" t="str">
        <f aca="false">IF(Cadastro!A238="","",Cadastro!B238)</f>
        <v/>
      </c>
      <c r="C243" s="17" t="str">
        <f aca="false">IF(Cadastro!A238="","",Cadastro!D238)</f>
        <v/>
      </c>
      <c r="D243" s="17" t="str">
        <f aca="false">IF(Cadastro!A238="","",Cadastro!F238)</f>
        <v/>
      </c>
      <c r="E243" s="17" t="str">
        <f aca="false">IF(Cadastro!A238="","",Cadastro!I238)</f>
        <v/>
      </c>
      <c r="F243" s="12" t="n">
        <f aca="false">IF(Cadastro!A238="",0,IF(AND(Cadastro!O238="Ativo",Cadastro!I238=$B$5,ISNUMBER(SEARCH($B$4,Cadastro!J238)),OR($B$6&lt;&gt;"S",Cadastro!E238="S"),OR($B$7&lt;&gt;"S",Cadastro!F238="S")),1,0))</f>
        <v>0</v>
      </c>
      <c r="G243" s="22" t="str">
        <f aca="false">IF(F243=0,"",IF(Cadastro!U238=0,0,Cadastro!X238))</f>
        <v/>
      </c>
      <c r="H243" s="12" t="str">
        <f aca="false">IF(F243=0,"",1+COUNTIF($J$10:$J$309,"&lt;"&amp;J243))</f>
        <v/>
      </c>
      <c r="I243" s="12" t="n">
        <f aca="false">IF(H243=1,1,0)</f>
        <v>0</v>
      </c>
      <c r="J243" s="23" t="n">
        <f aca="false">IF(F243=0,9000000000000000,G243+Cadastro!M238/100000)</f>
        <v>9000000000000000</v>
      </c>
    </row>
    <row r="244" customFormat="false" ht="15" hidden="false" customHeight="false" outlineLevel="0" collapsed="false">
      <c r="A244" s="17" t="str">
        <f aca="false">IF(Cadastro!A239="","",Cadastro!A239)</f>
        <v/>
      </c>
      <c r="B244" s="17" t="str">
        <f aca="false">IF(Cadastro!A239="","",Cadastro!B239)</f>
        <v/>
      </c>
      <c r="C244" s="17" t="str">
        <f aca="false">IF(Cadastro!A239="","",Cadastro!D239)</f>
        <v/>
      </c>
      <c r="D244" s="17" t="str">
        <f aca="false">IF(Cadastro!A239="","",Cadastro!F239)</f>
        <v/>
      </c>
      <c r="E244" s="17" t="str">
        <f aca="false">IF(Cadastro!A239="","",Cadastro!I239)</f>
        <v/>
      </c>
      <c r="F244" s="12" t="n">
        <f aca="false">IF(Cadastro!A239="",0,IF(AND(Cadastro!O239="Ativo",Cadastro!I239=$B$5,ISNUMBER(SEARCH($B$4,Cadastro!J239)),OR($B$6&lt;&gt;"S",Cadastro!E239="S"),OR($B$7&lt;&gt;"S",Cadastro!F239="S")),1,0))</f>
        <v>0</v>
      </c>
      <c r="G244" s="22" t="str">
        <f aca="false">IF(F244=0,"",IF(Cadastro!U239=0,0,Cadastro!X239))</f>
        <v/>
      </c>
      <c r="H244" s="12" t="str">
        <f aca="false">IF(F244=0,"",1+COUNTIF($J$10:$J$309,"&lt;"&amp;J244))</f>
        <v/>
      </c>
      <c r="I244" s="12" t="n">
        <f aca="false">IF(H244=1,1,0)</f>
        <v>0</v>
      </c>
      <c r="J244" s="23" t="n">
        <f aca="false">IF(F244=0,9000000000000000,G244+Cadastro!M239/100000)</f>
        <v>9000000000000000</v>
      </c>
    </row>
    <row r="245" customFormat="false" ht="15" hidden="false" customHeight="false" outlineLevel="0" collapsed="false">
      <c r="A245" s="17" t="str">
        <f aca="false">IF(Cadastro!A240="","",Cadastro!A240)</f>
        <v/>
      </c>
      <c r="B245" s="17" t="str">
        <f aca="false">IF(Cadastro!A240="","",Cadastro!B240)</f>
        <v/>
      </c>
      <c r="C245" s="17" t="str">
        <f aca="false">IF(Cadastro!A240="","",Cadastro!D240)</f>
        <v/>
      </c>
      <c r="D245" s="17" t="str">
        <f aca="false">IF(Cadastro!A240="","",Cadastro!F240)</f>
        <v/>
      </c>
      <c r="E245" s="17" t="str">
        <f aca="false">IF(Cadastro!A240="","",Cadastro!I240)</f>
        <v/>
      </c>
      <c r="F245" s="12" t="n">
        <f aca="false">IF(Cadastro!A240="",0,IF(AND(Cadastro!O240="Ativo",Cadastro!I240=$B$5,ISNUMBER(SEARCH($B$4,Cadastro!J240)),OR($B$6&lt;&gt;"S",Cadastro!E240="S"),OR($B$7&lt;&gt;"S",Cadastro!F240="S")),1,0))</f>
        <v>0</v>
      </c>
      <c r="G245" s="22" t="str">
        <f aca="false">IF(F245=0,"",IF(Cadastro!U240=0,0,Cadastro!X240))</f>
        <v/>
      </c>
      <c r="H245" s="12" t="str">
        <f aca="false">IF(F245=0,"",1+COUNTIF($J$10:$J$309,"&lt;"&amp;J245))</f>
        <v/>
      </c>
      <c r="I245" s="12" t="n">
        <f aca="false">IF(H245=1,1,0)</f>
        <v>0</v>
      </c>
      <c r="J245" s="23" t="n">
        <f aca="false">IF(F245=0,9000000000000000,G245+Cadastro!M240/100000)</f>
        <v>9000000000000000</v>
      </c>
    </row>
    <row r="246" customFormat="false" ht="15" hidden="false" customHeight="false" outlineLevel="0" collapsed="false">
      <c r="A246" s="17" t="str">
        <f aca="false">IF(Cadastro!A241="","",Cadastro!A241)</f>
        <v/>
      </c>
      <c r="B246" s="17" t="str">
        <f aca="false">IF(Cadastro!A241="","",Cadastro!B241)</f>
        <v/>
      </c>
      <c r="C246" s="17" t="str">
        <f aca="false">IF(Cadastro!A241="","",Cadastro!D241)</f>
        <v/>
      </c>
      <c r="D246" s="17" t="str">
        <f aca="false">IF(Cadastro!A241="","",Cadastro!F241)</f>
        <v/>
      </c>
      <c r="E246" s="17" t="str">
        <f aca="false">IF(Cadastro!A241="","",Cadastro!I241)</f>
        <v/>
      </c>
      <c r="F246" s="12" t="n">
        <f aca="false">IF(Cadastro!A241="",0,IF(AND(Cadastro!O241="Ativo",Cadastro!I241=$B$5,ISNUMBER(SEARCH($B$4,Cadastro!J241)),OR($B$6&lt;&gt;"S",Cadastro!E241="S"),OR($B$7&lt;&gt;"S",Cadastro!F241="S")),1,0))</f>
        <v>0</v>
      </c>
      <c r="G246" s="22" t="str">
        <f aca="false">IF(F246=0,"",IF(Cadastro!U241=0,0,Cadastro!X241))</f>
        <v/>
      </c>
      <c r="H246" s="12" t="str">
        <f aca="false">IF(F246=0,"",1+COUNTIF($J$10:$J$309,"&lt;"&amp;J246))</f>
        <v/>
      </c>
      <c r="I246" s="12" t="n">
        <f aca="false">IF(H246=1,1,0)</f>
        <v>0</v>
      </c>
      <c r="J246" s="23" t="n">
        <f aca="false">IF(F246=0,9000000000000000,G246+Cadastro!M241/100000)</f>
        <v>9000000000000000</v>
      </c>
    </row>
    <row r="247" customFormat="false" ht="15" hidden="false" customHeight="false" outlineLevel="0" collapsed="false">
      <c r="A247" s="17" t="str">
        <f aca="false">IF(Cadastro!A242="","",Cadastro!A242)</f>
        <v/>
      </c>
      <c r="B247" s="17" t="str">
        <f aca="false">IF(Cadastro!A242="","",Cadastro!B242)</f>
        <v/>
      </c>
      <c r="C247" s="17" t="str">
        <f aca="false">IF(Cadastro!A242="","",Cadastro!D242)</f>
        <v/>
      </c>
      <c r="D247" s="17" t="str">
        <f aca="false">IF(Cadastro!A242="","",Cadastro!F242)</f>
        <v/>
      </c>
      <c r="E247" s="17" t="str">
        <f aca="false">IF(Cadastro!A242="","",Cadastro!I242)</f>
        <v/>
      </c>
      <c r="F247" s="12" t="n">
        <f aca="false">IF(Cadastro!A242="",0,IF(AND(Cadastro!O242="Ativo",Cadastro!I242=$B$5,ISNUMBER(SEARCH($B$4,Cadastro!J242)),OR($B$6&lt;&gt;"S",Cadastro!E242="S"),OR($B$7&lt;&gt;"S",Cadastro!F242="S")),1,0))</f>
        <v>0</v>
      </c>
      <c r="G247" s="22" t="str">
        <f aca="false">IF(F247=0,"",IF(Cadastro!U242=0,0,Cadastro!X242))</f>
        <v/>
      </c>
      <c r="H247" s="12" t="str">
        <f aca="false">IF(F247=0,"",1+COUNTIF($J$10:$J$309,"&lt;"&amp;J247))</f>
        <v/>
      </c>
      <c r="I247" s="12" t="n">
        <f aca="false">IF(H247=1,1,0)</f>
        <v>0</v>
      </c>
      <c r="J247" s="23" t="n">
        <f aca="false">IF(F247=0,9000000000000000,G247+Cadastro!M242/100000)</f>
        <v>9000000000000000</v>
      </c>
    </row>
    <row r="248" customFormat="false" ht="15" hidden="false" customHeight="false" outlineLevel="0" collapsed="false">
      <c r="A248" s="17" t="str">
        <f aca="false">IF(Cadastro!A243="","",Cadastro!A243)</f>
        <v/>
      </c>
      <c r="B248" s="17" t="str">
        <f aca="false">IF(Cadastro!A243="","",Cadastro!B243)</f>
        <v/>
      </c>
      <c r="C248" s="17" t="str">
        <f aca="false">IF(Cadastro!A243="","",Cadastro!D243)</f>
        <v/>
      </c>
      <c r="D248" s="17" t="str">
        <f aca="false">IF(Cadastro!A243="","",Cadastro!F243)</f>
        <v/>
      </c>
      <c r="E248" s="17" t="str">
        <f aca="false">IF(Cadastro!A243="","",Cadastro!I243)</f>
        <v/>
      </c>
      <c r="F248" s="12" t="n">
        <f aca="false">IF(Cadastro!A243="",0,IF(AND(Cadastro!O243="Ativo",Cadastro!I243=$B$5,ISNUMBER(SEARCH($B$4,Cadastro!J243)),OR($B$6&lt;&gt;"S",Cadastro!E243="S"),OR($B$7&lt;&gt;"S",Cadastro!F243="S")),1,0))</f>
        <v>0</v>
      </c>
      <c r="G248" s="22" t="str">
        <f aca="false">IF(F248=0,"",IF(Cadastro!U243=0,0,Cadastro!X243))</f>
        <v/>
      </c>
      <c r="H248" s="12" t="str">
        <f aca="false">IF(F248=0,"",1+COUNTIF($J$10:$J$309,"&lt;"&amp;J248))</f>
        <v/>
      </c>
      <c r="I248" s="12" t="n">
        <f aca="false">IF(H248=1,1,0)</f>
        <v>0</v>
      </c>
      <c r="J248" s="23" t="n">
        <f aca="false">IF(F248=0,9000000000000000,G248+Cadastro!M243/100000)</f>
        <v>9000000000000000</v>
      </c>
    </row>
    <row r="249" customFormat="false" ht="15" hidden="false" customHeight="false" outlineLevel="0" collapsed="false">
      <c r="A249" s="17" t="str">
        <f aca="false">IF(Cadastro!A244="","",Cadastro!A244)</f>
        <v/>
      </c>
      <c r="B249" s="17" t="str">
        <f aca="false">IF(Cadastro!A244="","",Cadastro!B244)</f>
        <v/>
      </c>
      <c r="C249" s="17" t="str">
        <f aca="false">IF(Cadastro!A244="","",Cadastro!D244)</f>
        <v/>
      </c>
      <c r="D249" s="17" t="str">
        <f aca="false">IF(Cadastro!A244="","",Cadastro!F244)</f>
        <v/>
      </c>
      <c r="E249" s="17" t="str">
        <f aca="false">IF(Cadastro!A244="","",Cadastro!I244)</f>
        <v/>
      </c>
      <c r="F249" s="12" t="n">
        <f aca="false">IF(Cadastro!A244="",0,IF(AND(Cadastro!O244="Ativo",Cadastro!I244=$B$5,ISNUMBER(SEARCH($B$4,Cadastro!J244)),OR($B$6&lt;&gt;"S",Cadastro!E244="S"),OR($B$7&lt;&gt;"S",Cadastro!F244="S")),1,0))</f>
        <v>0</v>
      </c>
      <c r="G249" s="22" t="str">
        <f aca="false">IF(F249=0,"",IF(Cadastro!U244=0,0,Cadastro!X244))</f>
        <v/>
      </c>
      <c r="H249" s="12" t="str">
        <f aca="false">IF(F249=0,"",1+COUNTIF($J$10:$J$309,"&lt;"&amp;J249))</f>
        <v/>
      </c>
      <c r="I249" s="12" t="n">
        <f aca="false">IF(H249=1,1,0)</f>
        <v>0</v>
      </c>
      <c r="J249" s="23" t="n">
        <f aca="false">IF(F249=0,9000000000000000,G249+Cadastro!M244/100000)</f>
        <v>9000000000000000</v>
      </c>
    </row>
    <row r="250" customFormat="false" ht="15" hidden="false" customHeight="false" outlineLevel="0" collapsed="false">
      <c r="A250" s="17" t="str">
        <f aca="false">IF(Cadastro!A245="","",Cadastro!A245)</f>
        <v/>
      </c>
      <c r="B250" s="17" t="str">
        <f aca="false">IF(Cadastro!A245="","",Cadastro!B245)</f>
        <v/>
      </c>
      <c r="C250" s="17" t="str">
        <f aca="false">IF(Cadastro!A245="","",Cadastro!D245)</f>
        <v/>
      </c>
      <c r="D250" s="17" t="str">
        <f aca="false">IF(Cadastro!A245="","",Cadastro!F245)</f>
        <v/>
      </c>
      <c r="E250" s="17" t="str">
        <f aca="false">IF(Cadastro!A245="","",Cadastro!I245)</f>
        <v/>
      </c>
      <c r="F250" s="12" t="n">
        <f aca="false">IF(Cadastro!A245="",0,IF(AND(Cadastro!O245="Ativo",Cadastro!I245=$B$5,ISNUMBER(SEARCH($B$4,Cadastro!J245)),OR($B$6&lt;&gt;"S",Cadastro!E245="S"),OR($B$7&lt;&gt;"S",Cadastro!F245="S")),1,0))</f>
        <v>0</v>
      </c>
      <c r="G250" s="22" t="str">
        <f aca="false">IF(F250=0,"",IF(Cadastro!U245=0,0,Cadastro!X245))</f>
        <v/>
      </c>
      <c r="H250" s="12" t="str">
        <f aca="false">IF(F250=0,"",1+COUNTIF($J$10:$J$309,"&lt;"&amp;J250))</f>
        <v/>
      </c>
      <c r="I250" s="12" t="n">
        <f aca="false">IF(H250=1,1,0)</f>
        <v>0</v>
      </c>
      <c r="J250" s="23" t="n">
        <f aca="false">IF(F250=0,9000000000000000,G250+Cadastro!M245/100000)</f>
        <v>9000000000000000</v>
      </c>
    </row>
    <row r="251" customFormat="false" ht="15" hidden="false" customHeight="false" outlineLevel="0" collapsed="false">
      <c r="A251" s="17" t="str">
        <f aca="false">IF(Cadastro!A246="","",Cadastro!A246)</f>
        <v/>
      </c>
      <c r="B251" s="17" t="str">
        <f aca="false">IF(Cadastro!A246="","",Cadastro!B246)</f>
        <v/>
      </c>
      <c r="C251" s="17" t="str">
        <f aca="false">IF(Cadastro!A246="","",Cadastro!D246)</f>
        <v/>
      </c>
      <c r="D251" s="17" t="str">
        <f aca="false">IF(Cadastro!A246="","",Cadastro!F246)</f>
        <v/>
      </c>
      <c r="E251" s="17" t="str">
        <f aca="false">IF(Cadastro!A246="","",Cadastro!I246)</f>
        <v/>
      </c>
      <c r="F251" s="12" t="n">
        <f aca="false">IF(Cadastro!A246="",0,IF(AND(Cadastro!O246="Ativo",Cadastro!I246=$B$5,ISNUMBER(SEARCH($B$4,Cadastro!J246)),OR($B$6&lt;&gt;"S",Cadastro!E246="S"),OR($B$7&lt;&gt;"S",Cadastro!F246="S")),1,0))</f>
        <v>0</v>
      </c>
      <c r="G251" s="22" t="str">
        <f aca="false">IF(F251=0,"",IF(Cadastro!U246=0,0,Cadastro!X246))</f>
        <v/>
      </c>
      <c r="H251" s="12" t="str">
        <f aca="false">IF(F251=0,"",1+COUNTIF($J$10:$J$309,"&lt;"&amp;J251))</f>
        <v/>
      </c>
      <c r="I251" s="12" t="n">
        <f aca="false">IF(H251=1,1,0)</f>
        <v>0</v>
      </c>
      <c r="J251" s="23" t="n">
        <f aca="false">IF(F251=0,9000000000000000,G251+Cadastro!M246/100000)</f>
        <v>9000000000000000</v>
      </c>
    </row>
    <row r="252" customFormat="false" ht="15" hidden="false" customHeight="false" outlineLevel="0" collapsed="false">
      <c r="A252" s="17" t="str">
        <f aca="false">IF(Cadastro!A247="","",Cadastro!A247)</f>
        <v/>
      </c>
      <c r="B252" s="17" t="str">
        <f aca="false">IF(Cadastro!A247="","",Cadastro!B247)</f>
        <v/>
      </c>
      <c r="C252" s="17" t="str">
        <f aca="false">IF(Cadastro!A247="","",Cadastro!D247)</f>
        <v/>
      </c>
      <c r="D252" s="17" t="str">
        <f aca="false">IF(Cadastro!A247="","",Cadastro!F247)</f>
        <v/>
      </c>
      <c r="E252" s="17" t="str">
        <f aca="false">IF(Cadastro!A247="","",Cadastro!I247)</f>
        <v/>
      </c>
      <c r="F252" s="12" t="n">
        <f aca="false">IF(Cadastro!A247="",0,IF(AND(Cadastro!O247="Ativo",Cadastro!I247=$B$5,ISNUMBER(SEARCH($B$4,Cadastro!J247)),OR($B$6&lt;&gt;"S",Cadastro!E247="S"),OR($B$7&lt;&gt;"S",Cadastro!F247="S")),1,0))</f>
        <v>0</v>
      </c>
      <c r="G252" s="22" t="str">
        <f aca="false">IF(F252=0,"",IF(Cadastro!U247=0,0,Cadastro!X247))</f>
        <v/>
      </c>
      <c r="H252" s="12" t="str">
        <f aca="false">IF(F252=0,"",1+COUNTIF($J$10:$J$309,"&lt;"&amp;J252))</f>
        <v/>
      </c>
      <c r="I252" s="12" t="n">
        <f aca="false">IF(H252=1,1,0)</f>
        <v>0</v>
      </c>
      <c r="J252" s="23" t="n">
        <f aca="false">IF(F252=0,9000000000000000,G252+Cadastro!M247/100000)</f>
        <v>9000000000000000</v>
      </c>
    </row>
    <row r="253" customFormat="false" ht="15" hidden="false" customHeight="false" outlineLevel="0" collapsed="false">
      <c r="A253" s="17" t="str">
        <f aca="false">IF(Cadastro!A248="","",Cadastro!A248)</f>
        <v/>
      </c>
      <c r="B253" s="17" t="str">
        <f aca="false">IF(Cadastro!A248="","",Cadastro!B248)</f>
        <v/>
      </c>
      <c r="C253" s="17" t="str">
        <f aca="false">IF(Cadastro!A248="","",Cadastro!D248)</f>
        <v/>
      </c>
      <c r="D253" s="17" t="str">
        <f aca="false">IF(Cadastro!A248="","",Cadastro!F248)</f>
        <v/>
      </c>
      <c r="E253" s="17" t="str">
        <f aca="false">IF(Cadastro!A248="","",Cadastro!I248)</f>
        <v/>
      </c>
      <c r="F253" s="12" t="n">
        <f aca="false">IF(Cadastro!A248="",0,IF(AND(Cadastro!O248="Ativo",Cadastro!I248=$B$5,ISNUMBER(SEARCH($B$4,Cadastro!J248)),OR($B$6&lt;&gt;"S",Cadastro!E248="S"),OR($B$7&lt;&gt;"S",Cadastro!F248="S")),1,0))</f>
        <v>0</v>
      </c>
      <c r="G253" s="22" t="str">
        <f aca="false">IF(F253=0,"",IF(Cadastro!U248=0,0,Cadastro!X248))</f>
        <v/>
      </c>
      <c r="H253" s="12" t="str">
        <f aca="false">IF(F253=0,"",1+COUNTIF($J$10:$J$309,"&lt;"&amp;J253))</f>
        <v/>
      </c>
      <c r="I253" s="12" t="n">
        <f aca="false">IF(H253=1,1,0)</f>
        <v>0</v>
      </c>
      <c r="J253" s="23" t="n">
        <f aca="false">IF(F253=0,9000000000000000,G253+Cadastro!M248/100000)</f>
        <v>9000000000000000</v>
      </c>
    </row>
    <row r="254" customFormat="false" ht="15" hidden="false" customHeight="false" outlineLevel="0" collapsed="false">
      <c r="A254" s="17" t="str">
        <f aca="false">IF(Cadastro!A249="","",Cadastro!A249)</f>
        <v/>
      </c>
      <c r="B254" s="17" t="str">
        <f aca="false">IF(Cadastro!A249="","",Cadastro!B249)</f>
        <v/>
      </c>
      <c r="C254" s="17" t="str">
        <f aca="false">IF(Cadastro!A249="","",Cadastro!D249)</f>
        <v/>
      </c>
      <c r="D254" s="17" t="str">
        <f aca="false">IF(Cadastro!A249="","",Cadastro!F249)</f>
        <v/>
      </c>
      <c r="E254" s="17" t="str">
        <f aca="false">IF(Cadastro!A249="","",Cadastro!I249)</f>
        <v/>
      </c>
      <c r="F254" s="12" t="n">
        <f aca="false">IF(Cadastro!A249="",0,IF(AND(Cadastro!O249="Ativo",Cadastro!I249=$B$5,ISNUMBER(SEARCH($B$4,Cadastro!J249)),OR($B$6&lt;&gt;"S",Cadastro!E249="S"),OR($B$7&lt;&gt;"S",Cadastro!F249="S")),1,0))</f>
        <v>0</v>
      </c>
      <c r="G254" s="22" t="str">
        <f aca="false">IF(F254=0,"",IF(Cadastro!U249=0,0,Cadastro!X249))</f>
        <v/>
      </c>
      <c r="H254" s="12" t="str">
        <f aca="false">IF(F254=0,"",1+COUNTIF($J$10:$J$309,"&lt;"&amp;J254))</f>
        <v/>
      </c>
      <c r="I254" s="12" t="n">
        <f aca="false">IF(H254=1,1,0)</f>
        <v>0</v>
      </c>
      <c r="J254" s="23" t="n">
        <f aca="false">IF(F254=0,9000000000000000,G254+Cadastro!M249/100000)</f>
        <v>9000000000000000</v>
      </c>
    </row>
    <row r="255" customFormat="false" ht="15" hidden="false" customHeight="false" outlineLevel="0" collapsed="false">
      <c r="A255" s="17" t="str">
        <f aca="false">IF(Cadastro!A250="","",Cadastro!A250)</f>
        <v/>
      </c>
      <c r="B255" s="17" t="str">
        <f aca="false">IF(Cadastro!A250="","",Cadastro!B250)</f>
        <v/>
      </c>
      <c r="C255" s="17" t="str">
        <f aca="false">IF(Cadastro!A250="","",Cadastro!D250)</f>
        <v/>
      </c>
      <c r="D255" s="17" t="str">
        <f aca="false">IF(Cadastro!A250="","",Cadastro!F250)</f>
        <v/>
      </c>
      <c r="E255" s="17" t="str">
        <f aca="false">IF(Cadastro!A250="","",Cadastro!I250)</f>
        <v/>
      </c>
      <c r="F255" s="12" t="n">
        <f aca="false">IF(Cadastro!A250="",0,IF(AND(Cadastro!O250="Ativo",Cadastro!I250=$B$5,ISNUMBER(SEARCH($B$4,Cadastro!J250)),OR($B$6&lt;&gt;"S",Cadastro!E250="S"),OR($B$7&lt;&gt;"S",Cadastro!F250="S")),1,0))</f>
        <v>0</v>
      </c>
      <c r="G255" s="22" t="str">
        <f aca="false">IF(F255=0,"",IF(Cadastro!U250=0,0,Cadastro!X250))</f>
        <v/>
      </c>
      <c r="H255" s="12" t="str">
        <f aca="false">IF(F255=0,"",1+COUNTIF($J$10:$J$309,"&lt;"&amp;J255))</f>
        <v/>
      </c>
      <c r="I255" s="12" t="n">
        <f aca="false">IF(H255=1,1,0)</f>
        <v>0</v>
      </c>
      <c r="J255" s="23" t="n">
        <f aca="false">IF(F255=0,9000000000000000,G255+Cadastro!M250/100000)</f>
        <v>9000000000000000</v>
      </c>
    </row>
    <row r="256" customFormat="false" ht="15" hidden="false" customHeight="false" outlineLevel="0" collapsed="false">
      <c r="A256" s="17" t="str">
        <f aca="false">IF(Cadastro!A251="","",Cadastro!A251)</f>
        <v/>
      </c>
      <c r="B256" s="17" t="str">
        <f aca="false">IF(Cadastro!A251="","",Cadastro!B251)</f>
        <v/>
      </c>
      <c r="C256" s="17" t="str">
        <f aca="false">IF(Cadastro!A251="","",Cadastro!D251)</f>
        <v/>
      </c>
      <c r="D256" s="17" t="str">
        <f aca="false">IF(Cadastro!A251="","",Cadastro!F251)</f>
        <v/>
      </c>
      <c r="E256" s="17" t="str">
        <f aca="false">IF(Cadastro!A251="","",Cadastro!I251)</f>
        <v/>
      </c>
      <c r="F256" s="12" t="n">
        <f aca="false">IF(Cadastro!A251="",0,IF(AND(Cadastro!O251="Ativo",Cadastro!I251=$B$5,ISNUMBER(SEARCH($B$4,Cadastro!J251)),OR($B$6&lt;&gt;"S",Cadastro!E251="S"),OR($B$7&lt;&gt;"S",Cadastro!F251="S")),1,0))</f>
        <v>0</v>
      </c>
      <c r="G256" s="22" t="str">
        <f aca="false">IF(F256=0,"",IF(Cadastro!U251=0,0,Cadastro!X251))</f>
        <v/>
      </c>
      <c r="H256" s="12" t="str">
        <f aca="false">IF(F256=0,"",1+COUNTIF($J$10:$J$309,"&lt;"&amp;J256))</f>
        <v/>
      </c>
      <c r="I256" s="12" t="n">
        <f aca="false">IF(H256=1,1,0)</f>
        <v>0</v>
      </c>
      <c r="J256" s="23" t="n">
        <f aca="false">IF(F256=0,9000000000000000,G256+Cadastro!M251/100000)</f>
        <v>9000000000000000</v>
      </c>
    </row>
    <row r="257" customFormat="false" ht="15" hidden="false" customHeight="false" outlineLevel="0" collapsed="false">
      <c r="A257" s="17" t="str">
        <f aca="false">IF(Cadastro!A252="","",Cadastro!A252)</f>
        <v/>
      </c>
      <c r="B257" s="17" t="str">
        <f aca="false">IF(Cadastro!A252="","",Cadastro!B252)</f>
        <v/>
      </c>
      <c r="C257" s="17" t="str">
        <f aca="false">IF(Cadastro!A252="","",Cadastro!D252)</f>
        <v/>
      </c>
      <c r="D257" s="17" t="str">
        <f aca="false">IF(Cadastro!A252="","",Cadastro!F252)</f>
        <v/>
      </c>
      <c r="E257" s="17" t="str">
        <f aca="false">IF(Cadastro!A252="","",Cadastro!I252)</f>
        <v/>
      </c>
      <c r="F257" s="12" t="n">
        <f aca="false">IF(Cadastro!A252="",0,IF(AND(Cadastro!O252="Ativo",Cadastro!I252=$B$5,ISNUMBER(SEARCH($B$4,Cadastro!J252)),OR($B$6&lt;&gt;"S",Cadastro!E252="S"),OR($B$7&lt;&gt;"S",Cadastro!F252="S")),1,0))</f>
        <v>0</v>
      </c>
      <c r="G257" s="22" t="str">
        <f aca="false">IF(F257=0,"",IF(Cadastro!U252=0,0,Cadastro!X252))</f>
        <v/>
      </c>
      <c r="H257" s="12" t="str">
        <f aca="false">IF(F257=0,"",1+COUNTIF($J$10:$J$309,"&lt;"&amp;J257))</f>
        <v/>
      </c>
      <c r="I257" s="12" t="n">
        <f aca="false">IF(H257=1,1,0)</f>
        <v>0</v>
      </c>
      <c r="J257" s="23" t="n">
        <f aca="false">IF(F257=0,9000000000000000,G257+Cadastro!M252/100000)</f>
        <v>9000000000000000</v>
      </c>
    </row>
    <row r="258" customFormat="false" ht="15" hidden="false" customHeight="false" outlineLevel="0" collapsed="false">
      <c r="A258" s="17" t="str">
        <f aca="false">IF(Cadastro!A253="","",Cadastro!A253)</f>
        <v/>
      </c>
      <c r="B258" s="17" t="str">
        <f aca="false">IF(Cadastro!A253="","",Cadastro!B253)</f>
        <v/>
      </c>
      <c r="C258" s="17" t="str">
        <f aca="false">IF(Cadastro!A253="","",Cadastro!D253)</f>
        <v/>
      </c>
      <c r="D258" s="17" t="str">
        <f aca="false">IF(Cadastro!A253="","",Cadastro!F253)</f>
        <v/>
      </c>
      <c r="E258" s="17" t="str">
        <f aca="false">IF(Cadastro!A253="","",Cadastro!I253)</f>
        <v/>
      </c>
      <c r="F258" s="12" t="n">
        <f aca="false">IF(Cadastro!A253="",0,IF(AND(Cadastro!O253="Ativo",Cadastro!I253=$B$5,ISNUMBER(SEARCH($B$4,Cadastro!J253)),OR($B$6&lt;&gt;"S",Cadastro!E253="S"),OR($B$7&lt;&gt;"S",Cadastro!F253="S")),1,0))</f>
        <v>0</v>
      </c>
      <c r="G258" s="22" t="str">
        <f aca="false">IF(F258=0,"",IF(Cadastro!U253=0,0,Cadastro!X253))</f>
        <v/>
      </c>
      <c r="H258" s="12" t="str">
        <f aca="false">IF(F258=0,"",1+COUNTIF($J$10:$J$309,"&lt;"&amp;J258))</f>
        <v/>
      </c>
      <c r="I258" s="12" t="n">
        <f aca="false">IF(H258=1,1,0)</f>
        <v>0</v>
      </c>
      <c r="J258" s="23" t="n">
        <f aca="false">IF(F258=0,9000000000000000,G258+Cadastro!M253/100000)</f>
        <v>9000000000000000</v>
      </c>
    </row>
    <row r="259" customFormat="false" ht="15" hidden="false" customHeight="false" outlineLevel="0" collapsed="false">
      <c r="A259" s="17" t="str">
        <f aca="false">IF(Cadastro!A254="","",Cadastro!A254)</f>
        <v/>
      </c>
      <c r="B259" s="17" t="str">
        <f aca="false">IF(Cadastro!A254="","",Cadastro!B254)</f>
        <v/>
      </c>
      <c r="C259" s="17" t="str">
        <f aca="false">IF(Cadastro!A254="","",Cadastro!D254)</f>
        <v/>
      </c>
      <c r="D259" s="17" t="str">
        <f aca="false">IF(Cadastro!A254="","",Cadastro!F254)</f>
        <v/>
      </c>
      <c r="E259" s="17" t="str">
        <f aca="false">IF(Cadastro!A254="","",Cadastro!I254)</f>
        <v/>
      </c>
      <c r="F259" s="12" t="n">
        <f aca="false">IF(Cadastro!A254="",0,IF(AND(Cadastro!O254="Ativo",Cadastro!I254=$B$5,ISNUMBER(SEARCH($B$4,Cadastro!J254)),OR($B$6&lt;&gt;"S",Cadastro!E254="S"),OR($B$7&lt;&gt;"S",Cadastro!F254="S")),1,0))</f>
        <v>0</v>
      </c>
      <c r="G259" s="22" t="str">
        <f aca="false">IF(F259=0,"",IF(Cadastro!U254=0,0,Cadastro!X254))</f>
        <v/>
      </c>
      <c r="H259" s="12" t="str">
        <f aca="false">IF(F259=0,"",1+COUNTIF($J$10:$J$309,"&lt;"&amp;J259))</f>
        <v/>
      </c>
      <c r="I259" s="12" t="n">
        <f aca="false">IF(H259=1,1,0)</f>
        <v>0</v>
      </c>
      <c r="J259" s="23" t="n">
        <f aca="false">IF(F259=0,9000000000000000,G259+Cadastro!M254/100000)</f>
        <v>9000000000000000</v>
      </c>
    </row>
    <row r="260" customFormat="false" ht="15" hidden="false" customHeight="false" outlineLevel="0" collapsed="false">
      <c r="A260" s="17" t="str">
        <f aca="false">IF(Cadastro!A255="","",Cadastro!A255)</f>
        <v/>
      </c>
      <c r="B260" s="17" t="str">
        <f aca="false">IF(Cadastro!A255="","",Cadastro!B255)</f>
        <v/>
      </c>
      <c r="C260" s="17" t="str">
        <f aca="false">IF(Cadastro!A255="","",Cadastro!D255)</f>
        <v/>
      </c>
      <c r="D260" s="17" t="str">
        <f aca="false">IF(Cadastro!A255="","",Cadastro!F255)</f>
        <v/>
      </c>
      <c r="E260" s="17" t="str">
        <f aca="false">IF(Cadastro!A255="","",Cadastro!I255)</f>
        <v/>
      </c>
      <c r="F260" s="12" t="n">
        <f aca="false">IF(Cadastro!A255="",0,IF(AND(Cadastro!O255="Ativo",Cadastro!I255=$B$5,ISNUMBER(SEARCH($B$4,Cadastro!J255)),OR($B$6&lt;&gt;"S",Cadastro!E255="S"),OR($B$7&lt;&gt;"S",Cadastro!F255="S")),1,0))</f>
        <v>0</v>
      </c>
      <c r="G260" s="22" t="str">
        <f aca="false">IF(F260=0,"",IF(Cadastro!U255=0,0,Cadastro!X255))</f>
        <v/>
      </c>
      <c r="H260" s="12" t="str">
        <f aca="false">IF(F260=0,"",1+COUNTIF($J$10:$J$309,"&lt;"&amp;J260))</f>
        <v/>
      </c>
      <c r="I260" s="12" t="n">
        <f aca="false">IF(H260=1,1,0)</f>
        <v>0</v>
      </c>
      <c r="J260" s="23" t="n">
        <f aca="false">IF(F260=0,9000000000000000,G260+Cadastro!M255/100000)</f>
        <v>9000000000000000</v>
      </c>
    </row>
    <row r="261" customFormat="false" ht="15" hidden="false" customHeight="false" outlineLevel="0" collapsed="false">
      <c r="A261" s="17" t="str">
        <f aca="false">IF(Cadastro!A256="","",Cadastro!A256)</f>
        <v/>
      </c>
      <c r="B261" s="17" t="str">
        <f aca="false">IF(Cadastro!A256="","",Cadastro!B256)</f>
        <v/>
      </c>
      <c r="C261" s="17" t="str">
        <f aca="false">IF(Cadastro!A256="","",Cadastro!D256)</f>
        <v/>
      </c>
      <c r="D261" s="17" t="str">
        <f aca="false">IF(Cadastro!A256="","",Cadastro!F256)</f>
        <v/>
      </c>
      <c r="E261" s="17" t="str">
        <f aca="false">IF(Cadastro!A256="","",Cadastro!I256)</f>
        <v/>
      </c>
      <c r="F261" s="12" t="n">
        <f aca="false">IF(Cadastro!A256="",0,IF(AND(Cadastro!O256="Ativo",Cadastro!I256=$B$5,ISNUMBER(SEARCH($B$4,Cadastro!J256)),OR($B$6&lt;&gt;"S",Cadastro!E256="S"),OR($B$7&lt;&gt;"S",Cadastro!F256="S")),1,0))</f>
        <v>0</v>
      </c>
      <c r="G261" s="22" t="str">
        <f aca="false">IF(F261=0,"",IF(Cadastro!U256=0,0,Cadastro!X256))</f>
        <v/>
      </c>
      <c r="H261" s="12" t="str">
        <f aca="false">IF(F261=0,"",1+COUNTIF($J$10:$J$309,"&lt;"&amp;J261))</f>
        <v/>
      </c>
      <c r="I261" s="12" t="n">
        <f aca="false">IF(H261=1,1,0)</f>
        <v>0</v>
      </c>
      <c r="J261" s="23" t="n">
        <f aca="false">IF(F261=0,9000000000000000,G261+Cadastro!M256/100000)</f>
        <v>9000000000000000</v>
      </c>
    </row>
    <row r="262" customFormat="false" ht="15" hidden="false" customHeight="false" outlineLevel="0" collapsed="false">
      <c r="A262" s="17" t="str">
        <f aca="false">IF(Cadastro!A257="","",Cadastro!A257)</f>
        <v/>
      </c>
      <c r="B262" s="17" t="str">
        <f aca="false">IF(Cadastro!A257="","",Cadastro!B257)</f>
        <v/>
      </c>
      <c r="C262" s="17" t="str">
        <f aca="false">IF(Cadastro!A257="","",Cadastro!D257)</f>
        <v/>
      </c>
      <c r="D262" s="17" t="str">
        <f aca="false">IF(Cadastro!A257="","",Cadastro!F257)</f>
        <v/>
      </c>
      <c r="E262" s="17" t="str">
        <f aca="false">IF(Cadastro!A257="","",Cadastro!I257)</f>
        <v/>
      </c>
      <c r="F262" s="12" t="n">
        <f aca="false">IF(Cadastro!A257="",0,IF(AND(Cadastro!O257="Ativo",Cadastro!I257=$B$5,ISNUMBER(SEARCH($B$4,Cadastro!J257)),OR($B$6&lt;&gt;"S",Cadastro!E257="S"),OR($B$7&lt;&gt;"S",Cadastro!F257="S")),1,0))</f>
        <v>0</v>
      </c>
      <c r="G262" s="22" t="str">
        <f aca="false">IF(F262=0,"",IF(Cadastro!U257=0,0,Cadastro!X257))</f>
        <v/>
      </c>
      <c r="H262" s="12" t="str">
        <f aca="false">IF(F262=0,"",1+COUNTIF($J$10:$J$309,"&lt;"&amp;J262))</f>
        <v/>
      </c>
      <c r="I262" s="12" t="n">
        <f aca="false">IF(H262=1,1,0)</f>
        <v>0</v>
      </c>
      <c r="J262" s="23" t="n">
        <f aca="false">IF(F262=0,9000000000000000,G262+Cadastro!M257/100000)</f>
        <v>9000000000000000</v>
      </c>
    </row>
    <row r="263" customFormat="false" ht="15" hidden="false" customHeight="false" outlineLevel="0" collapsed="false">
      <c r="A263" s="17" t="str">
        <f aca="false">IF(Cadastro!A258="","",Cadastro!A258)</f>
        <v/>
      </c>
      <c r="B263" s="17" t="str">
        <f aca="false">IF(Cadastro!A258="","",Cadastro!B258)</f>
        <v/>
      </c>
      <c r="C263" s="17" t="str">
        <f aca="false">IF(Cadastro!A258="","",Cadastro!D258)</f>
        <v/>
      </c>
      <c r="D263" s="17" t="str">
        <f aca="false">IF(Cadastro!A258="","",Cadastro!F258)</f>
        <v/>
      </c>
      <c r="E263" s="17" t="str">
        <f aca="false">IF(Cadastro!A258="","",Cadastro!I258)</f>
        <v/>
      </c>
      <c r="F263" s="12" t="n">
        <f aca="false">IF(Cadastro!A258="",0,IF(AND(Cadastro!O258="Ativo",Cadastro!I258=$B$5,ISNUMBER(SEARCH($B$4,Cadastro!J258)),OR($B$6&lt;&gt;"S",Cadastro!E258="S"),OR($B$7&lt;&gt;"S",Cadastro!F258="S")),1,0))</f>
        <v>0</v>
      </c>
      <c r="G263" s="22" t="str">
        <f aca="false">IF(F263=0,"",IF(Cadastro!U258=0,0,Cadastro!X258))</f>
        <v/>
      </c>
      <c r="H263" s="12" t="str">
        <f aca="false">IF(F263=0,"",1+COUNTIF($J$10:$J$309,"&lt;"&amp;J263))</f>
        <v/>
      </c>
      <c r="I263" s="12" t="n">
        <f aca="false">IF(H263=1,1,0)</f>
        <v>0</v>
      </c>
      <c r="J263" s="23" t="n">
        <f aca="false">IF(F263=0,9000000000000000,G263+Cadastro!M258/100000)</f>
        <v>9000000000000000</v>
      </c>
    </row>
    <row r="264" customFormat="false" ht="15" hidden="false" customHeight="false" outlineLevel="0" collapsed="false">
      <c r="A264" s="17" t="str">
        <f aca="false">IF(Cadastro!A259="","",Cadastro!A259)</f>
        <v/>
      </c>
      <c r="B264" s="17" t="str">
        <f aca="false">IF(Cadastro!A259="","",Cadastro!B259)</f>
        <v/>
      </c>
      <c r="C264" s="17" t="str">
        <f aca="false">IF(Cadastro!A259="","",Cadastro!D259)</f>
        <v/>
      </c>
      <c r="D264" s="17" t="str">
        <f aca="false">IF(Cadastro!A259="","",Cadastro!F259)</f>
        <v/>
      </c>
      <c r="E264" s="17" t="str">
        <f aca="false">IF(Cadastro!A259="","",Cadastro!I259)</f>
        <v/>
      </c>
      <c r="F264" s="12" t="n">
        <f aca="false">IF(Cadastro!A259="",0,IF(AND(Cadastro!O259="Ativo",Cadastro!I259=$B$5,ISNUMBER(SEARCH($B$4,Cadastro!J259)),OR($B$6&lt;&gt;"S",Cadastro!E259="S"),OR($B$7&lt;&gt;"S",Cadastro!F259="S")),1,0))</f>
        <v>0</v>
      </c>
      <c r="G264" s="22" t="str">
        <f aca="false">IF(F264=0,"",IF(Cadastro!U259=0,0,Cadastro!X259))</f>
        <v/>
      </c>
      <c r="H264" s="12" t="str">
        <f aca="false">IF(F264=0,"",1+COUNTIF($J$10:$J$309,"&lt;"&amp;J264))</f>
        <v/>
      </c>
      <c r="I264" s="12" t="n">
        <f aca="false">IF(H264=1,1,0)</f>
        <v>0</v>
      </c>
      <c r="J264" s="23" t="n">
        <f aca="false">IF(F264=0,9000000000000000,G264+Cadastro!M259/100000)</f>
        <v>9000000000000000</v>
      </c>
    </row>
    <row r="265" customFormat="false" ht="15" hidden="false" customHeight="false" outlineLevel="0" collapsed="false">
      <c r="A265" s="17" t="str">
        <f aca="false">IF(Cadastro!A260="","",Cadastro!A260)</f>
        <v/>
      </c>
      <c r="B265" s="17" t="str">
        <f aca="false">IF(Cadastro!A260="","",Cadastro!B260)</f>
        <v/>
      </c>
      <c r="C265" s="17" t="str">
        <f aca="false">IF(Cadastro!A260="","",Cadastro!D260)</f>
        <v/>
      </c>
      <c r="D265" s="17" t="str">
        <f aca="false">IF(Cadastro!A260="","",Cadastro!F260)</f>
        <v/>
      </c>
      <c r="E265" s="17" t="str">
        <f aca="false">IF(Cadastro!A260="","",Cadastro!I260)</f>
        <v/>
      </c>
      <c r="F265" s="12" t="n">
        <f aca="false">IF(Cadastro!A260="",0,IF(AND(Cadastro!O260="Ativo",Cadastro!I260=$B$5,ISNUMBER(SEARCH($B$4,Cadastro!J260)),OR($B$6&lt;&gt;"S",Cadastro!E260="S"),OR($B$7&lt;&gt;"S",Cadastro!F260="S")),1,0))</f>
        <v>0</v>
      </c>
      <c r="G265" s="22" t="str">
        <f aca="false">IF(F265=0,"",IF(Cadastro!U260=0,0,Cadastro!X260))</f>
        <v/>
      </c>
      <c r="H265" s="12" t="str">
        <f aca="false">IF(F265=0,"",1+COUNTIF($J$10:$J$309,"&lt;"&amp;J265))</f>
        <v/>
      </c>
      <c r="I265" s="12" t="n">
        <f aca="false">IF(H265=1,1,0)</f>
        <v>0</v>
      </c>
      <c r="J265" s="23" t="n">
        <f aca="false">IF(F265=0,9000000000000000,G265+Cadastro!M260/100000)</f>
        <v>9000000000000000</v>
      </c>
    </row>
    <row r="266" customFormat="false" ht="15" hidden="false" customHeight="false" outlineLevel="0" collapsed="false">
      <c r="A266" s="17" t="str">
        <f aca="false">IF(Cadastro!A261="","",Cadastro!A261)</f>
        <v/>
      </c>
      <c r="B266" s="17" t="str">
        <f aca="false">IF(Cadastro!A261="","",Cadastro!B261)</f>
        <v/>
      </c>
      <c r="C266" s="17" t="str">
        <f aca="false">IF(Cadastro!A261="","",Cadastro!D261)</f>
        <v/>
      </c>
      <c r="D266" s="17" t="str">
        <f aca="false">IF(Cadastro!A261="","",Cadastro!F261)</f>
        <v/>
      </c>
      <c r="E266" s="17" t="str">
        <f aca="false">IF(Cadastro!A261="","",Cadastro!I261)</f>
        <v/>
      </c>
      <c r="F266" s="12" t="n">
        <f aca="false">IF(Cadastro!A261="",0,IF(AND(Cadastro!O261="Ativo",Cadastro!I261=$B$5,ISNUMBER(SEARCH($B$4,Cadastro!J261)),OR($B$6&lt;&gt;"S",Cadastro!E261="S"),OR($B$7&lt;&gt;"S",Cadastro!F261="S")),1,0))</f>
        <v>0</v>
      </c>
      <c r="G266" s="22" t="str">
        <f aca="false">IF(F266=0,"",IF(Cadastro!U261=0,0,Cadastro!X261))</f>
        <v/>
      </c>
      <c r="H266" s="12" t="str">
        <f aca="false">IF(F266=0,"",1+COUNTIF($J$10:$J$309,"&lt;"&amp;J266))</f>
        <v/>
      </c>
      <c r="I266" s="12" t="n">
        <f aca="false">IF(H266=1,1,0)</f>
        <v>0</v>
      </c>
      <c r="J266" s="23" t="n">
        <f aca="false">IF(F266=0,9000000000000000,G266+Cadastro!M261/100000)</f>
        <v>9000000000000000</v>
      </c>
    </row>
    <row r="267" customFormat="false" ht="15" hidden="false" customHeight="false" outlineLevel="0" collapsed="false">
      <c r="A267" s="17" t="str">
        <f aca="false">IF(Cadastro!A262="","",Cadastro!A262)</f>
        <v/>
      </c>
      <c r="B267" s="17" t="str">
        <f aca="false">IF(Cadastro!A262="","",Cadastro!B262)</f>
        <v/>
      </c>
      <c r="C267" s="17" t="str">
        <f aca="false">IF(Cadastro!A262="","",Cadastro!D262)</f>
        <v/>
      </c>
      <c r="D267" s="17" t="str">
        <f aca="false">IF(Cadastro!A262="","",Cadastro!F262)</f>
        <v/>
      </c>
      <c r="E267" s="17" t="str">
        <f aca="false">IF(Cadastro!A262="","",Cadastro!I262)</f>
        <v/>
      </c>
      <c r="F267" s="12" t="n">
        <f aca="false">IF(Cadastro!A262="",0,IF(AND(Cadastro!O262="Ativo",Cadastro!I262=$B$5,ISNUMBER(SEARCH($B$4,Cadastro!J262)),OR($B$6&lt;&gt;"S",Cadastro!E262="S"),OR($B$7&lt;&gt;"S",Cadastro!F262="S")),1,0))</f>
        <v>0</v>
      </c>
      <c r="G267" s="22" t="str">
        <f aca="false">IF(F267=0,"",IF(Cadastro!U262=0,0,Cadastro!X262))</f>
        <v/>
      </c>
      <c r="H267" s="12" t="str">
        <f aca="false">IF(F267=0,"",1+COUNTIF($J$10:$J$309,"&lt;"&amp;J267))</f>
        <v/>
      </c>
      <c r="I267" s="12" t="n">
        <f aca="false">IF(H267=1,1,0)</f>
        <v>0</v>
      </c>
      <c r="J267" s="23" t="n">
        <f aca="false">IF(F267=0,9000000000000000,G267+Cadastro!M262/100000)</f>
        <v>9000000000000000</v>
      </c>
    </row>
    <row r="268" customFormat="false" ht="15" hidden="false" customHeight="false" outlineLevel="0" collapsed="false">
      <c r="A268" s="17" t="str">
        <f aca="false">IF(Cadastro!A263="","",Cadastro!A263)</f>
        <v/>
      </c>
      <c r="B268" s="17" t="str">
        <f aca="false">IF(Cadastro!A263="","",Cadastro!B263)</f>
        <v/>
      </c>
      <c r="C268" s="17" t="str">
        <f aca="false">IF(Cadastro!A263="","",Cadastro!D263)</f>
        <v/>
      </c>
      <c r="D268" s="17" t="str">
        <f aca="false">IF(Cadastro!A263="","",Cadastro!F263)</f>
        <v/>
      </c>
      <c r="E268" s="17" t="str">
        <f aca="false">IF(Cadastro!A263="","",Cadastro!I263)</f>
        <v/>
      </c>
      <c r="F268" s="12" t="n">
        <f aca="false">IF(Cadastro!A263="",0,IF(AND(Cadastro!O263="Ativo",Cadastro!I263=$B$5,ISNUMBER(SEARCH($B$4,Cadastro!J263)),OR($B$6&lt;&gt;"S",Cadastro!E263="S"),OR($B$7&lt;&gt;"S",Cadastro!F263="S")),1,0))</f>
        <v>0</v>
      </c>
      <c r="G268" s="22" t="str">
        <f aca="false">IF(F268=0,"",IF(Cadastro!U263=0,0,Cadastro!X263))</f>
        <v/>
      </c>
      <c r="H268" s="12" t="str">
        <f aca="false">IF(F268=0,"",1+COUNTIF($J$10:$J$309,"&lt;"&amp;J268))</f>
        <v/>
      </c>
      <c r="I268" s="12" t="n">
        <f aca="false">IF(H268=1,1,0)</f>
        <v>0</v>
      </c>
      <c r="J268" s="23" t="n">
        <f aca="false">IF(F268=0,9000000000000000,G268+Cadastro!M263/100000)</f>
        <v>9000000000000000</v>
      </c>
    </row>
    <row r="269" customFormat="false" ht="15" hidden="false" customHeight="false" outlineLevel="0" collapsed="false">
      <c r="A269" s="17" t="str">
        <f aca="false">IF(Cadastro!A264="","",Cadastro!A264)</f>
        <v/>
      </c>
      <c r="B269" s="17" t="str">
        <f aca="false">IF(Cadastro!A264="","",Cadastro!B264)</f>
        <v/>
      </c>
      <c r="C269" s="17" t="str">
        <f aca="false">IF(Cadastro!A264="","",Cadastro!D264)</f>
        <v/>
      </c>
      <c r="D269" s="17" t="str">
        <f aca="false">IF(Cadastro!A264="","",Cadastro!F264)</f>
        <v/>
      </c>
      <c r="E269" s="17" t="str">
        <f aca="false">IF(Cadastro!A264="","",Cadastro!I264)</f>
        <v/>
      </c>
      <c r="F269" s="12" t="n">
        <f aca="false">IF(Cadastro!A264="",0,IF(AND(Cadastro!O264="Ativo",Cadastro!I264=$B$5,ISNUMBER(SEARCH($B$4,Cadastro!J264)),OR($B$6&lt;&gt;"S",Cadastro!E264="S"),OR($B$7&lt;&gt;"S",Cadastro!F264="S")),1,0))</f>
        <v>0</v>
      </c>
      <c r="G269" s="22" t="str">
        <f aca="false">IF(F269=0,"",IF(Cadastro!U264=0,0,Cadastro!X264))</f>
        <v/>
      </c>
      <c r="H269" s="12" t="str">
        <f aca="false">IF(F269=0,"",1+COUNTIF($J$10:$J$309,"&lt;"&amp;J269))</f>
        <v/>
      </c>
      <c r="I269" s="12" t="n">
        <f aca="false">IF(H269=1,1,0)</f>
        <v>0</v>
      </c>
      <c r="J269" s="23" t="n">
        <f aca="false">IF(F269=0,9000000000000000,G269+Cadastro!M264/100000)</f>
        <v>9000000000000000</v>
      </c>
    </row>
    <row r="270" customFormat="false" ht="15" hidden="false" customHeight="false" outlineLevel="0" collapsed="false">
      <c r="A270" s="17" t="str">
        <f aca="false">IF(Cadastro!A265="","",Cadastro!A265)</f>
        <v/>
      </c>
      <c r="B270" s="17" t="str">
        <f aca="false">IF(Cadastro!A265="","",Cadastro!B265)</f>
        <v/>
      </c>
      <c r="C270" s="17" t="str">
        <f aca="false">IF(Cadastro!A265="","",Cadastro!D265)</f>
        <v/>
      </c>
      <c r="D270" s="17" t="str">
        <f aca="false">IF(Cadastro!A265="","",Cadastro!F265)</f>
        <v/>
      </c>
      <c r="E270" s="17" t="str">
        <f aca="false">IF(Cadastro!A265="","",Cadastro!I265)</f>
        <v/>
      </c>
      <c r="F270" s="12" t="n">
        <f aca="false">IF(Cadastro!A265="",0,IF(AND(Cadastro!O265="Ativo",Cadastro!I265=$B$5,ISNUMBER(SEARCH($B$4,Cadastro!J265)),OR($B$6&lt;&gt;"S",Cadastro!E265="S"),OR($B$7&lt;&gt;"S",Cadastro!F265="S")),1,0))</f>
        <v>0</v>
      </c>
      <c r="G270" s="22" t="str">
        <f aca="false">IF(F270=0,"",IF(Cadastro!U265=0,0,Cadastro!X265))</f>
        <v/>
      </c>
      <c r="H270" s="12" t="str">
        <f aca="false">IF(F270=0,"",1+COUNTIF($J$10:$J$309,"&lt;"&amp;J270))</f>
        <v/>
      </c>
      <c r="I270" s="12" t="n">
        <f aca="false">IF(H270=1,1,0)</f>
        <v>0</v>
      </c>
      <c r="J270" s="23" t="n">
        <f aca="false">IF(F270=0,9000000000000000,G270+Cadastro!M265/100000)</f>
        <v>9000000000000000</v>
      </c>
    </row>
    <row r="271" customFormat="false" ht="15" hidden="false" customHeight="false" outlineLevel="0" collapsed="false">
      <c r="A271" s="17" t="str">
        <f aca="false">IF(Cadastro!A266="","",Cadastro!A266)</f>
        <v/>
      </c>
      <c r="B271" s="17" t="str">
        <f aca="false">IF(Cadastro!A266="","",Cadastro!B266)</f>
        <v/>
      </c>
      <c r="C271" s="17" t="str">
        <f aca="false">IF(Cadastro!A266="","",Cadastro!D266)</f>
        <v/>
      </c>
      <c r="D271" s="17" t="str">
        <f aca="false">IF(Cadastro!A266="","",Cadastro!F266)</f>
        <v/>
      </c>
      <c r="E271" s="17" t="str">
        <f aca="false">IF(Cadastro!A266="","",Cadastro!I266)</f>
        <v/>
      </c>
      <c r="F271" s="12" t="n">
        <f aca="false">IF(Cadastro!A266="",0,IF(AND(Cadastro!O266="Ativo",Cadastro!I266=$B$5,ISNUMBER(SEARCH($B$4,Cadastro!J266)),OR($B$6&lt;&gt;"S",Cadastro!E266="S"),OR($B$7&lt;&gt;"S",Cadastro!F266="S")),1,0))</f>
        <v>0</v>
      </c>
      <c r="G271" s="22" t="str">
        <f aca="false">IF(F271=0,"",IF(Cadastro!U266=0,0,Cadastro!X266))</f>
        <v/>
      </c>
      <c r="H271" s="12" t="str">
        <f aca="false">IF(F271=0,"",1+COUNTIF($J$10:$J$309,"&lt;"&amp;J271))</f>
        <v/>
      </c>
      <c r="I271" s="12" t="n">
        <f aca="false">IF(H271=1,1,0)</f>
        <v>0</v>
      </c>
      <c r="J271" s="23" t="n">
        <f aca="false">IF(F271=0,9000000000000000,G271+Cadastro!M266/100000)</f>
        <v>9000000000000000</v>
      </c>
    </row>
    <row r="272" customFormat="false" ht="15" hidden="false" customHeight="false" outlineLevel="0" collapsed="false">
      <c r="A272" s="17" t="str">
        <f aca="false">IF(Cadastro!A267="","",Cadastro!A267)</f>
        <v/>
      </c>
      <c r="B272" s="17" t="str">
        <f aca="false">IF(Cadastro!A267="","",Cadastro!B267)</f>
        <v/>
      </c>
      <c r="C272" s="17" t="str">
        <f aca="false">IF(Cadastro!A267="","",Cadastro!D267)</f>
        <v/>
      </c>
      <c r="D272" s="17" t="str">
        <f aca="false">IF(Cadastro!A267="","",Cadastro!F267)</f>
        <v/>
      </c>
      <c r="E272" s="17" t="str">
        <f aca="false">IF(Cadastro!A267="","",Cadastro!I267)</f>
        <v/>
      </c>
      <c r="F272" s="12" t="n">
        <f aca="false">IF(Cadastro!A267="",0,IF(AND(Cadastro!O267="Ativo",Cadastro!I267=$B$5,ISNUMBER(SEARCH($B$4,Cadastro!J267)),OR($B$6&lt;&gt;"S",Cadastro!E267="S"),OR($B$7&lt;&gt;"S",Cadastro!F267="S")),1,0))</f>
        <v>0</v>
      </c>
      <c r="G272" s="22" t="str">
        <f aca="false">IF(F272=0,"",IF(Cadastro!U267=0,0,Cadastro!X267))</f>
        <v/>
      </c>
      <c r="H272" s="12" t="str">
        <f aca="false">IF(F272=0,"",1+COUNTIF($J$10:$J$309,"&lt;"&amp;J272))</f>
        <v/>
      </c>
      <c r="I272" s="12" t="n">
        <f aca="false">IF(H272=1,1,0)</f>
        <v>0</v>
      </c>
      <c r="J272" s="23" t="n">
        <f aca="false">IF(F272=0,9000000000000000,G272+Cadastro!M267/100000)</f>
        <v>9000000000000000</v>
      </c>
    </row>
    <row r="273" customFormat="false" ht="15" hidden="false" customHeight="false" outlineLevel="0" collapsed="false">
      <c r="A273" s="17" t="str">
        <f aca="false">IF(Cadastro!A268="","",Cadastro!A268)</f>
        <v/>
      </c>
      <c r="B273" s="17" t="str">
        <f aca="false">IF(Cadastro!A268="","",Cadastro!B268)</f>
        <v/>
      </c>
      <c r="C273" s="17" t="str">
        <f aca="false">IF(Cadastro!A268="","",Cadastro!D268)</f>
        <v/>
      </c>
      <c r="D273" s="17" t="str">
        <f aca="false">IF(Cadastro!A268="","",Cadastro!F268)</f>
        <v/>
      </c>
      <c r="E273" s="17" t="str">
        <f aca="false">IF(Cadastro!A268="","",Cadastro!I268)</f>
        <v/>
      </c>
      <c r="F273" s="12" t="n">
        <f aca="false">IF(Cadastro!A268="",0,IF(AND(Cadastro!O268="Ativo",Cadastro!I268=$B$5,ISNUMBER(SEARCH($B$4,Cadastro!J268)),OR($B$6&lt;&gt;"S",Cadastro!E268="S"),OR($B$7&lt;&gt;"S",Cadastro!F268="S")),1,0))</f>
        <v>0</v>
      </c>
      <c r="G273" s="22" t="str">
        <f aca="false">IF(F273=0,"",IF(Cadastro!U268=0,0,Cadastro!X268))</f>
        <v/>
      </c>
      <c r="H273" s="12" t="str">
        <f aca="false">IF(F273=0,"",1+COUNTIF($J$10:$J$309,"&lt;"&amp;J273))</f>
        <v/>
      </c>
      <c r="I273" s="12" t="n">
        <f aca="false">IF(H273=1,1,0)</f>
        <v>0</v>
      </c>
      <c r="J273" s="23" t="n">
        <f aca="false">IF(F273=0,9000000000000000,G273+Cadastro!M268/100000)</f>
        <v>9000000000000000</v>
      </c>
    </row>
    <row r="274" customFormat="false" ht="15" hidden="false" customHeight="false" outlineLevel="0" collapsed="false">
      <c r="A274" s="17" t="str">
        <f aca="false">IF(Cadastro!A269="","",Cadastro!A269)</f>
        <v/>
      </c>
      <c r="B274" s="17" t="str">
        <f aca="false">IF(Cadastro!A269="","",Cadastro!B269)</f>
        <v/>
      </c>
      <c r="C274" s="17" t="str">
        <f aca="false">IF(Cadastro!A269="","",Cadastro!D269)</f>
        <v/>
      </c>
      <c r="D274" s="17" t="str">
        <f aca="false">IF(Cadastro!A269="","",Cadastro!F269)</f>
        <v/>
      </c>
      <c r="E274" s="17" t="str">
        <f aca="false">IF(Cadastro!A269="","",Cadastro!I269)</f>
        <v/>
      </c>
      <c r="F274" s="12" t="n">
        <f aca="false">IF(Cadastro!A269="",0,IF(AND(Cadastro!O269="Ativo",Cadastro!I269=$B$5,ISNUMBER(SEARCH($B$4,Cadastro!J269)),OR($B$6&lt;&gt;"S",Cadastro!E269="S"),OR($B$7&lt;&gt;"S",Cadastro!F269="S")),1,0))</f>
        <v>0</v>
      </c>
      <c r="G274" s="22" t="str">
        <f aca="false">IF(F274=0,"",IF(Cadastro!U269=0,0,Cadastro!X269))</f>
        <v/>
      </c>
      <c r="H274" s="12" t="str">
        <f aca="false">IF(F274=0,"",1+COUNTIF($J$10:$J$309,"&lt;"&amp;J274))</f>
        <v/>
      </c>
      <c r="I274" s="12" t="n">
        <f aca="false">IF(H274=1,1,0)</f>
        <v>0</v>
      </c>
      <c r="J274" s="23" t="n">
        <f aca="false">IF(F274=0,9000000000000000,G274+Cadastro!M269/100000)</f>
        <v>9000000000000000</v>
      </c>
    </row>
    <row r="275" customFormat="false" ht="15" hidden="false" customHeight="false" outlineLevel="0" collapsed="false">
      <c r="A275" s="17" t="str">
        <f aca="false">IF(Cadastro!A270="","",Cadastro!A270)</f>
        <v/>
      </c>
      <c r="B275" s="17" t="str">
        <f aca="false">IF(Cadastro!A270="","",Cadastro!B270)</f>
        <v/>
      </c>
      <c r="C275" s="17" t="str">
        <f aca="false">IF(Cadastro!A270="","",Cadastro!D270)</f>
        <v/>
      </c>
      <c r="D275" s="17" t="str">
        <f aca="false">IF(Cadastro!A270="","",Cadastro!F270)</f>
        <v/>
      </c>
      <c r="E275" s="17" t="str">
        <f aca="false">IF(Cadastro!A270="","",Cadastro!I270)</f>
        <v/>
      </c>
      <c r="F275" s="12" t="n">
        <f aca="false">IF(Cadastro!A270="",0,IF(AND(Cadastro!O270="Ativo",Cadastro!I270=$B$5,ISNUMBER(SEARCH($B$4,Cadastro!J270)),OR($B$6&lt;&gt;"S",Cadastro!E270="S"),OR($B$7&lt;&gt;"S",Cadastro!F270="S")),1,0))</f>
        <v>0</v>
      </c>
      <c r="G275" s="22" t="str">
        <f aca="false">IF(F275=0,"",IF(Cadastro!U270=0,0,Cadastro!X270))</f>
        <v/>
      </c>
      <c r="H275" s="12" t="str">
        <f aca="false">IF(F275=0,"",1+COUNTIF($J$10:$J$309,"&lt;"&amp;J275))</f>
        <v/>
      </c>
      <c r="I275" s="12" t="n">
        <f aca="false">IF(H275=1,1,0)</f>
        <v>0</v>
      </c>
      <c r="J275" s="23" t="n">
        <f aca="false">IF(F275=0,9000000000000000,G275+Cadastro!M270/100000)</f>
        <v>9000000000000000</v>
      </c>
    </row>
    <row r="276" customFormat="false" ht="15" hidden="false" customHeight="false" outlineLevel="0" collapsed="false">
      <c r="A276" s="17" t="str">
        <f aca="false">IF(Cadastro!A271="","",Cadastro!A271)</f>
        <v/>
      </c>
      <c r="B276" s="17" t="str">
        <f aca="false">IF(Cadastro!A271="","",Cadastro!B271)</f>
        <v/>
      </c>
      <c r="C276" s="17" t="str">
        <f aca="false">IF(Cadastro!A271="","",Cadastro!D271)</f>
        <v/>
      </c>
      <c r="D276" s="17" t="str">
        <f aca="false">IF(Cadastro!A271="","",Cadastro!F271)</f>
        <v/>
      </c>
      <c r="E276" s="17" t="str">
        <f aca="false">IF(Cadastro!A271="","",Cadastro!I271)</f>
        <v/>
      </c>
      <c r="F276" s="12" t="n">
        <f aca="false">IF(Cadastro!A271="",0,IF(AND(Cadastro!O271="Ativo",Cadastro!I271=$B$5,ISNUMBER(SEARCH($B$4,Cadastro!J271)),OR($B$6&lt;&gt;"S",Cadastro!E271="S"),OR($B$7&lt;&gt;"S",Cadastro!F271="S")),1,0))</f>
        <v>0</v>
      </c>
      <c r="G276" s="22" t="str">
        <f aca="false">IF(F276=0,"",IF(Cadastro!U271=0,0,Cadastro!X271))</f>
        <v/>
      </c>
      <c r="H276" s="12" t="str">
        <f aca="false">IF(F276=0,"",1+COUNTIF($J$10:$J$309,"&lt;"&amp;J276))</f>
        <v/>
      </c>
      <c r="I276" s="12" t="n">
        <f aca="false">IF(H276=1,1,0)</f>
        <v>0</v>
      </c>
      <c r="J276" s="23" t="n">
        <f aca="false">IF(F276=0,9000000000000000,G276+Cadastro!M271/100000)</f>
        <v>9000000000000000</v>
      </c>
    </row>
    <row r="277" customFormat="false" ht="15" hidden="false" customHeight="false" outlineLevel="0" collapsed="false">
      <c r="A277" s="17" t="str">
        <f aca="false">IF(Cadastro!A272="","",Cadastro!A272)</f>
        <v/>
      </c>
      <c r="B277" s="17" t="str">
        <f aca="false">IF(Cadastro!A272="","",Cadastro!B272)</f>
        <v/>
      </c>
      <c r="C277" s="17" t="str">
        <f aca="false">IF(Cadastro!A272="","",Cadastro!D272)</f>
        <v/>
      </c>
      <c r="D277" s="17" t="str">
        <f aca="false">IF(Cadastro!A272="","",Cadastro!F272)</f>
        <v/>
      </c>
      <c r="E277" s="17" t="str">
        <f aca="false">IF(Cadastro!A272="","",Cadastro!I272)</f>
        <v/>
      </c>
      <c r="F277" s="12" t="n">
        <f aca="false">IF(Cadastro!A272="",0,IF(AND(Cadastro!O272="Ativo",Cadastro!I272=$B$5,ISNUMBER(SEARCH($B$4,Cadastro!J272)),OR($B$6&lt;&gt;"S",Cadastro!E272="S"),OR($B$7&lt;&gt;"S",Cadastro!F272="S")),1,0))</f>
        <v>0</v>
      </c>
      <c r="G277" s="22" t="str">
        <f aca="false">IF(F277=0,"",IF(Cadastro!U272=0,0,Cadastro!X272))</f>
        <v/>
      </c>
      <c r="H277" s="12" t="str">
        <f aca="false">IF(F277=0,"",1+COUNTIF($J$10:$J$309,"&lt;"&amp;J277))</f>
        <v/>
      </c>
      <c r="I277" s="12" t="n">
        <f aca="false">IF(H277=1,1,0)</f>
        <v>0</v>
      </c>
      <c r="J277" s="23" t="n">
        <f aca="false">IF(F277=0,9000000000000000,G277+Cadastro!M272/100000)</f>
        <v>9000000000000000</v>
      </c>
    </row>
    <row r="278" customFormat="false" ht="15" hidden="false" customHeight="false" outlineLevel="0" collapsed="false">
      <c r="A278" s="17" t="str">
        <f aca="false">IF(Cadastro!A273="","",Cadastro!A273)</f>
        <v/>
      </c>
      <c r="B278" s="17" t="str">
        <f aca="false">IF(Cadastro!A273="","",Cadastro!B273)</f>
        <v/>
      </c>
      <c r="C278" s="17" t="str">
        <f aca="false">IF(Cadastro!A273="","",Cadastro!D273)</f>
        <v/>
      </c>
      <c r="D278" s="17" t="str">
        <f aca="false">IF(Cadastro!A273="","",Cadastro!F273)</f>
        <v/>
      </c>
      <c r="E278" s="17" t="str">
        <f aca="false">IF(Cadastro!A273="","",Cadastro!I273)</f>
        <v/>
      </c>
      <c r="F278" s="12" t="n">
        <f aca="false">IF(Cadastro!A273="",0,IF(AND(Cadastro!O273="Ativo",Cadastro!I273=$B$5,ISNUMBER(SEARCH($B$4,Cadastro!J273)),OR($B$6&lt;&gt;"S",Cadastro!E273="S"),OR($B$7&lt;&gt;"S",Cadastro!F273="S")),1,0))</f>
        <v>0</v>
      </c>
      <c r="G278" s="22" t="str">
        <f aca="false">IF(F278=0,"",IF(Cadastro!U273=0,0,Cadastro!X273))</f>
        <v/>
      </c>
      <c r="H278" s="12" t="str">
        <f aca="false">IF(F278=0,"",1+COUNTIF($J$10:$J$309,"&lt;"&amp;J278))</f>
        <v/>
      </c>
      <c r="I278" s="12" t="n">
        <f aca="false">IF(H278=1,1,0)</f>
        <v>0</v>
      </c>
      <c r="J278" s="23" t="n">
        <f aca="false">IF(F278=0,9000000000000000,G278+Cadastro!M273/100000)</f>
        <v>9000000000000000</v>
      </c>
    </row>
    <row r="279" customFormat="false" ht="15" hidden="false" customHeight="false" outlineLevel="0" collapsed="false">
      <c r="A279" s="17" t="str">
        <f aca="false">IF(Cadastro!A274="","",Cadastro!A274)</f>
        <v/>
      </c>
      <c r="B279" s="17" t="str">
        <f aca="false">IF(Cadastro!A274="","",Cadastro!B274)</f>
        <v/>
      </c>
      <c r="C279" s="17" t="str">
        <f aca="false">IF(Cadastro!A274="","",Cadastro!D274)</f>
        <v/>
      </c>
      <c r="D279" s="17" t="str">
        <f aca="false">IF(Cadastro!A274="","",Cadastro!F274)</f>
        <v/>
      </c>
      <c r="E279" s="17" t="str">
        <f aca="false">IF(Cadastro!A274="","",Cadastro!I274)</f>
        <v/>
      </c>
      <c r="F279" s="12" t="n">
        <f aca="false">IF(Cadastro!A274="",0,IF(AND(Cadastro!O274="Ativo",Cadastro!I274=$B$5,ISNUMBER(SEARCH($B$4,Cadastro!J274)),OR($B$6&lt;&gt;"S",Cadastro!E274="S"),OR($B$7&lt;&gt;"S",Cadastro!F274="S")),1,0))</f>
        <v>0</v>
      </c>
      <c r="G279" s="22" t="str">
        <f aca="false">IF(F279=0,"",IF(Cadastro!U274=0,0,Cadastro!X274))</f>
        <v/>
      </c>
      <c r="H279" s="12" t="str">
        <f aca="false">IF(F279=0,"",1+COUNTIF($J$10:$J$309,"&lt;"&amp;J279))</f>
        <v/>
      </c>
      <c r="I279" s="12" t="n">
        <f aca="false">IF(H279=1,1,0)</f>
        <v>0</v>
      </c>
      <c r="J279" s="23" t="n">
        <f aca="false">IF(F279=0,9000000000000000,G279+Cadastro!M274/100000)</f>
        <v>9000000000000000</v>
      </c>
    </row>
    <row r="280" customFormat="false" ht="15" hidden="false" customHeight="false" outlineLevel="0" collapsed="false">
      <c r="A280" s="17" t="str">
        <f aca="false">IF(Cadastro!A275="","",Cadastro!A275)</f>
        <v/>
      </c>
      <c r="B280" s="17" t="str">
        <f aca="false">IF(Cadastro!A275="","",Cadastro!B275)</f>
        <v/>
      </c>
      <c r="C280" s="17" t="str">
        <f aca="false">IF(Cadastro!A275="","",Cadastro!D275)</f>
        <v/>
      </c>
      <c r="D280" s="17" t="str">
        <f aca="false">IF(Cadastro!A275="","",Cadastro!F275)</f>
        <v/>
      </c>
      <c r="E280" s="17" t="str">
        <f aca="false">IF(Cadastro!A275="","",Cadastro!I275)</f>
        <v/>
      </c>
      <c r="F280" s="12" t="n">
        <f aca="false">IF(Cadastro!A275="",0,IF(AND(Cadastro!O275="Ativo",Cadastro!I275=$B$5,ISNUMBER(SEARCH($B$4,Cadastro!J275)),OR($B$6&lt;&gt;"S",Cadastro!E275="S"),OR($B$7&lt;&gt;"S",Cadastro!F275="S")),1,0))</f>
        <v>0</v>
      </c>
      <c r="G280" s="22" t="str">
        <f aca="false">IF(F280=0,"",IF(Cadastro!U275=0,0,Cadastro!X275))</f>
        <v/>
      </c>
      <c r="H280" s="12" t="str">
        <f aca="false">IF(F280=0,"",1+COUNTIF($J$10:$J$309,"&lt;"&amp;J280))</f>
        <v/>
      </c>
      <c r="I280" s="12" t="n">
        <f aca="false">IF(H280=1,1,0)</f>
        <v>0</v>
      </c>
      <c r="J280" s="23" t="n">
        <f aca="false">IF(F280=0,9000000000000000,G280+Cadastro!M275/100000)</f>
        <v>9000000000000000</v>
      </c>
    </row>
    <row r="281" customFormat="false" ht="15" hidden="false" customHeight="false" outlineLevel="0" collapsed="false">
      <c r="A281" s="17" t="str">
        <f aca="false">IF(Cadastro!A276="","",Cadastro!A276)</f>
        <v/>
      </c>
      <c r="B281" s="17" t="str">
        <f aca="false">IF(Cadastro!A276="","",Cadastro!B276)</f>
        <v/>
      </c>
      <c r="C281" s="17" t="str">
        <f aca="false">IF(Cadastro!A276="","",Cadastro!D276)</f>
        <v/>
      </c>
      <c r="D281" s="17" t="str">
        <f aca="false">IF(Cadastro!A276="","",Cadastro!F276)</f>
        <v/>
      </c>
      <c r="E281" s="17" t="str">
        <f aca="false">IF(Cadastro!A276="","",Cadastro!I276)</f>
        <v/>
      </c>
      <c r="F281" s="12" t="n">
        <f aca="false">IF(Cadastro!A276="",0,IF(AND(Cadastro!O276="Ativo",Cadastro!I276=$B$5,ISNUMBER(SEARCH($B$4,Cadastro!J276)),OR($B$6&lt;&gt;"S",Cadastro!E276="S"),OR($B$7&lt;&gt;"S",Cadastro!F276="S")),1,0))</f>
        <v>0</v>
      </c>
      <c r="G281" s="22" t="str">
        <f aca="false">IF(F281=0,"",IF(Cadastro!U276=0,0,Cadastro!X276))</f>
        <v/>
      </c>
      <c r="H281" s="12" t="str">
        <f aca="false">IF(F281=0,"",1+COUNTIF($J$10:$J$309,"&lt;"&amp;J281))</f>
        <v/>
      </c>
      <c r="I281" s="12" t="n">
        <f aca="false">IF(H281=1,1,0)</f>
        <v>0</v>
      </c>
      <c r="J281" s="23" t="n">
        <f aca="false">IF(F281=0,9000000000000000,G281+Cadastro!M276/100000)</f>
        <v>9000000000000000</v>
      </c>
    </row>
    <row r="282" customFormat="false" ht="15" hidden="false" customHeight="false" outlineLevel="0" collapsed="false">
      <c r="A282" s="17" t="str">
        <f aca="false">IF(Cadastro!A277="","",Cadastro!A277)</f>
        <v/>
      </c>
      <c r="B282" s="17" t="str">
        <f aca="false">IF(Cadastro!A277="","",Cadastro!B277)</f>
        <v/>
      </c>
      <c r="C282" s="17" t="str">
        <f aca="false">IF(Cadastro!A277="","",Cadastro!D277)</f>
        <v/>
      </c>
      <c r="D282" s="17" t="str">
        <f aca="false">IF(Cadastro!A277="","",Cadastro!F277)</f>
        <v/>
      </c>
      <c r="E282" s="17" t="str">
        <f aca="false">IF(Cadastro!A277="","",Cadastro!I277)</f>
        <v/>
      </c>
      <c r="F282" s="12" t="n">
        <f aca="false">IF(Cadastro!A277="",0,IF(AND(Cadastro!O277="Ativo",Cadastro!I277=$B$5,ISNUMBER(SEARCH($B$4,Cadastro!J277)),OR($B$6&lt;&gt;"S",Cadastro!E277="S"),OR($B$7&lt;&gt;"S",Cadastro!F277="S")),1,0))</f>
        <v>0</v>
      </c>
      <c r="G282" s="22" t="str">
        <f aca="false">IF(F282=0,"",IF(Cadastro!U277=0,0,Cadastro!X277))</f>
        <v/>
      </c>
      <c r="H282" s="12" t="str">
        <f aca="false">IF(F282=0,"",1+COUNTIF($J$10:$J$309,"&lt;"&amp;J282))</f>
        <v/>
      </c>
      <c r="I282" s="12" t="n">
        <f aca="false">IF(H282=1,1,0)</f>
        <v>0</v>
      </c>
      <c r="J282" s="23" t="n">
        <f aca="false">IF(F282=0,9000000000000000,G282+Cadastro!M277/100000)</f>
        <v>9000000000000000</v>
      </c>
    </row>
    <row r="283" customFormat="false" ht="15" hidden="false" customHeight="false" outlineLevel="0" collapsed="false">
      <c r="A283" s="17" t="str">
        <f aca="false">IF(Cadastro!A278="","",Cadastro!A278)</f>
        <v/>
      </c>
      <c r="B283" s="17" t="str">
        <f aca="false">IF(Cadastro!A278="","",Cadastro!B278)</f>
        <v/>
      </c>
      <c r="C283" s="17" t="str">
        <f aca="false">IF(Cadastro!A278="","",Cadastro!D278)</f>
        <v/>
      </c>
      <c r="D283" s="17" t="str">
        <f aca="false">IF(Cadastro!A278="","",Cadastro!F278)</f>
        <v/>
      </c>
      <c r="E283" s="17" t="str">
        <f aca="false">IF(Cadastro!A278="","",Cadastro!I278)</f>
        <v/>
      </c>
      <c r="F283" s="12" t="n">
        <f aca="false">IF(Cadastro!A278="",0,IF(AND(Cadastro!O278="Ativo",Cadastro!I278=$B$5,ISNUMBER(SEARCH($B$4,Cadastro!J278)),OR($B$6&lt;&gt;"S",Cadastro!E278="S"),OR($B$7&lt;&gt;"S",Cadastro!F278="S")),1,0))</f>
        <v>0</v>
      </c>
      <c r="G283" s="22" t="str">
        <f aca="false">IF(F283=0,"",IF(Cadastro!U278=0,0,Cadastro!X278))</f>
        <v/>
      </c>
      <c r="H283" s="12" t="str">
        <f aca="false">IF(F283=0,"",1+COUNTIF($J$10:$J$309,"&lt;"&amp;J283))</f>
        <v/>
      </c>
      <c r="I283" s="12" t="n">
        <f aca="false">IF(H283=1,1,0)</f>
        <v>0</v>
      </c>
      <c r="J283" s="23" t="n">
        <f aca="false">IF(F283=0,9000000000000000,G283+Cadastro!M278/100000)</f>
        <v>9000000000000000</v>
      </c>
    </row>
    <row r="284" customFormat="false" ht="15" hidden="false" customHeight="false" outlineLevel="0" collapsed="false">
      <c r="A284" s="17" t="str">
        <f aca="false">IF(Cadastro!A279="","",Cadastro!A279)</f>
        <v/>
      </c>
      <c r="B284" s="17" t="str">
        <f aca="false">IF(Cadastro!A279="","",Cadastro!B279)</f>
        <v/>
      </c>
      <c r="C284" s="17" t="str">
        <f aca="false">IF(Cadastro!A279="","",Cadastro!D279)</f>
        <v/>
      </c>
      <c r="D284" s="17" t="str">
        <f aca="false">IF(Cadastro!A279="","",Cadastro!F279)</f>
        <v/>
      </c>
      <c r="E284" s="17" t="str">
        <f aca="false">IF(Cadastro!A279="","",Cadastro!I279)</f>
        <v/>
      </c>
      <c r="F284" s="12" t="n">
        <f aca="false">IF(Cadastro!A279="",0,IF(AND(Cadastro!O279="Ativo",Cadastro!I279=$B$5,ISNUMBER(SEARCH($B$4,Cadastro!J279)),OR($B$6&lt;&gt;"S",Cadastro!E279="S"),OR($B$7&lt;&gt;"S",Cadastro!F279="S")),1,0))</f>
        <v>0</v>
      </c>
      <c r="G284" s="22" t="str">
        <f aca="false">IF(F284=0,"",IF(Cadastro!U279=0,0,Cadastro!X279))</f>
        <v/>
      </c>
      <c r="H284" s="12" t="str">
        <f aca="false">IF(F284=0,"",1+COUNTIF($J$10:$J$309,"&lt;"&amp;J284))</f>
        <v/>
      </c>
      <c r="I284" s="12" t="n">
        <f aca="false">IF(H284=1,1,0)</f>
        <v>0</v>
      </c>
      <c r="J284" s="23" t="n">
        <f aca="false">IF(F284=0,9000000000000000,G284+Cadastro!M279/100000)</f>
        <v>9000000000000000</v>
      </c>
    </row>
    <row r="285" customFormat="false" ht="15" hidden="false" customHeight="false" outlineLevel="0" collapsed="false">
      <c r="A285" s="17" t="str">
        <f aca="false">IF(Cadastro!A280="","",Cadastro!A280)</f>
        <v/>
      </c>
      <c r="B285" s="17" t="str">
        <f aca="false">IF(Cadastro!A280="","",Cadastro!B280)</f>
        <v/>
      </c>
      <c r="C285" s="17" t="str">
        <f aca="false">IF(Cadastro!A280="","",Cadastro!D280)</f>
        <v/>
      </c>
      <c r="D285" s="17" t="str">
        <f aca="false">IF(Cadastro!A280="","",Cadastro!F280)</f>
        <v/>
      </c>
      <c r="E285" s="17" t="str">
        <f aca="false">IF(Cadastro!A280="","",Cadastro!I280)</f>
        <v/>
      </c>
      <c r="F285" s="12" t="n">
        <f aca="false">IF(Cadastro!A280="",0,IF(AND(Cadastro!O280="Ativo",Cadastro!I280=$B$5,ISNUMBER(SEARCH($B$4,Cadastro!J280)),OR($B$6&lt;&gt;"S",Cadastro!E280="S"),OR($B$7&lt;&gt;"S",Cadastro!F280="S")),1,0))</f>
        <v>0</v>
      </c>
      <c r="G285" s="22" t="str">
        <f aca="false">IF(F285=0,"",IF(Cadastro!U280=0,0,Cadastro!X280))</f>
        <v/>
      </c>
      <c r="H285" s="12" t="str">
        <f aca="false">IF(F285=0,"",1+COUNTIF($J$10:$J$309,"&lt;"&amp;J285))</f>
        <v/>
      </c>
      <c r="I285" s="12" t="n">
        <f aca="false">IF(H285=1,1,0)</f>
        <v>0</v>
      </c>
      <c r="J285" s="23" t="n">
        <f aca="false">IF(F285=0,9000000000000000,G285+Cadastro!M280/100000)</f>
        <v>9000000000000000</v>
      </c>
    </row>
    <row r="286" customFormat="false" ht="15" hidden="false" customHeight="false" outlineLevel="0" collapsed="false">
      <c r="A286" s="17" t="str">
        <f aca="false">IF(Cadastro!A281="","",Cadastro!A281)</f>
        <v/>
      </c>
      <c r="B286" s="17" t="str">
        <f aca="false">IF(Cadastro!A281="","",Cadastro!B281)</f>
        <v/>
      </c>
      <c r="C286" s="17" t="str">
        <f aca="false">IF(Cadastro!A281="","",Cadastro!D281)</f>
        <v/>
      </c>
      <c r="D286" s="17" t="str">
        <f aca="false">IF(Cadastro!A281="","",Cadastro!F281)</f>
        <v/>
      </c>
      <c r="E286" s="17" t="str">
        <f aca="false">IF(Cadastro!A281="","",Cadastro!I281)</f>
        <v/>
      </c>
      <c r="F286" s="12" t="n">
        <f aca="false">IF(Cadastro!A281="",0,IF(AND(Cadastro!O281="Ativo",Cadastro!I281=$B$5,ISNUMBER(SEARCH($B$4,Cadastro!J281)),OR($B$6&lt;&gt;"S",Cadastro!E281="S"),OR($B$7&lt;&gt;"S",Cadastro!F281="S")),1,0))</f>
        <v>0</v>
      </c>
      <c r="G286" s="22" t="str">
        <f aca="false">IF(F286=0,"",IF(Cadastro!U281=0,0,Cadastro!X281))</f>
        <v/>
      </c>
      <c r="H286" s="12" t="str">
        <f aca="false">IF(F286=0,"",1+COUNTIF($J$10:$J$309,"&lt;"&amp;J286))</f>
        <v/>
      </c>
      <c r="I286" s="12" t="n">
        <f aca="false">IF(H286=1,1,0)</f>
        <v>0</v>
      </c>
      <c r="J286" s="23" t="n">
        <f aca="false">IF(F286=0,9000000000000000,G286+Cadastro!M281/100000)</f>
        <v>9000000000000000</v>
      </c>
    </row>
    <row r="287" customFormat="false" ht="15" hidden="false" customHeight="false" outlineLevel="0" collapsed="false">
      <c r="A287" s="17" t="str">
        <f aca="false">IF(Cadastro!A282="","",Cadastro!A282)</f>
        <v/>
      </c>
      <c r="B287" s="17" t="str">
        <f aca="false">IF(Cadastro!A282="","",Cadastro!B282)</f>
        <v/>
      </c>
      <c r="C287" s="17" t="str">
        <f aca="false">IF(Cadastro!A282="","",Cadastro!D282)</f>
        <v/>
      </c>
      <c r="D287" s="17" t="str">
        <f aca="false">IF(Cadastro!A282="","",Cadastro!F282)</f>
        <v/>
      </c>
      <c r="E287" s="17" t="str">
        <f aca="false">IF(Cadastro!A282="","",Cadastro!I282)</f>
        <v/>
      </c>
      <c r="F287" s="12" t="n">
        <f aca="false">IF(Cadastro!A282="",0,IF(AND(Cadastro!O282="Ativo",Cadastro!I282=$B$5,ISNUMBER(SEARCH($B$4,Cadastro!J282)),OR($B$6&lt;&gt;"S",Cadastro!E282="S"),OR($B$7&lt;&gt;"S",Cadastro!F282="S")),1,0))</f>
        <v>0</v>
      </c>
      <c r="G287" s="22" t="str">
        <f aca="false">IF(F287=0,"",IF(Cadastro!U282=0,0,Cadastro!X282))</f>
        <v/>
      </c>
      <c r="H287" s="12" t="str">
        <f aca="false">IF(F287=0,"",1+COUNTIF($J$10:$J$309,"&lt;"&amp;J287))</f>
        <v/>
      </c>
      <c r="I287" s="12" t="n">
        <f aca="false">IF(H287=1,1,0)</f>
        <v>0</v>
      </c>
      <c r="J287" s="23" t="n">
        <f aca="false">IF(F287=0,9000000000000000,G287+Cadastro!M282/100000)</f>
        <v>9000000000000000</v>
      </c>
    </row>
    <row r="288" customFormat="false" ht="15" hidden="false" customHeight="false" outlineLevel="0" collapsed="false">
      <c r="A288" s="17" t="str">
        <f aca="false">IF(Cadastro!A283="","",Cadastro!A283)</f>
        <v/>
      </c>
      <c r="B288" s="17" t="str">
        <f aca="false">IF(Cadastro!A283="","",Cadastro!B283)</f>
        <v/>
      </c>
      <c r="C288" s="17" t="str">
        <f aca="false">IF(Cadastro!A283="","",Cadastro!D283)</f>
        <v/>
      </c>
      <c r="D288" s="17" t="str">
        <f aca="false">IF(Cadastro!A283="","",Cadastro!F283)</f>
        <v/>
      </c>
      <c r="E288" s="17" t="str">
        <f aca="false">IF(Cadastro!A283="","",Cadastro!I283)</f>
        <v/>
      </c>
      <c r="F288" s="12" t="n">
        <f aca="false">IF(Cadastro!A283="",0,IF(AND(Cadastro!O283="Ativo",Cadastro!I283=$B$5,ISNUMBER(SEARCH($B$4,Cadastro!J283)),OR($B$6&lt;&gt;"S",Cadastro!E283="S"),OR($B$7&lt;&gt;"S",Cadastro!F283="S")),1,0))</f>
        <v>0</v>
      </c>
      <c r="G288" s="22" t="str">
        <f aca="false">IF(F288=0,"",IF(Cadastro!U283=0,0,Cadastro!X283))</f>
        <v/>
      </c>
      <c r="H288" s="12" t="str">
        <f aca="false">IF(F288=0,"",1+COUNTIF($J$10:$J$309,"&lt;"&amp;J288))</f>
        <v/>
      </c>
      <c r="I288" s="12" t="n">
        <f aca="false">IF(H288=1,1,0)</f>
        <v>0</v>
      </c>
      <c r="J288" s="23" t="n">
        <f aca="false">IF(F288=0,9000000000000000,G288+Cadastro!M283/100000)</f>
        <v>9000000000000000</v>
      </c>
    </row>
    <row r="289" customFormat="false" ht="15" hidden="false" customHeight="false" outlineLevel="0" collapsed="false">
      <c r="A289" s="17" t="str">
        <f aca="false">IF(Cadastro!A284="","",Cadastro!A284)</f>
        <v/>
      </c>
      <c r="B289" s="17" t="str">
        <f aca="false">IF(Cadastro!A284="","",Cadastro!B284)</f>
        <v/>
      </c>
      <c r="C289" s="17" t="str">
        <f aca="false">IF(Cadastro!A284="","",Cadastro!D284)</f>
        <v/>
      </c>
      <c r="D289" s="17" t="str">
        <f aca="false">IF(Cadastro!A284="","",Cadastro!F284)</f>
        <v/>
      </c>
      <c r="E289" s="17" t="str">
        <f aca="false">IF(Cadastro!A284="","",Cadastro!I284)</f>
        <v/>
      </c>
      <c r="F289" s="12" t="n">
        <f aca="false">IF(Cadastro!A284="",0,IF(AND(Cadastro!O284="Ativo",Cadastro!I284=$B$5,ISNUMBER(SEARCH($B$4,Cadastro!J284)),OR($B$6&lt;&gt;"S",Cadastro!E284="S"),OR($B$7&lt;&gt;"S",Cadastro!F284="S")),1,0))</f>
        <v>0</v>
      </c>
      <c r="G289" s="22" t="str">
        <f aca="false">IF(F289=0,"",IF(Cadastro!U284=0,0,Cadastro!X284))</f>
        <v/>
      </c>
      <c r="H289" s="12" t="str">
        <f aca="false">IF(F289=0,"",1+COUNTIF($J$10:$J$309,"&lt;"&amp;J289))</f>
        <v/>
      </c>
      <c r="I289" s="12" t="n">
        <f aca="false">IF(H289=1,1,0)</f>
        <v>0</v>
      </c>
      <c r="J289" s="23" t="n">
        <f aca="false">IF(F289=0,9000000000000000,G289+Cadastro!M284/100000)</f>
        <v>9000000000000000</v>
      </c>
    </row>
    <row r="290" customFormat="false" ht="15" hidden="false" customHeight="false" outlineLevel="0" collapsed="false">
      <c r="A290" s="17" t="str">
        <f aca="false">IF(Cadastro!A285="","",Cadastro!A285)</f>
        <v/>
      </c>
      <c r="B290" s="17" t="str">
        <f aca="false">IF(Cadastro!A285="","",Cadastro!B285)</f>
        <v/>
      </c>
      <c r="C290" s="17" t="str">
        <f aca="false">IF(Cadastro!A285="","",Cadastro!D285)</f>
        <v/>
      </c>
      <c r="D290" s="17" t="str">
        <f aca="false">IF(Cadastro!A285="","",Cadastro!F285)</f>
        <v/>
      </c>
      <c r="E290" s="17" t="str">
        <f aca="false">IF(Cadastro!A285="","",Cadastro!I285)</f>
        <v/>
      </c>
      <c r="F290" s="12" t="n">
        <f aca="false">IF(Cadastro!A285="",0,IF(AND(Cadastro!O285="Ativo",Cadastro!I285=$B$5,ISNUMBER(SEARCH($B$4,Cadastro!J285)),OR($B$6&lt;&gt;"S",Cadastro!E285="S"),OR($B$7&lt;&gt;"S",Cadastro!F285="S")),1,0))</f>
        <v>0</v>
      </c>
      <c r="G290" s="22" t="str">
        <f aca="false">IF(F290=0,"",IF(Cadastro!U285=0,0,Cadastro!X285))</f>
        <v/>
      </c>
      <c r="H290" s="12" t="str">
        <f aca="false">IF(F290=0,"",1+COUNTIF($J$10:$J$309,"&lt;"&amp;J290))</f>
        <v/>
      </c>
      <c r="I290" s="12" t="n">
        <f aca="false">IF(H290=1,1,0)</f>
        <v>0</v>
      </c>
      <c r="J290" s="23" t="n">
        <f aca="false">IF(F290=0,9000000000000000,G290+Cadastro!M285/100000)</f>
        <v>9000000000000000</v>
      </c>
    </row>
    <row r="291" customFormat="false" ht="15" hidden="false" customHeight="false" outlineLevel="0" collapsed="false">
      <c r="A291" s="17" t="str">
        <f aca="false">IF(Cadastro!A286="","",Cadastro!A286)</f>
        <v/>
      </c>
      <c r="B291" s="17" t="str">
        <f aca="false">IF(Cadastro!A286="","",Cadastro!B286)</f>
        <v/>
      </c>
      <c r="C291" s="17" t="str">
        <f aca="false">IF(Cadastro!A286="","",Cadastro!D286)</f>
        <v/>
      </c>
      <c r="D291" s="17" t="str">
        <f aca="false">IF(Cadastro!A286="","",Cadastro!F286)</f>
        <v/>
      </c>
      <c r="E291" s="17" t="str">
        <f aca="false">IF(Cadastro!A286="","",Cadastro!I286)</f>
        <v/>
      </c>
      <c r="F291" s="12" t="n">
        <f aca="false">IF(Cadastro!A286="",0,IF(AND(Cadastro!O286="Ativo",Cadastro!I286=$B$5,ISNUMBER(SEARCH($B$4,Cadastro!J286)),OR($B$6&lt;&gt;"S",Cadastro!E286="S"),OR($B$7&lt;&gt;"S",Cadastro!F286="S")),1,0))</f>
        <v>0</v>
      </c>
      <c r="G291" s="22" t="str">
        <f aca="false">IF(F291=0,"",IF(Cadastro!U286=0,0,Cadastro!X286))</f>
        <v/>
      </c>
      <c r="H291" s="12" t="str">
        <f aca="false">IF(F291=0,"",1+COUNTIF($J$10:$J$309,"&lt;"&amp;J291))</f>
        <v/>
      </c>
      <c r="I291" s="12" t="n">
        <f aca="false">IF(H291=1,1,0)</f>
        <v>0</v>
      </c>
      <c r="J291" s="23" t="n">
        <f aca="false">IF(F291=0,9000000000000000,G291+Cadastro!M286/100000)</f>
        <v>9000000000000000</v>
      </c>
    </row>
    <row r="292" customFormat="false" ht="15" hidden="false" customHeight="false" outlineLevel="0" collapsed="false">
      <c r="A292" s="17" t="str">
        <f aca="false">IF(Cadastro!A287="","",Cadastro!A287)</f>
        <v/>
      </c>
      <c r="B292" s="17" t="str">
        <f aca="false">IF(Cadastro!A287="","",Cadastro!B287)</f>
        <v/>
      </c>
      <c r="C292" s="17" t="str">
        <f aca="false">IF(Cadastro!A287="","",Cadastro!D287)</f>
        <v/>
      </c>
      <c r="D292" s="17" t="str">
        <f aca="false">IF(Cadastro!A287="","",Cadastro!F287)</f>
        <v/>
      </c>
      <c r="E292" s="17" t="str">
        <f aca="false">IF(Cadastro!A287="","",Cadastro!I287)</f>
        <v/>
      </c>
      <c r="F292" s="12" t="n">
        <f aca="false">IF(Cadastro!A287="",0,IF(AND(Cadastro!O287="Ativo",Cadastro!I287=$B$5,ISNUMBER(SEARCH($B$4,Cadastro!J287)),OR($B$6&lt;&gt;"S",Cadastro!E287="S"),OR($B$7&lt;&gt;"S",Cadastro!F287="S")),1,0))</f>
        <v>0</v>
      </c>
      <c r="G292" s="22" t="str">
        <f aca="false">IF(F292=0,"",IF(Cadastro!U287=0,0,Cadastro!X287))</f>
        <v/>
      </c>
      <c r="H292" s="12" t="str">
        <f aca="false">IF(F292=0,"",1+COUNTIF($J$10:$J$309,"&lt;"&amp;J292))</f>
        <v/>
      </c>
      <c r="I292" s="12" t="n">
        <f aca="false">IF(H292=1,1,0)</f>
        <v>0</v>
      </c>
      <c r="J292" s="23" t="n">
        <f aca="false">IF(F292=0,9000000000000000,G292+Cadastro!M287/100000)</f>
        <v>9000000000000000</v>
      </c>
    </row>
    <row r="293" customFormat="false" ht="15" hidden="false" customHeight="false" outlineLevel="0" collapsed="false">
      <c r="A293" s="17" t="str">
        <f aca="false">IF(Cadastro!A288="","",Cadastro!A288)</f>
        <v/>
      </c>
      <c r="B293" s="17" t="str">
        <f aca="false">IF(Cadastro!A288="","",Cadastro!B288)</f>
        <v/>
      </c>
      <c r="C293" s="17" t="str">
        <f aca="false">IF(Cadastro!A288="","",Cadastro!D288)</f>
        <v/>
      </c>
      <c r="D293" s="17" t="str">
        <f aca="false">IF(Cadastro!A288="","",Cadastro!F288)</f>
        <v/>
      </c>
      <c r="E293" s="17" t="str">
        <f aca="false">IF(Cadastro!A288="","",Cadastro!I288)</f>
        <v/>
      </c>
      <c r="F293" s="12" t="n">
        <f aca="false">IF(Cadastro!A288="",0,IF(AND(Cadastro!O288="Ativo",Cadastro!I288=$B$5,ISNUMBER(SEARCH($B$4,Cadastro!J288)),OR($B$6&lt;&gt;"S",Cadastro!E288="S"),OR($B$7&lt;&gt;"S",Cadastro!F288="S")),1,0))</f>
        <v>0</v>
      </c>
      <c r="G293" s="22" t="str">
        <f aca="false">IF(F293=0,"",IF(Cadastro!U288=0,0,Cadastro!X288))</f>
        <v/>
      </c>
      <c r="H293" s="12" t="str">
        <f aca="false">IF(F293=0,"",1+COUNTIF($J$10:$J$309,"&lt;"&amp;J293))</f>
        <v/>
      </c>
      <c r="I293" s="12" t="n">
        <f aca="false">IF(H293=1,1,0)</f>
        <v>0</v>
      </c>
      <c r="J293" s="23" t="n">
        <f aca="false">IF(F293=0,9000000000000000,G293+Cadastro!M288/100000)</f>
        <v>9000000000000000</v>
      </c>
    </row>
    <row r="294" customFormat="false" ht="15" hidden="false" customHeight="false" outlineLevel="0" collapsed="false">
      <c r="A294" s="17" t="str">
        <f aca="false">IF(Cadastro!A289="","",Cadastro!A289)</f>
        <v/>
      </c>
      <c r="B294" s="17" t="str">
        <f aca="false">IF(Cadastro!A289="","",Cadastro!B289)</f>
        <v/>
      </c>
      <c r="C294" s="17" t="str">
        <f aca="false">IF(Cadastro!A289="","",Cadastro!D289)</f>
        <v/>
      </c>
      <c r="D294" s="17" t="str">
        <f aca="false">IF(Cadastro!A289="","",Cadastro!F289)</f>
        <v/>
      </c>
      <c r="E294" s="17" t="str">
        <f aca="false">IF(Cadastro!A289="","",Cadastro!I289)</f>
        <v/>
      </c>
      <c r="F294" s="12" t="n">
        <f aca="false">IF(Cadastro!A289="",0,IF(AND(Cadastro!O289="Ativo",Cadastro!I289=$B$5,ISNUMBER(SEARCH($B$4,Cadastro!J289)),OR($B$6&lt;&gt;"S",Cadastro!E289="S"),OR($B$7&lt;&gt;"S",Cadastro!F289="S")),1,0))</f>
        <v>0</v>
      </c>
      <c r="G294" s="22" t="str">
        <f aca="false">IF(F294=0,"",IF(Cadastro!U289=0,0,Cadastro!X289))</f>
        <v/>
      </c>
      <c r="H294" s="12" t="str">
        <f aca="false">IF(F294=0,"",1+COUNTIF($J$10:$J$309,"&lt;"&amp;J294))</f>
        <v/>
      </c>
      <c r="I294" s="12" t="n">
        <f aca="false">IF(H294=1,1,0)</f>
        <v>0</v>
      </c>
      <c r="J294" s="23" t="n">
        <f aca="false">IF(F294=0,9000000000000000,G294+Cadastro!M289/100000)</f>
        <v>9000000000000000</v>
      </c>
    </row>
    <row r="295" customFormat="false" ht="15" hidden="false" customHeight="false" outlineLevel="0" collapsed="false">
      <c r="A295" s="17" t="str">
        <f aca="false">IF(Cadastro!A290="","",Cadastro!A290)</f>
        <v/>
      </c>
      <c r="B295" s="17" t="str">
        <f aca="false">IF(Cadastro!A290="","",Cadastro!B290)</f>
        <v/>
      </c>
      <c r="C295" s="17" t="str">
        <f aca="false">IF(Cadastro!A290="","",Cadastro!D290)</f>
        <v/>
      </c>
      <c r="D295" s="17" t="str">
        <f aca="false">IF(Cadastro!A290="","",Cadastro!F290)</f>
        <v/>
      </c>
      <c r="E295" s="17" t="str">
        <f aca="false">IF(Cadastro!A290="","",Cadastro!I290)</f>
        <v/>
      </c>
      <c r="F295" s="12" t="n">
        <f aca="false">IF(Cadastro!A290="",0,IF(AND(Cadastro!O290="Ativo",Cadastro!I290=$B$5,ISNUMBER(SEARCH($B$4,Cadastro!J290)),OR($B$6&lt;&gt;"S",Cadastro!E290="S"),OR($B$7&lt;&gt;"S",Cadastro!F290="S")),1,0))</f>
        <v>0</v>
      </c>
      <c r="G295" s="22" t="str">
        <f aca="false">IF(F295=0,"",IF(Cadastro!U290=0,0,Cadastro!X290))</f>
        <v/>
      </c>
      <c r="H295" s="12" t="str">
        <f aca="false">IF(F295=0,"",1+COUNTIF($J$10:$J$309,"&lt;"&amp;J295))</f>
        <v/>
      </c>
      <c r="I295" s="12" t="n">
        <f aca="false">IF(H295=1,1,0)</f>
        <v>0</v>
      </c>
      <c r="J295" s="23" t="n">
        <f aca="false">IF(F295=0,9000000000000000,G295+Cadastro!M290/100000)</f>
        <v>9000000000000000</v>
      </c>
    </row>
    <row r="296" customFormat="false" ht="15" hidden="false" customHeight="false" outlineLevel="0" collapsed="false">
      <c r="A296" s="17" t="str">
        <f aca="false">IF(Cadastro!A291="","",Cadastro!A291)</f>
        <v/>
      </c>
      <c r="B296" s="17" t="str">
        <f aca="false">IF(Cadastro!A291="","",Cadastro!B291)</f>
        <v/>
      </c>
      <c r="C296" s="17" t="str">
        <f aca="false">IF(Cadastro!A291="","",Cadastro!D291)</f>
        <v/>
      </c>
      <c r="D296" s="17" t="str">
        <f aca="false">IF(Cadastro!A291="","",Cadastro!F291)</f>
        <v/>
      </c>
      <c r="E296" s="17" t="str">
        <f aca="false">IF(Cadastro!A291="","",Cadastro!I291)</f>
        <v/>
      </c>
      <c r="F296" s="12" t="n">
        <f aca="false">IF(Cadastro!A291="",0,IF(AND(Cadastro!O291="Ativo",Cadastro!I291=$B$5,ISNUMBER(SEARCH($B$4,Cadastro!J291)),OR($B$6&lt;&gt;"S",Cadastro!E291="S"),OR($B$7&lt;&gt;"S",Cadastro!F291="S")),1,0))</f>
        <v>0</v>
      </c>
      <c r="G296" s="22" t="str">
        <f aca="false">IF(F296=0,"",IF(Cadastro!U291=0,0,Cadastro!X291))</f>
        <v/>
      </c>
      <c r="H296" s="12" t="str">
        <f aca="false">IF(F296=0,"",1+COUNTIF($J$10:$J$309,"&lt;"&amp;J296))</f>
        <v/>
      </c>
      <c r="I296" s="12" t="n">
        <f aca="false">IF(H296=1,1,0)</f>
        <v>0</v>
      </c>
      <c r="J296" s="23" t="n">
        <f aca="false">IF(F296=0,9000000000000000,G296+Cadastro!M291/100000)</f>
        <v>9000000000000000</v>
      </c>
    </row>
    <row r="297" customFormat="false" ht="15" hidden="false" customHeight="false" outlineLevel="0" collapsed="false">
      <c r="A297" s="17" t="str">
        <f aca="false">IF(Cadastro!A292="","",Cadastro!A292)</f>
        <v/>
      </c>
      <c r="B297" s="17" t="str">
        <f aca="false">IF(Cadastro!A292="","",Cadastro!B292)</f>
        <v/>
      </c>
      <c r="C297" s="17" t="str">
        <f aca="false">IF(Cadastro!A292="","",Cadastro!D292)</f>
        <v/>
      </c>
      <c r="D297" s="17" t="str">
        <f aca="false">IF(Cadastro!A292="","",Cadastro!F292)</f>
        <v/>
      </c>
      <c r="E297" s="17" t="str">
        <f aca="false">IF(Cadastro!A292="","",Cadastro!I292)</f>
        <v/>
      </c>
      <c r="F297" s="12" t="n">
        <f aca="false">IF(Cadastro!A292="",0,IF(AND(Cadastro!O292="Ativo",Cadastro!I292=$B$5,ISNUMBER(SEARCH($B$4,Cadastro!J292)),OR($B$6&lt;&gt;"S",Cadastro!E292="S"),OR($B$7&lt;&gt;"S",Cadastro!F292="S")),1,0))</f>
        <v>0</v>
      </c>
      <c r="G297" s="22" t="str">
        <f aca="false">IF(F297=0,"",IF(Cadastro!U292=0,0,Cadastro!X292))</f>
        <v/>
      </c>
      <c r="H297" s="12" t="str">
        <f aca="false">IF(F297=0,"",1+COUNTIF($J$10:$J$309,"&lt;"&amp;J297))</f>
        <v/>
      </c>
      <c r="I297" s="12" t="n">
        <f aca="false">IF(H297=1,1,0)</f>
        <v>0</v>
      </c>
      <c r="J297" s="23" t="n">
        <f aca="false">IF(F297=0,9000000000000000,G297+Cadastro!M292/100000)</f>
        <v>9000000000000000</v>
      </c>
    </row>
    <row r="298" customFormat="false" ht="15" hidden="false" customHeight="false" outlineLevel="0" collapsed="false">
      <c r="A298" s="17" t="str">
        <f aca="false">IF(Cadastro!A293="","",Cadastro!A293)</f>
        <v/>
      </c>
      <c r="B298" s="17" t="str">
        <f aca="false">IF(Cadastro!A293="","",Cadastro!B293)</f>
        <v/>
      </c>
      <c r="C298" s="17" t="str">
        <f aca="false">IF(Cadastro!A293="","",Cadastro!D293)</f>
        <v/>
      </c>
      <c r="D298" s="17" t="str">
        <f aca="false">IF(Cadastro!A293="","",Cadastro!F293)</f>
        <v/>
      </c>
      <c r="E298" s="17" t="str">
        <f aca="false">IF(Cadastro!A293="","",Cadastro!I293)</f>
        <v/>
      </c>
      <c r="F298" s="12" t="n">
        <f aca="false">IF(Cadastro!A293="",0,IF(AND(Cadastro!O293="Ativo",Cadastro!I293=$B$5,ISNUMBER(SEARCH($B$4,Cadastro!J293)),OR($B$6&lt;&gt;"S",Cadastro!E293="S"),OR($B$7&lt;&gt;"S",Cadastro!F293="S")),1,0))</f>
        <v>0</v>
      </c>
      <c r="G298" s="22" t="str">
        <f aca="false">IF(F298=0,"",IF(Cadastro!U293=0,0,Cadastro!X293))</f>
        <v/>
      </c>
      <c r="H298" s="12" t="str">
        <f aca="false">IF(F298=0,"",1+COUNTIF($J$10:$J$309,"&lt;"&amp;J298))</f>
        <v/>
      </c>
      <c r="I298" s="12" t="n">
        <f aca="false">IF(H298=1,1,0)</f>
        <v>0</v>
      </c>
      <c r="J298" s="23" t="n">
        <f aca="false">IF(F298=0,9000000000000000,G298+Cadastro!M293/100000)</f>
        <v>9000000000000000</v>
      </c>
    </row>
    <row r="299" customFormat="false" ht="15" hidden="false" customHeight="false" outlineLevel="0" collapsed="false">
      <c r="A299" s="17" t="str">
        <f aca="false">IF(Cadastro!A294="","",Cadastro!A294)</f>
        <v/>
      </c>
      <c r="B299" s="17" t="str">
        <f aca="false">IF(Cadastro!A294="","",Cadastro!B294)</f>
        <v/>
      </c>
      <c r="C299" s="17" t="str">
        <f aca="false">IF(Cadastro!A294="","",Cadastro!D294)</f>
        <v/>
      </c>
      <c r="D299" s="17" t="str">
        <f aca="false">IF(Cadastro!A294="","",Cadastro!F294)</f>
        <v/>
      </c>
      <c r="E299" s="17" t="str">
        <f aca="false">IF(Cadastro!A294="","",Cadastro!I294)</f>
        <v/>
      </c>
      <c r="F299" s="12" t="n">
        <f aca="false">IF(Cadastro!A294="",0,IF(AND(Cadastro!O294="Ativo",Cadastro!I294=$B$5,ISNUMBER(SEARCH($B$4,Cadastro!J294)),OR($B$6&lt;&gt;"S",Cadastro!E294="S"),OR($B$7&lt;&gt;"S",Cadastro!F294="S")),1,0))</f>
        <v>0</v>
      </c>
      <c r="G299" s="22" t="str">
        <f aca="false">IF(F299=0,"",IF(Cadastro!U294=0,0,Cadastro!X294))</f>
        <v/>
      </c>
      <c r="H299" s="12" t="str">
        <f aca="false">IF(F299=0,"",1+COUNTIF($J$10:$J$309,"&lt;"&amp;J299))</f>
        <v/>
      </c>
      <c r="I299" s="12" t="n">
        <f aca="false">IF(H299=1,1,0)</f>
        <v>0</v>
      </c>
      <c r="J299" s="23" t="n">
        <f aca="false">IF(F299=0,9000000000000000,G299+Cadastro!M294/100000)</f>
        <v>9000000000000000</v>
      </c>
    </row>
    <row r="300" customFormat="false" ht="15" hidden="false" customHeight="false" outlineLevel="0" collapsed="false">
      <c r="A300" s="17" t="str">
        <f aca="false">IF(Cadastro!A295="","",Cadastro!A295)</f>
        <v/>
      </c>
      <c r="B300" s="17" t="str">
        <f aca="false">IF(Cadastro!A295="","",Cadastro!B295)</f>
        <v/>
      </c>
      <c r="C300" s="17" t="str">
        <f aca="false">IF(Cadastro!A295="","",Cadastro!D295)</f>
        <v/>
      </c>
      <c r="D300" s="17" t="str">
        <f aca="false">IF(Cadastro!A295="","",Cadastro!F295)</f>
        <v/>
      </c>
      <c r="E300" s="17" t="str">
        <f aca="false">IF(Cadastro!A295="","",Cadastro!I295)</f>
        <v/>
      </c>
      <c r="F300" s="12" t="n">
        <f aca="false">IF(Cadastro!A295="",0,IF(AND(Cadastro!O295="Ativo",Cadastro!I295=$B$5,ISNUMBER(SEARCH($B$4,Cadastro!J295)),OR($B$6&lt;&gt;"S",Cadastro!E295="S"),OR($B$7&lt;&gt;"S",Cadastro!F295="S")),1,0))</f>
        <v>0</v>
      </c>
      <c r="G300" s="22" t="str">
        <f aca="false">IF(F300=0,"",IF(Cadastro!U295=0,0,Cadastro!X295))</f>
        <v/>
      </c>
      <c r="H300" s="12" t="str">
        <f aca="false">IF(F300=0,"",1+COUNTIF($J$10:$J$309,"&lt;"&amp;J300))</f>
        <v/>
      </c>
      <c r="I300" s="12" t="n">
        <f aca="false">IF(H300=1,1,0)</f>
        <v>0</v>
      </c>
      <c r="J300" s="23" t="n">
        <f aca="false">IF(F300=0,9000000000000000,G300+Cadastro!M295/100000)</f>
        <v>9000000000000000</v>
      </c>
    </row>
    <row r="301" customFormat="false" ht="15" hidden="false" customHeight="false" outlineLevel="0" collapsed="false">
      <c r="A301" s="17" t="str">
        <f aca="false">IF(Cadastro!A296="","",Cadastro!A296)</f>
        <v/>
      </c>
      <c r="B301" s="17" t="str">
        <f aca="false">IF(Cadastro!A296="","",Cadastro!B296)</f>
        <v/>
      </c>
      <c r="C301" s="17" t="str">
        <f aca="false">IF(Cadastro!A296="","",Cadastro!D296)</f>
        <v/>
      </c>
      <c r="D301" s="17" t="str">
        <f aca="false">IF(Cadastro!A296="","",Cadastro!F296)</f>
        <v/>
      </c>
      <c r="E301" s="17" t="str">
        <f aca="false">IF(Cadastro!A296="","",Cadastro!I296)</f>
        <v/>
      </c>
      <c r="F301" s="12" t="n">
        <f aca="false">IF(Cadastro!A296="",0,IF(AND(Cadastro!O296="Ativo",Cadastro!I296=$B$5,ISNUMBER(SEARCH($B$4,Cadastro!J296)),OR($B$6&lt;&gt;"S",Cadastro!E296="S"),OR($B$7&lt;&gt;"S",Cadastro!F296="S")),1,0))</f>
        <v>0</v>
      </c>
      <c r="G301" s="22" t="str">
        <f aca="false">IF(F301=0,"",IF(Cadastro!U296=0,0,Cadastro!X296))</f>
        <v/>
      </c>
      <c r="H301" s="12" t="str">
        <f aca="false">IF(F301=0,"",1+COUNTIF($J$10:$J$309,"&lt;"&amp;J301))</f>
        <v/>
      </c>
      <c r="I301" s="12" t="n">
        <f aca="false">IF(H301=1,1,0)</f>
        <v>0</v>
      </c>
      <c r="J301" s="23" t="n">
        <f aca="false">IF(F301=0,9000000000000000,G301+Cadastro!M296/100000)</f>
        <v>9000000000000000</v>
      </c>
    </row>
    <row r="302" customFormat="false" ht="15" hidden="false" customHeight="false" outlineLevel="0" collapsed="false">
      <c r="A302" s="17" t="str">
        <f aca="false">IF(Cadastro!A297="","",Cadastro!A297)</f>
        <v/>
      </c>
      <c r="B302" s="17" t="str">
        <f aca="false">IF(Cadastro!A297="","",Cadastro!B297)</f>
        <v/>
      </c>
      <c r="C302" s="17" t="str">
        <f aca="false">IF(Cadastro!A297="","",Cadastro!D297)</f>
        <v/>
      </c>
      <c r="D302" s="17" t="str">
        <f aca="false">IF(Cadastro!A297="","",Cadastro!F297)</f>
        <v/>
      </c>
      <c r="E302" s="17" t="str">
        <f aca="false">IF(Cadastro!A297="","",Cadastro!I297)</f>
        <v/>
      </c>
      <c r="F302" s="12" t="n">
        <f aca="false">IF(Cadastro!A297="",0,IF(AND(Cadastro!O297="Ativo",Cadastro!I297=$B$5,ISNUMBER(SEARCH($B$4,Cadastro!J297)),OR($B$6&lt;&gt;"S",Cadastro!E297="S"),OR($B$7&lt;&gt;"S",Cadastro!F297="S")),1,0))</f>
        <v>0</v>
      </c>
      <c r="G302" s="22" t="str">
        <f aca="false">IF(F302=0,"",IF(Cadastro!U297=0,0,Cadastro!X297))</f>
        <v/>
      </c>
      <c r="H302" s="12" t="str">
        <f aca="false">IF(F302=0,"",1+COUNTIF($J$10:$J$309,"&lt;"&amp;J302))</f>
        <v/>
      </c>
      <c r="I302" s="12" t="n">
        <f aca="false">IF(H302=1,1,0)</f>
        <v>0</v>
      </c>
      <c r="J302" s="23" t="n">
        <f aca="false">IF(F302=0,9000000000000000,G302+Cadastro!M297/100000)</f>
        <v>9000000000000000</v>
      </c>
    </row>
    <row r="303" customFormat="false" ht="15" hidden="false" customHeight="false" outlineLevel="0" collapsed="false">
      <c r="A303" s="17" t="str">
        <f aca="false">IF(Cadastro!A298="","",Cadastro!A298)</f>
        <v/>
      </c>
      <c r="B303" s="17" t="str">
        <f aca="false">IF(Cadastro!A298="","",Cadastro!B298)</f>
        <v/>
      </c>
      <c r="C303" s="17" t="str">
        <f aca="false">IF(Cadastro!A298="","",Cadastro!D298)</f>
        <v/>
      </c>
      <c r="D303" s="17" t="str">
        <f aca="false">IF(Cadastro!A298="","",Cadastro!F298)</f>
        <v/>
      </c>
      <c r="E303" s="17" t="str">
        <f aca="false">IF(Cadastro!A298="","",Cadastro!I298)</f>
        <v/>
      </c>
      <c r="F303" s="12" t="n">
        <f aca="false">IF(Cadastro!A298="",0,IF(AND(Cadastro!O298="Ativo",Cadastro!I298=$B$5,ISNUMBER(SEARCH($B$4,Cadastro!J298)),OR($B$6&lt;&gt;"S",Cadastro!E298="S"),OR($B$7&lt;&gt;"S",Cadastro!F298="S")),1,0))</f>
        <v>0</v>
      </c>
      <c r="G303" s="22" t="str">
        <f aca="false">IF(F303=0,"",IF(Cadastro!U298=0,0,Cadastro!X298))</f>
        <v/>
      </c>
      <c r="H303" s="12" t="str">
        <f aca="false">IF(F303=0,"",1+COUNTIF($J$10:$J$309,"&lt;"&amp;J303))</f>
        <v/>
      </c>
      <c r="I303" s="12" t="n">
        <f aca="false">IF(H303=1,1,0)</f>
        <v>0</v>
      </c>
      <c r="J303" s="23" t="n">
        <f aca="false">IF(F303=0,9000000000000000,G303+Cadastro!M298/100000)</f>
        <v>9000000000000000</v>
      </c>
    </row>
    <row r="304" customFormat="false" ht="15" hidden="false" customHeight="false" outlineLevel="0" collapsed="false">
      <c r="A304" s="17" t="str">
        <f aca="false">IF(Cadastro!A299="","",Cadastro!A299)</f>
        <v/>
      </c>
      <c r="B304" s="17" t="str">
        <f aca="false">IF(Cadastro!A299="","",Cadastro!B299)</f>
        <v/>
      </c>
      <c r="C304" s="17" t="str">
        <f aca="false">IF(Cadastro!A299="","",Cadastro!D299)</f>
        <v/>
      </c>
      <c r="D304" s="17" t="str">
        <f aca="false">IF(Cadastro!A299="","",Cadastro!F299)</f>
        <v/>
      </c>
      <c r="E304" s="17" t="str">
        <f aca="false">IF(Cadastro!A299="","",Cadastro!I299)</f>
        <v/>
      </c>
      <c r="F304" s="12" t="n">
        <f aca="false">IF(Cadastro!A299="",0,IF(AND(Cadastro!O299="Ativo",Cadastro!I299=$B$5,ISNUMBER(SEARCH($B$4,Cadastro!J299)),OR($B$6&lt;&gt;"S",Cadastro!E299="S"),OR($B$7&lt;&gt;"S",Cadastro!F299="S")),1,0))</f>
        <v>0</v>
      </c>
      <c r="G304" s="22" t="str">
        <f aca="false">IF(F304=0,"",IF(Cadastro!U299=0,0,Cadastro!X299))</f>
        <v/>
      </c>
      <c r="H304" s="12" t="str">
        <f aca="false">IF(F304=0,"",1+COUNTIF($J$10:$J$309,"&lt;"&amp;J304))</f>
        <v/>
      </c>
      <c r="I304" s="12" t="n">
        <f aca="false">IF(H304=1,1,0)</f>
        <v>0</v>
      </c>
      <c r="J304" s="23" t="n">
        <f aca="false">IF(F304=0,9000000000000000,G304+Cadastro!M299/100000)</f>
        <v>9000000000000000</v>
      </c>
    </row>
    <row r="305" customFormat="false" ht="15" hidden="false" customHeight="false" outlineLevel="0" collapsed="false">
      <c r="A305" s="17" t="str">
        <f aca="false">IF(Cadastro!A300="","",Cadastro!A300)</f>
        <v/>
      </c>
      <c r="B305" s="17" t="str">
        <f aca="false">IF(Cadastro!A300="","",Cadastro!B300)</f>
        <v/>
      </c>
      <c r="C305" s="17" t="str">
        <f aca="false">IF(Cadastro!A300="","",Cadastro!D300)</f>
        <v/>
      </c>
      <c r="D305" s="17" t="str">
        <f aca="false">IF(Cadastro!A300="","",Cadastro!F300)</f>
        <v/>
      </c>
      <c r="E305" s="17" t="str">
        <f aca="false">IF(Cadastro!A300="","",Cadastro!I300)</f>
        <v/>
      </c>
      <c r="F305" s="12" t="n">
        <f aca="false">IF(Cadastro!A300="",0,IF(AND(Cadastro!O300="Ativo",Cadastro!I300=$B$5,ISNUMBER(SEARCH($B$4,Cadastro!J300)),OR($B$6&lt;&gt;"S",Cadastro!E300="S"),OR($B$7&lt;&gt;"S",Cadastro!F300="S")),1,0))</f>
        <v>0</v>
      </c>
      <c r="G305" s="22" t="str">
        <f aca="false">IF(F305=0,"",IF(Cadastro!U300=0,0,Cadastro!X300))</f>
        <v/>
      </c>
      <c r="H305" s="12" t="str">
        <f aca="false">IF(F305=0,"",1+COUNTIF($J$10:$J$309,"&lt;"&amp;J305))</f>
        <v/>
      </c>
      <c r="I305" s="12" t="n">
        <f aca="false">IF(H305=1,1,0)</f>
        <v>0</v>
      </c>
      <c r="J305" s="23" t="n">
        <f aca="false">IF(F305=0,9000000000000000,G305+Cadastro!M300/100000)</f>
        <v>9000000000000000</v>
      </c>
    </row>
    <row r="306" customFormat="false" ht="15" hidden="false" customHeight="false" outlineLevel="0" collapsed="false">
      <c r="A306" s="17" t="str">
        <f aca="false">IF(Cadastro!A301="","",Cadastro!A301)</f>
        <v/>
      </c>
      <c r="B306" s="17" t="str">
        <f aca="false">IF(Cadastro!A301="","",Cadastro!B301)</f>
        <v/>
      </c>
      <c r="C306" s="17" t="str">
        <f aca="false">IF(Cadastro!A301="","",Cadastro!D301)</f>
        <v/>
      </c>
      <c r="D306" s="17" t="str">
        <f aca="false">IF(Cadastro!A301="","",Cadastro!F301)</f>
        <v/>
      </c>
      <c r="E306" s="17" t="str">
        <f aca="false">IF(Cadastro!A301="","",Cadastro!I301)</f>
        <v/>
      </c>
      <c r="F306" s="12" t="n">
        <f aca="false">IF(Cadastro!A301="",0,IF(AND(Cadastro!O301="Ativo",Cadastro!I301=$B$5,ISNUMBER(SEARCH($B$4,Cadastro!J301)),OR($B$6&lt;&gt;"S",Cadastro!E301="S"),OR($B$7&lt;&gt;"S",Cadastro!F301="S")),1,0))</f>
        <v>0</v>
      </c>
      <c r="G306" s="22" t="str">
        <f aca="false">IF(F306=0,"",IF(Cadastro!U301=0,0,Cadastro!X301))</f>
        <v/>
      </c>
      <c r="H306" s="12" t="str">
        <f aca="false">IF(F306=0,"",1+COUNTIF($J$10:$J$309,"&lt;"&amp;J306))</f>
        <v/>
      </c>
      <c r="I306" s="12" t="n">
        <f aca="false">IF(H306=1,1,0)</f>
        <v>0</v>
      </c>
      <c r="J306" s="23" t="n">
        <f aca="false">IF(F306=0,9000000000000000,G306+Cadastro!M301/100000)</f>
        <v>9000000000000000</v>
      </c>
    </row>
    <row r="307" customFormat="false" ht="15" hidden="false" customHeight="false" outlineLevel="0" collapsed="false">
      <c r="A307" s="17" t="str">
        <f aca="false">IF(Cadastro!A302="","",Cadastro!A302)</f>
        <v/>
      </c>
      <c r="B307" s="17" t="str">
        <f aca="false">IF(Cadastro!A302="","",Cadastro!B302)</f>
        <v/>
      </c>
      <c r="C307" s="17" t="str">
        <f aca="false">IF(Cadastro!A302="","",Cadastro!D302)</f>
        <v/>
      </c>
      <c r="D307" s="17" t="str">
        <f aca="false">IF(Cadastro!A302="","",Cadastro!F302)</f>
        <v/>
      </c>
      <c r="E307" s="17" t="str">
        <f aca="false">IF(Cadastro!A302="","",Cadastro!I302)</f>
        <v/>
      </c>
      <c r="F307" s="12" t="n">
        <f aca="false">IF(Cadastro!A302="",0,IF(AND(Cadastro!O302="Ativo",Cadastro!I302=$B$5,ISNUMBER(SEARCH($B$4,Cadastro!J302)),OR($B$6&lt;&gt;"S",Cadastro!E302="S"),OR($B$7&lt;&gt;"S",Cadastro!F302="S")),1,0))</f>
        <v>0</v>
      </c>
      <c r="G307" s="22" t="str">
        <f aca="false">IF(F307=0,"",IF(Cadastro!U302=0,0,Cadastro!X302))</f>
        <v/>
      </c>
      <c r="H307" s="12" t="str">
        <f aca="false">IF(F307=0,"",1+COUNTIF($J$10:$J$309,"&lt;"&amp;J307))</f>
        <v/>
      </c>
      <c r="I307" s="12" t="n">
        <f aca="false">IF(H307=1,1,0)</f>
        <v>0</v>
      </c>
      <c r="J307" s="23" t="n">
        <f aca="false">IF(F307=0,9000000000000000,G307+Cadastro!M302/100000)</f>
        <v>9000000000000000</v>
      </c>
    </row>
    <row r="308" customFormat="false" ht="15" hidden="false" customHeight="false" outlineLevel="0" collapsed="false">
      <c r="A308" s="17" t="str">
        <f aca="false">IF(Cadastro!A303="","",Cadastro!A303)</f>
        <v/>
      </c>
      <c r="B308" s="17" t="str">
        <f aca="false">IF(Cadastro!A303="","",Cadastro!B303)</f>
        <v/>
      </c>
      <c r="C308" s="17" t="str">
        <f aca="false">IF(Cadastro!A303="","",Cadastro!D303)</f>
        <v/>
      </c>
      <c r="D308" s="17" t="str">
        <f aca="false">IF(Cadastro!A303="","",Cadastro!F303)</f>
        <v/>
      </c>
      <c r="E308" s="17" t="str">
        <f aca="false">IF(Cadastro!A303="","",Cadastro!I303)</f>
        <v/>
      </c>
      <c r="F308" s="12" t="n">
        <f aca="false">IF(Cadastro!A303="",0,IF(AND(Cadastro!O303="Ativo",Cadastro!I303=$B$5,ISNUMBER(SEARCH($B$4,Cadastro!J303)),OR($B$6&lt;&gt;"S",Cadastro!E303="S"),OR($B$7&lt;&gt;"S",Cadastro!F303="S")),1,0))</f>
        <v>0</v>
      </c>
      <c r="G308" s="22" t="str">
        <f aca="false">IF(F308=0,"",IF(Cadastro!U303=0,0,Cadastro!X303))</f>
        <v/>
      </c>
      <c r="H308" s="12" t="str">
        <f aca="false">IF(F308=0,"",1+COUNTIF($J$10:$J$309,"&lt;"&amp;J308))</f>
        <v/>
      </c>
      <c r="I308" s="12" t="n">
        <f aca="false">IF(H308=1,1,0)</f>
        <v>0</v>
      </c>
      <c r="J308" s="23" t="n">
        <f aca="false">IF(F308=0,9000000000000000,G308+Cadastro!M303/100000)</f>
        <v>9000000000000000</v>
      </c>
    </row>
    <row r="309" customFormat="false" ht="15" hidden="false" customHeight="false" outlineLevel="0" collapsed="false">
      <c r="A309" s="17" t="str">
        <f aca="false">IF(Cadastro!A304="","",Cadastro!A304)</f>
        <v/>
      </c>
      <c r="B309" s="17" t="str">
        <f aca="false">IF(Cadastro!A304="","",Cadastro!B304)</f>
        <v/>
      </c>
      <c r="C309" s="17" t="str">
        <f aca="false">IF(Cadastro!A304="","",Cadastro!D304)</f>
        <v/>
      </c>
      <c r="D309" s="17" t="str">
        <f aca="false">IF(Cadastro!A304="","",Cadastro!F304)</f>
        <v/>
      </c>
      <c r="E309" s="17" t="str">
        <f aca="false">IF(Cadastro!A304="","",Cadastro!I304)</f>
        <v/>
      </c>
      <c r="F309" s="12" t="n">
        <f aca="false">IF(Cadastro!A304="",0,IF(AND(Cadastro!O304="Ativo",Cadastro!I304=$B$5,ISNUMBER(SEARCH($B$4,Cadastro!J304)),OR($B$6&lt;&gt;"S",Cadastro!E304="S"),OR($B$7&lt;&gt;"S",Cadastro!F304="S")),1,0))</f>
        <v>0</v>
      </c>
      <c r="G309" s="22" t="str">
        <f aca="false">IF(F309=0,"",IF(Cadastro!U304=0,0,Cadastro!X304))</f>
        <v/>
      </c>
      <c r="H309" s="12" t="str">
        <f aca="false">IF(F309=0,"",1+COUNTIF($J$10:$J$309,"&lt;"&amp;J309))</f>
        <v/>
      </c>
      <c r="I309" s="12" t="n">
        <f aca="false">IF(H309=1,1,0)</f>
        <v>0</v>
      </c>
      <c r="J309" s="23" t="n">
        <f aca="false">IF(F309=0,9000000000000000,G309+Cadastro!M304/100000)</f>
        <v>9000000000000000</v>
      </c>
    </row>
  </sheetData>
  <conditionalFormatting sqref="A10:I309">
    <cfRule type="expression" priority="2" aboveAverage="0" equalAverage="0" bottom="0" percent="0" rank="0" text="" dxfId="2">
      <formula>$I10=1</formula>
    </cfRule>
    <cfRule type="expression" priority="3" aboveAverage="0" equalAverage="0" bottom="0" percent="0" rank="0" text="" dxfId="3">
      <formula>AND($A10&lt;&gt;"",$F10=0)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1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263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4" t="s">
        <v>264</v>
      </c>
      <c r="B4" s="20" t="s">
        <v>156</v>
      </c>
      <c r="C4" s="2"/>
      <c r="D4" s="4" t="s">
        <v>265</v>
      </c>
      <c r="E4" s="24" t="n">
        <f aca="false">IF(COUNT(C11:C22)=0,"",MIN(C11:C22))</f>
        <v>3850</v>
      </c>
      <c r="F4" s="2"/>
      <c r="G4" s="2"/>
      <c r="H4" s="2"/>
      <c r="I4" s="2"/>
      <c r="J4" s="2"/>
      <c r="K4" s="2"/>
      <c r="L4" s="2"/>
      <c r="M4" s="2"/>
      <c r="N4" s="2"/>
    </row>
    <row r="5" customFormat="false" ht="15" hidden="false" customHeight="false" outlineLevel="0" collapsed="false">
      <c r="A5" s="4" t="s">
        <v>220</v>
      </c>
      <c r="B5" s="20" t="s">
        <v>65</v>
      </c>
      <c r="C5" s="2"/>
      <c r="D5" s="4" t="s">
        <v>266</v>
      </c>
      <c r="E5" s="2" t="n">
        <f aca="false">COUNT(C11:C22)</f>
        <v>3</v>
      </c>
      <c r="F5" s="2"/>
      <c r="G5" s="2"/>
      <c r="H5" s="2"/>
      <c r="I5" s="2"/>
      <c r="J5" s="2"/>
      <c r="K5" s="2"/>
      <c r="L5" s="2"/>
      <c r="M5" s="2"/>
      <c r="N5" s="2"/>
    </row>
    <row r="6" customFormat="false" ht="15" hidden="false" customHeight="false" outlineLevel="0" collapsed="false">
      <c r="A6" s="4" t="s">
        <v>267</v>
      </c>
      <c r="B6" s="20" t="s">
        <v>60</v>
      </c>
      <c r="C6" s="2"/>
      <c r="D6" s="4" t="s">
        <v>268</v>
      </c>
      <c r="E6" s="2" t="str">
        <f aca="false">IF(E5&gt;=Parâmetros!$B$19,"SIM","NÃO — repetir cotação ou justificar")</f>
        <v>SIM</v>
      </c>
      <c r="F6" s="2"/>
      <c r="G6" s="2"/>
      <c r="H6" s="2"/>
      <c r="I6" s="2"/>
      <c r="J6" s="2"/>
      <c r="K6" s="2"/>
      <c r="L6" s="2"/>
      <c r="M6" s="2"/>
      <c r="N6" s="2"/>
    </row>
    <row r="7" customFormat="false" ht="15" hidden="false" customHeight="false" outlineLevel="0" collapsed="false">
      <c r="A7" s="4" t="s">
        <v>269</v>
      </c>
      <c r="B7" s="20" t="s">
        <v>270</v>
      </c>
      <c r="C7" s="2"/>
      <c r="D7" s="4" t="s">
        <v>271</v>
      </c>
      <c r="E7" s="21" t="str">
        <f aca="false">IFERROR(INDEX(B11:B22,MATCH(1,M11:M22,0)),"")</f>
        <v>Lanches da Tia Rosa MEI</v>
      </c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4" t="s">
        <v>272</v>
      </c>
      <c r="E8" s="2" t="str">
        <f aca="false">IFERROR(INDEX(N11:N22,MATCH(1,M11:M22,0)),"")</f>
        <v>Empate ficto + preferência local — deve cobrir o menor preço em 1 dia útil</v>
      </c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31.5" hidden="false" customHeight="true" outlineLevel="0" collapsed="false">
      <c r="A10" s="6" t="s">
        <v>225</v>
      </c>
      <c r="B10" s="6" t="s">
        <v>191</v>
      </c>
      <c r="C10" s="6" t="s">
        <v>273</v>
      </c>
      <c r="D10" s="6" t="s">
        <v>129</v>
      </c>
      <c r="E10" s="6" t="s">
        <v>257</v>
      </c>
      <c r="F10" s="6" t="s">
        <v>274</v>
      </c>
      <c r="G10" s="6" t="s">
        <v>128</v>
      </c>
      <c r="H10" s="6" t="s">
        <v>133</v>
      </c>
      <c r="I10" s="6" t="s">
        <v>275</v>
      </c>
      <c r="J10" s="6" t="s">
        <v>276</v>
      </c>
      <c r="K10" s="6" t="s">
        <v>277</v>
      </c>
      <c r="L10" s="6" t="s">
        <v>278</v>
      </c>
      <c r="M10" s="6" t="s">
        <v>279</v>
      </c>
      <c r="N10" s="6" t="s">
        <v>272</v>
      </c>
    </row>
    <row r="11" customFormat="false" ht="15" hidden="false" customHeight="false" outlineLevel="0" collapsed="false">
      <c r="A11" s="11" t="s">
        <v>177</v>
      </c>
      <c r="B11" s="17" t="str">
        <f aca="false">IF(A11="","",IFERROR(INDEX(Cadastro!$B$5:$B$304,MATCH(A11,Cadastro!$A$5:$A$304,0)),"ID não encontrado"))</f>
        <v>Gráfica Baixada EPP</v>
      </c>
      <c r="C11" s="19" t="n">
        <v>3900</v>
      </c>
      <c r="D11" s="17" t="str">
        <f aca="false">IF(A11="","",IFERROR(INDEX(Cadastro!$E$5:$E$304,MATCH(A11,Cadastro!$A$5:$A$304,0)),""))</f>
        <v>S</v>
      </c>
      <c r="E11" s="17" t="str">
        <f aca="false">IF(A11="","",IFERROR(INDEX(Cadastro!$F$5:$F$304,MATCH(A11,Cadastro!$A$5:$A$304,0)),""))</f>
        <v>N</v>
      </c>
      <c r="F11" s="17" t="str">
        <f aca="false">IF(A11="","",IFERROR(INDEX(Cadastro!$G$5:$G$304,MATCH(A11,Cadastro!$A$5:$A$304,0)),""))</f>
        <v>N</v>
      </c>
      <c r="G11" s="17" t="str">
        <f aca="false">IF(A11="","",IFERROR(INDEX(Cadastro!$D$5:$D$304,MATCH(A11,Cadastro!$A$5:$A$304,0)),""))</f>
        <v>EPP</v>
      </c>
      <c r="H11" s="17" t="str">
        <f aca="false">IF(A11="","",IFERROR(INDEX(Cadastro!$I$5:$I$304,MATCH(A11,Cadastro!$A$5:$A$304,0)),""))</f>
        <v>T2</v>
      </c>
      <c r="I11" s="25" t="n">
        <f aca="false">IF(OR(C11="",$E$4=""),"",C11/$E$4-1)</f>
        <v>0.0129870129870129</v>
      </c>
      <c r="J11" s="12" t="str">
        <f aca="false">IF(I11="","",IF(AND(D11="S",I11&gt;0,I11&lt;=Parâmetros!$B$9),"S","N"))</f>
        <v>S</v>
      </c>
      <c r="K11" s="12" t="n">
        <f aca="false">IF(I11="",0,IF(OR(I11=0,J11="S"),1,0))</f>
        <v>1</v>
      </c>
      <c r="L11" s="26" t="n">
        <f aca="false">IF(K11=0,"",VALUE(RIGHT(H11,1))*1000-IF(E11="S",100,0)-IF(F11="S",10,0)-IF(G11="MEI",1,0)-IFERROR(INDEX(Cadastro!$W$5:$W$304,MATCH(A11,Cadastro!$A$5:$A$304,0))/100,0)+I11)</f>
        <v>1999.98298701299</v>
      </c>
      <c r="M11" s="12" t="n">
        <f aca="false">IF(L11="",0,IF(L11=MIN($L$11:$L$22),1,0))</f>
        <v>0</v>
      </c>
      <c r="N11" s="12" t="str">
        <f aca="false">IF(M11=0,"",IF(I11=0,"Menor preço",IF(VALUE(RIGHT(H11,1))&lt;VALUE(RIGHT(INDEX($H$11:$H$22,MATCH(0,$I$11:$I$22,0)),1)),"Empate ficto + preferência local — deve cobrir o menor preço em 1 dia útil","Empate ficto — deve cobrir o menor preço em 1 dia útil")))</f>
        <v/>
      </c>
    </row>
    <row r="12" customFormat="false" ht="15" hidden="false" customHeight="false" outlineLevel="0" collapsed="false">
      <c r="A12" s="11" t="s">
        <v>183</v>
      </c>
      <c r="B12" s="17" t="str">
        <f aca="false">IF(A12="","",IFERROR(INDEX(Cadastro!$B$5:$B$304,MATCH(A12,Cadastro!$A$5:$A$304,0)),"ID não encontrado"))</f>
        <v>Lanches da Tia Rosa MEI</v>
      </c>
      <c r="C12" s="19" t="n">
        <v>4200</v>
      </c>
      <c r="D12" s="17" t="str">
        <f aca="false">IF(A12="","",IFERROR(INDEX(Cadastro!$E$5:$E$304,MATCH(A12,Cadastro!$A$5:$A$304,0)),""))</f>
        <v>S</v>
      </c>
      <c r="E12" s="17" t="str">
        <f aca="false">IF(A12="","",IFERROR(INDEX(Cadastro!$F$5:$F$304,MATCH(A12,Cadastro!$A$5:$A$304,0)),""))</f>
        <v>S</v>
      </c>
      <c r="F12" s="17" t="str">
        <f aca="false">IF(A12="","",IFERROR(INDEX(Cadastro!$G$5:$G$304,MATCH(A12,Cadastro!$A$5:$A$304,0)),""))</f>
        <v>S</v>
      </c>
      <c r="G12" s="17" t="str">
        <f aca="false">IF(A12="","",IFERROR(INDEX(Cadastro!$D$5:$D$304,MATCH(A12,Cadastro!$A$5:$A$304,0)),""))</f>
        <v>MEI</v>
      </c>
      <c r="H12" s="17" t="str">
        <f aca="false">IF(A12="","",IFERROR(INDEX(Cadastro!$I$5:$I$304,MATCH(A12,Cadastro!$A$5:$A$304,0)),""))</f>
        <v>T1</v>
      </c>
      <c r="I12" s="25" t="n">
        <f aca="false">IF(OR(C12="",$E$4=""),"",C12/$E$4-1)</f>
        <v>0.0909090909090908</v>
      </c>
      <c r="J12" s="12" t="str">
        <f aca="false">IF(I12="","",IF(AND(D12="S",I12&gt;0,I12&lt;=Parâmetros!$B$9),"S","N"))</f>
        <v>S</v>
      </c>
      <c r="K12" s="12" t="n">
        <f aca="false">IF(I12="",0,IF(OR(I12=0,J12="S"),1,0))</f>
        <v>1</v>
      </c>
      <c r="L12" s="26" t="n">
        <f aca="false">IF(K12=0,"",VALUE(RIGHT(H12,1))*1000-IF(E12="S",100,0)-IF(F12="S",10,0)-IF(G12="MEI",1,0)-IFERROR(INDEX(Cadastro!$W$5:$W$304,MATCH(A12,Cadastro!$A$5:$A$304,0))/100,0)+I12)</f>
        <v>889.090909090909</v>
      </c>
      <c r="M12" s="12" t="n">
        <f aca="false">IF(L12="",0,IF(L12=MIN($L$11:$L$22),1,0))</f>
        <v>1</v>
      </c>
      <c r="N12" s="12" t="str">
        <f aca="false">IF(M12=0,"",IF(I12=0,"Menor preço",IF(VALUE(RIGHT(H12,1))&lt;VALUE(RIGHT(INDEX($H$11:$H$22,MATCH(0,$I$11:$I$22,0)),1)),"Empate ficto + preferência local — deve cobrir o menor preço em 1 dia útil","Empate ficto — deve cobrir o menor preço em 1 dia útil")))</f>
        <v>Empate ficto + preferência local — deve cobrir o menor preço em 1 dia útil</v>
      </c>
    </row>
    <row r="13" customFormat="false" ht="15" hidden="false" customHeight="false" outlineLevel="0" collapsed="false">
      <c r="A13" s="11" t="s">
        <v>157</v>
      </c>
      <c r="B13" s="17" t="str">
        <f aca="false">IF(A13="","",IFERROR(INDEX(Cadastro!$B$5:$B$304,MATCH(A13,Cadastro!$A$5:$A$304,0)),"ID não encontrado"))</f>
        <v>João Som &amp; Luz MEI</v>
      </c>
      <c r="C13" s="19" t="n">
        <v>3850</v>
      </c>
      <c r="D13" s="17" t="str">
        <f aca="false">IF(A13="","",IFERROR(INDEX(Cadastro!$E$5:$E$304,MATCH(A13,Cadastro!$A$5:$A$304,0)),""))</f>
        <v>S</v>
      </c>
      <c r="E13" s="17" t="str">
        <f aca="false">IF(A13="","",IFERROR(INDEX(Cadastro!$F$5:$F$304,MATCH(A13,Cadastro!$A$5:$A$304,0)),""))</f>
        <v>N</v>
      </c>
      <c r="F13" s="17" t="str">
        <f aca="false">IF(A13="","",IFERROR(INDEX(Cadastro!$G$5:$G$304,MATCH(A13,Cadastro!$A$5:$A$304,0)),""))</f>
        <v>N</v>
      </c>
      <c r="G13" s="17" t="str">
        <f aca="false">IF(A13="","",IFERROR(INDEX(Cadastro!$D$5:$D$304,MATCH(A13,Cadastro!$A$5:$A$304,0)),""))</f>
        <v>MEI</v>
      </c>
      <c r="H13" s="17" t="str">
        <f aca="false">IF(A13="","",IFERROR(INDEX(Cadastro!$I$5:$I$304,MATCH(A13,Cadastro!$A$5:$A$304,0)),""))</f>
        <v>T2</v>
      </c>
      <c r="I13" s="25" t="n">
        <f aca="false">IF(OR(C13="",$E$4=""),"",C13/$E$4-1)</f>
        <v>0</v>
      </c>
      <c r="J13" s="12" t="str">
        <f aca="false">IF(I13="","",IF(AND(D13="S",I13&gt;0,I13&lt;=Parâmetros!$B$9),"S","N"))</f>
        <v>N</v>
      </c>
      <c r="K13" s="12" t="n">
        <f aca="false">IF(I13="",0,IF(OR(I13=0,J13="S"),1,0))</f>
        <v>1</v>
      </c>
      <c r="L13" s="26" t="n">
        <f aca="false">IF(K13=0,"",VALUE(RIGHT(H13,1))*1000-IF(E13="S",100,0)-IF(F13="S",10,0)-IF(G13="MEI",1,0)-IFERROR(INDEX(Cadastro!$W$5:$W$304,MATCH(A13,Cadastro!$A$5:$A$304,0))/100,0)+I13)</f>
        <v>1998.96</v>
      </c>
      <c r="M13" s="12" t="n">
        <f aca="false">IF(L13="",0,IF(L13=MIN($L$11:$L$22),1,0))</f>
        <v>0</v>
      </c>
      <c r="N13" s="12" t="str">
        <f aca="false">IF(M13=0,"",IF(I13=0,"Menor preço",IF(VALUE(RIGHT(H13,1))&lt;VALUE(RIGHT(INDEX($H$11:$H$22,MATCH(0,$I$11:$I$22,0)),1)),"Empate ficto + preferência local — deve cobrir o menor preço em 1 dia útil","Empate ficto — deve cobrir o menor preço em 1 dia útil")))</f>
        <v/>
      </c>
    </row>
    <row r="14" customFormat="false" ht="15" hidden="false" customHeight="false" outlineLevel="0" collapsed="false">
      <c r="A14" s="11"/>
      <c r="B14" s="17" t="str">
        <f aca="false">IF(A14="","",IFERROR(INDEX(Cadastro!$B$5:$B$304,MATCH(A14,Cadastro!$A$5:$A$304,0)),"ID não encontrado"))</f>
        <v/>
      </c>
      <c r="C14" s="19"/>
      <c r="D14" s="17" t="str">
        <f aca="false">IF(A14="","",IFERROR(INDEX(Cadastro!$E$5:$E$304,MATCH(A14,Cadastro!$A$5:$A$304,0)),""))</f>
        <v/>
      </c>
      <c r="E14" s="17" t="str">
        <f aca="false">IF(A14="","",IFERROR(INDEX(Cadastro!$F$5:$F$304,MATCH(A14,Cadastro!$A$5:$A$304,0)),""))</f>
        <v/>
      </c>
      <c r="F14" s="17" t="str">
        <f aca="false">IF(A14="","",IFERROR(INDEX(Cadastro!$G$5:$G$304,MATCH(A14,Cadastro!$A$5:$A$304,0)),""))</f>
        <v/>
      </c>
      <c r="G14" s="17" t="str">
        <f aca="false">IF(A14="","",IFERROR(INDEX(Cadastro!$D$5:$D$304,MATCH(A14,Cadastro!$A$5:$A$304,0)),""))</f>
        <v/>
      </c>
      <c r="H14" s="17" t="str">
        <f aca="false">IF(A14="","",IFERROR(INDEX(Cadastro!$I$5:$I$304,MATCH(A14,Cadastro!$A$5:$A$304,0)),""))</f>
        <v/>
      </c>
      <c r="I14" s="25" t="str">
        <f aca="false">IF(OR(C14="",$E$4=""),"",C14/$E$4-1)</f>
        <v/>
      </c>
      <c r="J14" s="12" t="str">
        <f aca="false">IF(I14="","",IF(AND(D14="S",I14&gt;0,I14&lt;=Parâmetros!$B$9),"S","N"))</f>
        <v/>
      </c>
      <c r="K14" s="12" t="n">
        <f aca="false">IF(I14="",0,IF(OR(I14=0,J14="S"),1,0))</f>
        <v>0</v>
      </c>
      <c r="L14" s="12" t="str">
        <f aca="false">IF(K14=0,"",VALUE(RIGHT(H14,1))*1000-IF(E14="S",100,0)-IF(F14="S",10,0)-IF(G14="MEI",1,0)-IFERROR(INDEX(Cadastro!$W$5:$W$304,MATCH(A14,Cadastro!$A$5:$A$304,0))/100,0)+I14)</f>
        <v/>
      </c>
      <c r="M14" s="12" t="n">
        <f aca="false">IF(L14="",0,IF(L14=MIN($L$11:$L$22),1,0))</f>
        <v>0</v>
      </c>
      <c r="N14" s="12" t="str">
        <f aca="false">IF(M14=0,"",IF(I14=0,"Menor preço",IF(VALUE(RIGHT(H14,1))&lt;VALUE(RIGHT(INDEX($H$11:$H$22,MATCH(0,$I$11:$I$22,0)),1)),"Empate ficto + preferência local — deve cobrir o menor preço em 1 dia útil","Empate ficto — deve cobrir o menor preço em 1 dia útil")))</f>
        <v/>
      </c>
    </row>
    <row r="15" customFormat="false" ht="15" hidden="false" customHeight="false" outlineLevel="0" collapsed="false">
      <c r="A15" s="11"/>
      <c r="B15" s="17" t="str">
        <f aca="false">IF(A15="","",IFERROR(INDEX(Cadastro!$B$5:$B$304,MATCH(A15,Cadastro!$A$5:$A$304,0)),"ID não encontrado"))</f>
        <v/>
      </c>
      <c r="C15" s="19"/>
      <c r="D15" s="17" t="str">
        <f aca="false">IF(A15="","",IFERROR(INDEX(Cadastro!$E$5:$E$304,MATCH(A15,Cadastro!$A$5:$A$304,0)),""))</f>
        <v/>
      </c>
      <c r="E15" s="17" t="str">
        <f aca="false">IF(A15="","",IFERROR(INDEX(Cadastro!$F$5:$F$304,MATCH(A15,Cadastro!$A$5:$A$304,0)),""))</f>
        <v/>
      </c>
      <c r="F15" s="17" t="str">
        <f aca="false">IF(A15="","",IFERROR(INDEX(Cadastro!$G$5:$G$304,MATCH(A15,Cadastro!$A$5:$A$304,0)),""))</f>
        <v/>
      </c>
      <c r="G15" s="17" t="str">
        <f aca="false">IF(A15="","",IFERROR(INDEX(Cadastro!$D$5:$D$304,MATCH(A15,Cadastro!$A$5:$A$304,0)),""))</f>
        <v/>
      </c>
      <c r="H15" s="17" t="str">
        <f aca="false">IF(A15="","",IFERROR(INDEX(Cadastro!$I$5:$I$304,MATCH(A15,Cadastro!$A$5:$A$304,0)),""))</f>
        <v/>
      </c>
      <c r="I15" s="25" t="str">
        <f aca="false">IF(OR(C15="",$E$4=""),"",C15/$E$4-1)</f>
        <v/>
      </c>
      <c r="J15" s="12" t="str">
        <f aca="false">IF(I15="","",IF(AND(D15="S",I15&gt;0,I15&lt;=Parâmetros!$B$9),"S","N"))</f>
        <v/>
      </c>
      <c r="K15" s="12" t="n">
        <f aca="false">IF(I15="",0,IF(OR(I15=0,J15="S"),1,0))</f>
        <v>0</v>
      </c>
      <c r="L15" s="12" t="str">
        <f aca="false">IF(K15=0,"",VALUE(RIGHT(H15,1))*1000-IF(E15="S",100,0)-IF(F15="S",10,0)-IF(G15="MEI",1,0)-IFERROR(INDEX(Cadastro!$W$5:$W$304,MATCH(A15,Cadastro!$A$5:$A$304,0))/100,0)+I15)</f>
        <v/>
      </c>
      <c r="M15" s="12" t="n">
        <f aca="false">IF(L15="",0,IF(L15=MIN($L$11:$L$22),1,0))</f>
        <v>0</v>
      </c>
      <c r="N15" s="12" t="str">
        <f aca="false">IF(M15=0,"",IF(I15=0,"Menor preço",IF(VALUE(RIGHT(H15,1))&lt;VALUE(RIGHT(INDEX($H$11:$H$22,MATCH(0,$I$11:$I$22,0)),1)),"Empate ficto + preferência local — deve cobrir o menor preço em 1 dia útil","Empate ficto — deve cobrir o menor preço em 1 dia útil")))</f>
        <v/>
      </c>
    </row>
    <row r="16" customFormat="false" ht="15" hidden="false" customHeight="false" outlineLevel="0" collapsed="false">
      <c r="A16" s="11"/>
      <c r="B16" s="17" t="str">
        <f aca="false">IF(A16="","",IFERROR(INDEX(Cadastro!$B$5:$B$304,MATCH(A16,Cadastro!$A$5:$A$304,0)),"ID não encontrado"))</f>
        <v/>
      </c>
      <c r="C16" s="19"/>
      <c r="D16" s="17" t="str">
        <f aca="false">IF(A16="","",IFERROR(INDEX(Cadastro!$E$5:$E$304,MATCH(A16,Cadastro!$A$5:$A$304,0)),""))</f>
        <v/>
      </c>
      <c r="E16" s="17" t="str">
        <f aca="false">IF(A16="","",IFERROR(INDEX(Cadastro!$F$5:$F$304,MATCH(A16,Cadastro!$A$5:$A$304,0)),""))</f>
        <v/>
      </c>
      <c r="F16" s="17" t="str">
        <f aca="false">IF(A16="","",IFERROR(INDEX(Cadastro!$G$5:$G$304,MATCH(A16,Cadastro!$A$5:$A$304,0)),""))</f>
        <v/>
      </c>
      <c r="G16" s="17" t="str">
        <f aca="false">IF(A16="","",IFERROR(INDEX(Cadastro!$D$5:$D$304,MATCH(A16,Cadastro!$A$5:$A$304,0)),""))</f>
        <v/>
      </c>
      <c r="H16" s="17" t="str">
        <f aca="false">IF(A16="","",IFERROR(INDEX(Cadastro!$I$5:$I$304,MATCH(A16,Cadastro!$A$5:$A$304,0)),""))</f>
        <v/>
      </c>
      <c r="I16" s="25" t="str">
        <f aca="false">IF(OR(C16="",$E$4=""),"",C16/$E$4-1)</f>
        <v/>
      </c>
      <c r="J16" s="12" t="str">
        <f aca="false">IF(I16="","",IF(AND(D16="S",I16&gt;0,I16&lt;=Parâmetros!$B$9),"S","N"))</f>
        <v/>
      </c>
      <c r="K16" s="12" t="n">
        <f aca="false">IF(I16="",0,IF(OR(I16=0,J16="S"),1,0))</f>
        <v>0</v>
      </c>
      <c r="L16" s="12" t="str">
        <f aca="false">IF(K16=0,"",VALUE(RIGHT(H16,1))*1000-IF(E16="S",100,0)-IF(F16="S",10,0)-IF(G16="MEI",1,0)-IFERROR(INDEX(Cadastro!$W$5:$W$304,MATCH(A16,Cadastro!$A$5:$A$304,0))/100,0)+I16)</f>
        <v/>
      </c>
      <c r="M16" s="12" t="n">
        <f aca="false">IF(L16="",0,IF(L16=MIN($L$11:$L$22),1,0))</f>
        <v>0</v>
      </c>
      <c r="N16" s="12" t="str">
        <f aca="false">IF(M16=0,"",IF(I16=0,"Menor preço",IF(VALUE(RIGHT(H16,1))&lt;VALUE(RIGHT(INDEX($H$11:$H$22,MATCH(0,$I$11:$I$22,0)),1)),"Empate ficto + preferência local — deve cobrir o menor preço em 1 dia útil","Empate ficto — deve cobrir o menor preço em 1 dia útil")))</f>
        <v/>
      </c>
    </row>
    <row r="17" customFormat="false" ht="15" hidden="false" customHeight="false" outlineLevel="0" collapsed="false">
      <c r="A17" s="11"/>
      <c r="B17" s="17" t="str">
        <f aca="false">IF(A17="","",IFERROR(INDEX(Cadastro!$B$5:$B$304,MATCH(A17,Cadastro!$A$5:$A$304,0)),"ID não encontrado"))</f>
        <v/>
      </c>
      <c r="C17" s="19"/>
      <c r="D17" s="17" t="str">
        <f aca="false">IF(A17="","",IFERROR(INDEX(Cadastro!$E$5:$E$304,MATCH(A17,Cadastro!$A$5:$A$304,0)),""))</f>
        <v/>
      </c>
      <c r="E17" s="17" t="str">
        <f aca="false">IF(A17="","",IFERROR(INDEX(Cadastro!$F$5:$F$304,MATCH(A17,Cadastro!$A$5:$A$304,0)),""))</f>
        <v/>
      </c>
      <c r="F17" s="17" t="str">
        <f aca="false">IF(A17="","",IFERROR(INDEX(Cadastro!$G$5:$G$304,MATCH(A17,Cadastro!$A$5:$A$304,0)),""))</f>
        <v/>
      </c>
      <c r="G17" s="17" t="str">
        <f aca="false">IF(A17="","",IFERROR(INDEX(Cadastro!$D$5:$D$304,MATCH(A17,Cadastro!$A$5:$A$304,0)),""))</f>
        <v/>
      </c>
      <c r="H17" s="17" t="str">
        <f aca="false">IF(A17="","",IFERROR(INDEX(Cadastro!$I$5:$I$304,MATCH(A17,Cadastro!$A$5:$A$304,0)),""))</f>
        <v/>
      </c>
      <c r="I17" s="25" t="str">
        <f aca="false">IF(OR(C17="",$E$4=""),"",C17/$E$4-1)</f>
        <v/>
      </c>
      <c r="J17" s="12" t="str">
        <f aca="false">IF(I17="","",IF(AND(D17="S",I17&gt;0,I17&lt;=Parâmetros!$B$9),"S","N"))</f>
        <v/>
      </c>
      <c r="K17" s="12" t="n">
        <f aca="false">IF(I17="",0,IF(OR(I17=0,J17="S"),1,0))</f>
        <v>0</v>
      </c>
      <c r="L17" s="12" t="str">
        <f aca="false">IF(K17=0,"",VALUE(RIGHT(H17,1))*1000-IF(E17="S",100,0)-IF(F17="S",10,0)-IF(G17="MEI",1,0)-IFERROR(INDEX(Cadastro!$W$5:$W$304,MATCH(A17,Cadastro!$A$5:$A$304,0))/100,0)+I17)</f>
        <v/>
      </c>
      <c r="M17" s="12" t="n">
        <f aca="false">IF(L17="",0,IF(L17=MIN($L$11:$L$22),1,0))</f>
        <v>0</v>
      </c>
      <c r="N17" s="12" t="str">
        <f aca="false">IF(M17=0,"",IF(I17=0,"Menor preço",IF(VALUE(RIGHT(H17,1))&lt;VALUE(RIGHT(INDEX($H$11:$H$22,MATCH(0,$I$11:$I$22,0)),1)),"Empate ficto + preferência local — deve cobrir o menor preço em 1 dia útil","Empate ficto — deve cobrir o menor preço em 1 dia útil")))</f>
        <v/>
      </c>
    </row>
    <row r="18" customFormat="false" ht="15" hidden="false" customHeight="false" outlineLevel="0" collapsed="false">
      <c r="A18" s="11"/>
      <c r="B18" s="17" t="str">
        <f aca="false">IF(A18="","",IFERROR(INDEX(Cadastro!$B$5:$B$304,MATCH(A18,Cadastro!$A$5:$A$304,0)),"ID não encontrado"))</f>
        <v/>
      </c>
      <c r="C18" s="19"/>
      <c r="D18" s="17" t="str">
        <f aca="false">IF(A18="","",IFERROR(INDEX(Cadastro!$E$5:$E$304,MATCH(A18,Cadastro!$A$5:$A$304,0)),""))</f>
        <v/>
      </c>
      <c r="E18" s="17" t="str">
        <f aca="false">IF(A18="","",IFERROR(INDEX(Cadastro!$F$5:$F$304,MATCH(A18,Cadastro!$A$5:$A$304,0)),""))</f>
        <v/>
      </c>
      <c r="F18" s="17" t="str">
        <f aca="false">IF(A18="","",IFERROR(INDEX(Cadastro!$G$5:$G$304,MATCH(A18,Cadastro!$A$5:$A$304,0)),""))</f>
        <v/>
      </c>
      <c r="G18" s="17" t="str">
        <f aca="false">IF(A18="","",IFERROR(INDEX(Cadastro!$D$5:$D$304,MATCH(A18,Cadastro!$A$5:$A$304,0)),""))</f>
        <v/>
      </c>
      <c r="H18" s="17" t="str">
        <f aca="false">IF(A18="","",IFERROR(INDEX(Cadastro!$I$5:$I$304,MATCH(A18,Cadastro!$A$5:$A$304,0)),""))</f>
        <v/>
      </c>
      <c r="I18" s="25" t="str">
        <f aca="false">IF(OR(C18="",$E$4=""),"",C18/$E$4-1)</f>
        <v/>
      </c>
      <c r="J18" s="12" t="str">
        <f aca="false">IF(I18="","",IF(AND(D18="S",I18&gt;0,I18&lt;=Parâmetros!$B$9),"S","N"))</f>
        <v/>
      </c>
      <c r="K18" s="12" t="n">
        <f aca="false">IF(I18="",0,IF(OR(I18=0,J18="S"),1,0))</f>
        <v>0</v>
      </c>
      <c r="L18" s="12" t="str">
        <f aca="false">IF(K18=0,"",VALUE(RIGHT(H18,1))*1000-IF(E18="S",100,0)-IF(F18="S",10,0)-IF(G18="MEI",1,0)-IFERROR(INDEX(Cadastro!$W$5:$W$304,MATCH(A18,Cadastro!$A$5:$A$304,0))/100,0)+I18)</f>
        <v/>
      </c>
      <c r="M18" s="12" t="n">
        <f aca="false">IF(L18="",0,IF(L18=MIN($L$11:$L$22),1,0))</f>
        <v>0</v>
      </c>
      <c r="N18" s="12" t="str">
        <f aca="false">IF(M18=0,"",IF(I18=0,"Menor preço",IF(VALUE(RIGHT(H18,1))&lt;VALUE(RIGHT(INDEX($H$11:$H$22,MATCH(0,$I$11:$I$22,0)),1)),"Empate ficto + preferência local — deve cobrir o menor preço em 1 dia útil","Empate ficto — deve cobrir o menor preço em 1 dia útil")))</f>
        <v/>
      </c>
    </row>
    <row r="19" customFormat="false" ht="15" hidden="false" customHeight="false" outlineLevel="0" collapsed="false">
      <c r="A19" s="11"/>
      <c r="B19" s="17" t="str">
        <f aca="false">IF(A19="","",IFERROR(INDEX(Cadastro!$B$5:$B$304,MATCH(A19,Cadastro!$A$5:$A$304,0)),"ID não encontrado"))</f>
        <v/>
      </c>
      <c r="C19" s="19"/>
      <c r="D19" s="17" t="str">
        <f aca="false">IF(A19="","",IFERROR(INDEX(Cadastro!$E$5:$E$304,MATCH(A19,Cadastro!$A$5:$A$304,0)),""))</f>
        <v/>
      </c>
      <c r="E19" s="17" t="str">
        <f aca="false">IF(A19="","",IFERROR(INDEX(Cadastro!$F$5:$F$304,MATCH(A19,Cadastro!$A$5:$A$304,0)),""))</f>
        <v/>
      </c>
      <c r="F19" s="17" t="str">
        <f aca="false">IF(A19="","",IFERROR(INDEX(Cadastro!$G$5:$G$304,MATCH(A19,Cadastro!$A$5:$A$304,0)),""))</f>
        <v/>
      </c>
      <c r="G19" s="17" t="str">
        <f aca="false">IF(A19="","",IFERROR(INDEX(Cadastro!$D$5:$D$304,MATCH(A19,Cadastro!$A$5:$A$304,0)),""))</f>
        <v/>
      </c>
      <c r="H19" s="17" t="str">
        <f aca="false">IF(A19="","",IFERROR(INDEX(Cadastro!$I$5:$I$304,MATCH(A19,Cadastro!$A$5:$A$304,0)),""))</f>
        <v/>
      </c>
      <c r="I19" s="25" t="str">
        <f aca="false">IF(OR(C19="",$E$4=""),"",C19/$E$4-1)</f>
        <v/>
      </c>
      <c r="J19" s="12" t="str">
        <f aca="false">IF(I19="","",IF(AND(D19="S",I19&gt;0,I19&lt;=Parâmetros!$B$9),"S","N"))</f>
        <v/>
      </c>
      <c r="K19" s="12" t="n">
        <f aca="false">IF(I19="",0,IF(OR(I19=0,J19="S"),1,0))</f>
        <v>0</v>
      </c>
      <c r="L19" s="12" t="str">
        <f aca="false">IF(K19=0,"",VALUE(RIGHT(H19,1))*1000-IF(E19="S",100,0)-IF(F19="S",10,0)-IF(G19="MEI",1,0)-IFERROR(INDEX(Cadastro!$W$5:$W$304,MATCH(A19,Cadastro!$A$5:$A$304,0))/100,0)+I19)</f>
        <v/>
      </c>
      <c r="M19" s="12" t="n">
        <f aca="false">IF(L19="",0,IF(L19=MIN($L$11:$L$22),1,0))</f>
        <v>0</v>
      </c>
      <c r="N19" s="12" t="str">
        <f aca="false">IF(M19=0,"",IF(I19=0,"Menor preço",IF(VALUE(RIGHT(H19,1))&lt;VALUE(RIGHT(INDEX($H$11:$H$22,MATCH(0,$I$11:$I$22,0)),1)),"Empate ficto + preferência local — deve cobrir o menor preço em 1 dia útil","Empate ficto — deve cobrir o menor preço em 1 dia útil")))</f>
        <v/>
      </c>
    </row>
    <row r="20" customFormat="false" ht="15" hidden="false" customHeight="false" outlineLevel="0" collapsed="false">
      <c r="A20" s="11"/>
      <c r="B20" s="17" t="str">
        <f aca="false">IF(A20="","",IFERROR(INDEX(Cadastro!$B$5:$B$304,MATCH(A20,Cadastro!$A$5:$A$304,0)),"ID não encontrado"))</f>
        <v/>
      </c>
      <c r="C20" s="19"/>
      <c r="D20" s="17" t="str">
        <f aca="false">IF(A20="","",IFERROR(INDEX(Cadastro!$E$5:$E$304,MATCH(A20,Cadastro!$A$5:$A$304,0)),""))</f>
        <v/>
      </c>
      <c r="E20" s="17" t="str">
        <f aca="false">IF(A20="","",IFERROR(INDEX(Cadastro!$F$5:$F$304,MATCH(A20,Cadastro!$A$5:$A$304,0)),""))</f>
        <v/>
      </c>
      <c r="F20" s="17" t="str">
        <f aca="false">IF(A20="","",IFERROR(INDEX(Cadastro!$G$5:$G$304,MATCH(A20,Cadastro!$A$5:$A$304,0)),""))</f>
        <v/>
      </c>
      <c r="G20" s="17" t="str">
        <f aca="false">IF(A20="","",IFERROR(INDEX(Cadastro!$D$5:$D$304,MATCH(A20,Cadastro!$A$5:$A$304,0)),""))</f>
        <v/>
      </c>
      <c r="H20" s="17" t="str">
        <f aca="false">IF(A20="","",IFERROR(INDEX(Cadastro!$I$5:$I$304,MATCH(A20,Cadastro!$A$5:$A$304,0)),""))</f>
        <v/>
      </c>
      <c r="I20" s="25" t="str">
        <f aca="false">IF(OR(C20="",$E$4=""),"",C20/$E$4-1)</f>
        <v/>
      </c>
      <c r="J20" s="12" t="str">
        <f aca="false">IF(I20="","",IF(AND(D20="S",I20&gt;0,I20&lt;=Parâmetros!$B$9),"S","N"))</f>
        <v/>
      </c>
      <c r="K20" s="12" t="n">
        <f aca="false">IF(I20="",0,IF(OR(I20=0,J20="S"),1,0))</f>
        <v>0</v>
      </c>
      <c r="L20" s="12" t="str">
        <f aca="false">IF(K20=0,"",VALUE(RIGHT(H20,1))*1000-IF(E20="S",100,0)-IF(F20="S",10,0)-IF(G20="MEI",1,0)-IFERROR(INDEX(Cadastro!$W$5:$W$304,MATCH(A20,Cadastro!$A$5:$A$304,0))/100,0)+I20)</f>
        <v/>
      </c>
      <c r="M20" s="12" t="n">
        <f aca="false">IF(L20="",0,IF(L20=MIN($L$11:$L$22),1,0))</f>
        <v>0</v>
      </c>
      <c r="N20" s="12" t="str">
        <f aca="false">IF(M20=0,"",IF(I20=0,"Menor preço",IF(VALUE(RIGHT(H20,1))&lt;VALUE(RIGHT(INDEX($H$11:$H$22,MATCH(0,$I$11:$I$22,0)),1)),"Empate ficto + preferência local — deve cobrir o menor preço em 1 dia útil","Empate ficto — deve cobrir o menor preço em 1 dia útil")))</f>
        <v/>
      </c>
    </row>
    <row r="21" customFormat="false" ht="15" hidden="false" customHeight="false" outlineLevel="0" collapsed="false">
      <c r="A21" s="11"/>
      <c r="B21" s="17" t="str">
        <f aca="false">IF(A21="","",IFERROR(INDEX(Cadastro!$B$5:$B$304,MATCH(A21,Cadastro!$A$5:$A$304,0)),"ID não encontrado"))</f>
        <v/>
      </c>
      <c r="C21" s="19"/>
      <c r="D21" s="17" t="str">
        <f aca="false">IF(A21="","",IFERROR(INDEX(Cadastro!$E$5:$E$304,MATCH(A21,Cadastro!$A$5:$A$304,0)),""))</f>
        <v/>
      </c>
      <c r="E21" s="17" t="str">
        <f aca="false">IF(A21="","",IFERROR(INDEX(Cadastro!$F$5:$F$304,MATCH(A21,Cadastro!$A$5:$A$304,0)),""))</f>
        <v/>
      </c>
      <c r="F21" s="17" t="str">
        <f aca="false">IF(A21="","",IFERROR(INDEX(Cadastro!$G$5:$G$304,MATCH(A21,Cadastro!$A$5:$A$304,0)),""))</f>
        <v/>
      </c>
      <c r="G21" s="17" t="str">
        <f aca="false">IF(A21="","",IFERROR(INDEX(Cadastro!$D$5:$D$304,MATCH(A21,Cadastro!$A$5:$A$304,0)),""))</f>
        <v/>
      </c>
      <c r="H21" s="17" t="str">
        <f aca="false">IF(A21="","",IFERROR(INDEX(Cadastro!$I$5:$I$304,MATCH(A21,Cadastro!$A$5:$A$304,0)),""))</f>
        <v/>
      </c>
      <c r="I21" s="25" t="str">
        <f aca="false">IF(OR(C21="",$E$4=""),"",C21/$E$4-1)</f>
        <v/>
      </c>
      <c r="J21" s="12" t="str">
        <f aca="false">IF(I21="","",IF(AND(D21="S",I21&gt;0,I21&lt;=Parâmetros!$B$9),"S","N"))</f>
        <v/>
      </c>
      <c r="K21" s="12" t="n">
        <f aca="false">IF(I21="",0,IF(OR(I21=0,J21="S"),1,0))</f>
        <v>0</v>
      </c>
      <c r="L21" s="12" t="str">
        <f aca="false">IF(K21=0,"",VALUE(RIGHT(H21,1))*1000-IF(E21="S",100,0)-IF(F21="S",10,0)-IF(G21="MEI",1,0)-IFERROR(INDEX(Cadastro!$W$5:$W$304,MATCH(A21,Cadastro!$A$5:$A$304,0))/100,0)+I21)</f>
        <v/>
      </c>
      <c r="M21" s="12" t="n">
        <f aca="false">IF(L21="",0,IF(L21=MIN($L$11:$L$22),1,0))</f>
        <v>0</v>
      </c>
      <c r="N21" s="12" t="str">
        <f aca="false">IF(M21=0,"",IF(I21=0,"Menor preço",IF(VALUE(RIGHT(H21,1))&lt;VALUE(RIGHT(INDEX($H$11:$H$22,MATCH(0,$I$11:$I$22,0)),1)),"Empate ficto + preferência local — deve cobrir o menor preço em 1 dia útil","Empate ficto — deve cobrir o menor preço em 1 dia útil")))</f>
        <v/>
      </c>
    </row>
    <row r="22" customFormat="false" ht="15" hidden="false" customHeight="false" outlineLevel="0" collapsed="false">
      <c r="A22" s="11"/>
      <c r="B22" s="17" t="str">
        <f aca="false">IF(A22="","",IFERROR(INDEX(Cadastro!$B$5:$B$304,MATCH(A22,Cadastro!$A$5:$A$304,0)),"ID não encontrado"))</f>
        <v/>
      </c>
      <c r="C22" s="19"/>
      <c r="D22" s="17" t="str">
        <f aca="false">IF(A22="","",IFERROR(INDEX(Cadastro!$E$5:$E$304,MATCH(A22,Cadastro!$A$5:$A$304,0)),""))</f>
        <v/>
      </c>
      <c r="E22" s="17" t="str">
        <f aca="false">IF(A22="","",IFERROR(INDEX(Cadastro!$F$5:$F$304,MATCH(A22,Cadastro!$A$5:$A$304,0)),""))</f>
        <v/>
      </c>
      <c r="F22" s="17" t="str">
        <f aca="false">IF(A22="","",IFERROR(INDEX(Cadastro!$G$5:$G$304,MATCH(A22,Cadastro!$A$5:$A$304,0)),""))</f>
        <v/>
      </c>
      <c r="G22" s="17" t="str">
        <f aca="false">IF(A22="","",IFERROR(INDEX(Cadastro!$D$5:$D$304,MATCH(A22,Cadastro!$A$5:$A$304,0)),""))</f>
        <v/>
      </c>
      <c r="H22" s="17" t="str">
        <f aca="false">IF(A22="","",IFERROR(INDEX(Cadastro!$I$5:$I$304,MATCH(A22,Cadastro!$A$5:$A$304,0)),""))</f>
        <v/>
      </c>
      <c r="I22" s="25" t="str">
        <f aca="false">IF(OR(C22="",$E$4=""),"",C22/$E$4-1)</f>
        <v/>
      </c>
      <c r="J22" s="12" t="str">
        <f aca="false">IF(I22="","",IF(AND(D22="S",I22&gt;0,I22&lt;=Parâmetros!$B$9),"S","N"))</f>
        <v/>
      </c>
      <c r="K22" s="12" t="n">
        <f aca="false">IF(I22="",0,IF(OR(I22=0,J22="S"),1,0))</f>
        <v>0</v>
      </c>
      <c r="L22" s="12" t="str">
        <f aca="false">IF(K22=0,"",VALUE(RIGHT(H22,1))*1000-IF(E22="S",100,0)-IF(F22="S",10,0)-IF(G22="MEI",1,0)-IFERROR(INDEX(Cadastro!$W$5:$W$304,MATCH(A22,Cadastro!$A$5:$A$304,0))/100,0)+I22)</f>
        <v/>
      </c>
      <c r="M22" s="12" t="n">
        <f aca="false">IF(L22="",0,IF(L22=MIN($L$11:$L$22),1,0))</f>
        <v>0</v>
      </c>
      <c r="N22" s="12" t="str">
        <f aca="false">IF(M22=0,"",IF(I22=0,"Menor preço",IF(VALUE(RIGHT(H22,1))&lt;VALUE(RIGHT(INDEX($H$11:$H$22,MATCH(0,$I$11:$I$22,0)),1)),"Empate ficto + preferência local — deve cobrir o menor preço em 1 dia útil","Empate ficto — deve cobrir o menor preço em 1 dia útil")))</f>
        <v/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4" t="s">
        <v>280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true" outlineLevel="0" collapsed="false">
      <c r="A25" s="27" t="s">
        <v>281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</row>
  </sheetData>
  <mergeCells count="1">
    <mergeCell ref="A25:N27"/>
  </mergeCells>
  <conditionalFormatting sqref="A11:N22">
    <cfRule type="expression" priority="2" aboveAverage="0" equalAverage="0" bottom="0" percent="0" rank="0" text="" dxfId="2">
      <formula>$M11=1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2"/>
    <col collapsed="false" customWidth="true" hidden="false" outlineLevel="0" max="10" min="10" style="0" width="34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283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6" t="s">
        <v>284</v>
      </c>
      <c r="B4" s="6" t="s">
        <v>220</v>
      </c>
      <c r="C4" s="6" t="s">
        <v>285</v>
      </c>
      <c r="D4" s="6" t="s">
        <v>286</v>
      </c>
      <c r="E4" s="6" t="s">
        <v>287</v>
      </c>
      <c r="F4" s="6" t="s">
        <v>288</v>
      </c>
      <c r="G4" s="6" t="s">
        <v>289</v>
      </c>
      <c r="H4" s="6" t="s">
        <v>148</v>
      </c>
      <c r="I4" s="2"/>
      <c r="J4" s="4" t="s">
        <v>290</v>
      </c>
      <c r="K4" s="2"/>
    </row>
    <row r="5" customFormat="false" ht="15" hidden="false" customHeight="false" outlineLevel="0" collapsed="false">
      <c r="A5" s="13" t="n">
        <v>46315</v>
      </c>
      <c r="B5" s="11" t="s">
        <v>65</v>
      </c>
      <c r="C5" s="11" t="s">
        <v>291</v>
      </c>
      <c r="D5" s="11" t="s">
        <v>292</v>
      </c>
      <c r="E5" s="19" t="n">
        <v>19.25</v>
      </c>
      <c r="F5" s="11" t="s">
        <v>293</v>
      </c>
      <c r="G5" s="11" t="s">
        <v>149</v>
      </c>
      <c r="H5" s="11" t="s">
        <v>156</v>
      </c>
      <c r="I5" s="2"/>
      <c r="J5" s="4" t="s">
        <v>294</v>
      </c>
      <c r="K5" s="20" t="s">
        <v>291</v>
      </c>
    </row>
    <row r="6" customFormat="false" ht="15" hidden="false" customHeight="false" outlineLevel="0" collapsed="false">
      <c r="A6" s="13" t="n">
        <v>46275</v>
      </c>
      <c r="B6" s="11" t="s">
        <v>65</v>
      </c>
      <c r="C6" s="11" t="s">
        <v>291</v>
      </c>
      <c r="D6" s="11" t="s">
        <v>292</v>
      </c>
      <c r="E6" s="19" t="n">
        <v>21</v>
      </c>
      <c r="F6" s="11" t="s">
        <v>79</v>
      </c>
      <c r="G6" s="11" t="s">
        <v>183</v>
      </c>
      <c r="H6" s="11" t="s">
        <v>156</v>
      </c>
      <c r="I6" s="2"/>
      <c r="J6" s="4" t="s">
        <v>295</v>
      </c>
      <c r="K6" s="12" t="n">
        <f aca="false">COUNTIF(C5:C504,K5)</f>
        <v>2</v>
      </c>
    </row>
    <row r="7" customFormat="false" ht="15" hidden="false" customHeight="false" outlineLevel="0" collapsed="false">
      <c r="A7" s="13" t="n">
        <v>46318</v>
      </c>
      <c r="B7" s="11" t="s">
        <v>80</v>
      </c>
      <c r="C7" s="11" t="s">
        <v>296</v>
      </c>
      <c r="D7" s="11" t="s">
        <v>297</v>
      </c>
      <c r="E7" s="19" t="n">
        <v>17200</v>
      </c>
      <c r="F7" s="11" t="s">
        <v>298</v>
      </c>
      <c r="G7" s="11" t="s">
        <v>157</v>
      </c>
      <c r="H7" s="11" t="s">
        <v>156</v>
      </c>
      <c r="I7" s="2"/>
      <c r="J7" s="4" t="s">
        <v>299</v>
      </c>
      <c r="K7" s="15" t="n">
        <f aca="false">IFERROR(AVERAGEIF(C5:C504,K5,E5:E504),"")</f>
        <v>20.125</v>
      </c>
    </row>
    <row r="8" customFormat="false" ht="15" hidden="false" customHeight="false" outlineLevel="0" collapsed="false">
      <c r="A8" s="13" t="n">
        <v>46331</v>
      </c>
      <c r="B8" s="11" t="s">
        <v>95</v>
      </c>
      <c r="C8" s="11" t="s">
        <v>300</v>
      </c>
      <c r="D8" s="11" t="s">
        <v>301</v>
      </c>
      <c r="E8" s="19" t="n">
        <v>250</v>
      </c>
      <c r="F8" s="11" t="s">
        <v>302</v>
      </c>
      <c r="G8" s="11" t="s">
        <v>170</v>
      </c>
      <c r="H8" s="11" t="s">
        <v>156</v>
      </c>
      <c r="I8" s="2"/>
      <c r="J8" s="4" t="s">
        <v>303</v>
      </c>
      <c r="K8" s="15" t="n">
        <f aca="false">IFERROR(_xlfn.MINIFS(E5:E504,C5:C504,K5),"")</f>
        <v>19.25</v>
      </c>
    </row>
    <row r="9" customFormat="false" ht="15" hidden="false" customHeight="false" outlineLevel="0" collapsed="false">
      <c r="A9" s="13"/>
      <c r="B9" s="11"/>
      <c r="C9" s="11"/>
      <c r="D9" s="11"/>
      <c r="E9" s="19"/>
      <c r="F9" s="11"/>
      <c r="G9" s="11"/>
      <c r="H9" s="11"/>
      <c r="I9" s="2"/>
      <c r="J9" s="4" t="s">
        <v>304</v>
      </c>
      <c r="K9" s="15" t="n">
        <f aca="false">IF(K7="","",K7*(1+Parâmetros!$B$11))</f>
        <v>22.1375</v>
      </c>
    </row>
    <row r="10" customFormat="false" ht="15" hidden="false" customHeight="false" outlineLevel="0" collapsed="false">
      <c r="A10" s="13"/>
      <c r="B10" s="11"/>
      <c r="C10" s="11"/>
      <c r="D10" s="11"/>
      <c r="E10" s="19"/>
      <c r="F10" s="11"/>
      <c r="G10" s="11"/>
      <c r="H10" s="11"/>
      <c r="I10" s="2"/>
      <c r="J10" s="2"/>
      <c r="K10" s="2"/>
    </row>
    <row r="11" customFormat="false" ht="15" hidden="false" customHeight="false" outlineLevel="0" collapsed="false">
      <c r="A11" s="13"/>
      <c r="B11" s="11"/>
      <c r="C11" s="11"/>
      <c r="D11" s="11"/>
      <c r="E11" s="19"/>
      <c r="F11" s="11"/>
      <c r="G11" s="11"/>
      <c r="H11" s="11"/>
      <c r="I11" s="2"/>
      <c r="J11" s="2"/>
      <c r="K11" s="2"/>
    </row>
    <row r="12" customFormat="false" ht="15" hidden="false" customHeight="false" outlineLevel="0" collapsed="false">
      <c r="A12" s="13"/>
      <c r="B12" s="11"/>
      <c r="C12" s="11"/>
      <c r="D12" s="11"/>
      <c r="E12" s="19"/>
      <c r="F12" s="11"/>
      <c r="G12" s="11"/>
      <c r="H12" s="11"/>
      <c r="I12" s="2"/>
      <c r="J12" s="2"/>
      <c r="K12" s="2"/>
    </row>
    <row r="13" customFormat="false" ht="15" hidden="false" customHeight="false" outlineLevel="0" collapsed="false">
      <c r="A13" s="13"/>
      <c r="B13" s="11"/>
      <c r="C13" s="11"/>
      <c r="D13" s="11"/>
      <c r="E13" s="19"/>
      <c r="F13" s="11"/>
      <c r="G13" s="11"/>
      <c r="H13" s="11"/>
      <c r="I13" s="2"/>
      <c r="J13" s="2"/>
      <c r="K13" s="2"/>
    </row>
    <row r="14" customFormat="false" ht="15" hidden="false" customHeight="false" outlineLevel="0" collapsed="false">
      <c r="A14" s="13"/>
      <c r="B14" s="11"/>
      <c r="C14" s="11"/>
      <c r="D14" s="11"/>
      <c r="E14" s="19"/>
      <c r="F14" s="11"/>
      <c r="G14" s="11"/>
      <c r="H14" s="11"/>
      <c r="I14" s="2"/>
      <c r="J14" s="2"/>
      <c r="K14" s="2"/>
    </row>
    <row r="15" customFormat="false" ht="15" hidden="false" customHeight="false" outlineLevel="0" collapsed="false">
      <c r="A15" s="13"/>
      <c r="B15" s="11"/>
      <c r="C15" s="11"/>
      <c r="D15" s="11"/>
      <c r="E15" s="19"/>
      <c r="F15" s="11"/>
      <c r="G15" s="11"/>
      <c r="H15" s="11"/>
      <c r="I15" s="2"/>
      <c r="J15" s="2"/>
      <c r="K15" s="2"/>
    </row>
    <row r="16" customFormat="false" ht="15" hidden="false" customHeight="false" outlineLevel="0" collapsed="false">
      <c r="A16" s="13"/>
      <c r="B16" s="11"/>
      <c r="C16" s="11"/>
      <c r="D16" s="11"/>
      <c r="E16" s="19"/>
      <c r="F16" s="11"/>
      <c r="G16" s="11"/>
      <c r="H16" s="11"/>
      <c r="I16" s="2"/>
      <c r="J16" s="2"/>
      <c r="K16" s="2"/>
    </row>
    <row r="17" customFormat="false" ht="15" hidden="false" customHeight="false" outlineLevel="0" collapsed="false">
      <c r="A17" s="13"/>
      <c r="B17" s="11"/>
      <c r="C17" s="11"/>
      <c r="D17" s="11"/>
      <c r="E17" s="19"/>
      <c r="F17" s="11"/>
      <c r="G17" s="11"/>
      <c r="H17" s="11"/>
      <c r="I17" s="2"/>
      <c r="J17" s="2"/>
      <c r="K17" s="2"/>
    </row>
    <row r="18" customFormat="false" ht="15" hidden="false" customHeight="false" outlineLevel="0" collapsed="false">
      <c r="A18" s="13"/>
      <c r="B18" s="11"/>
      <c r="C18" s="11"/>
      <c r="D18" s="11"/>
      <c r="E18" s="19"/>
      <c r="F18" s="11"/>
      <c r="G18" s="11"/>
      <c r="H18" s="11"/>
      <c r="I18" s="2"/>
      <c r="J18" s="2"/>
      <c r="K18" s="2"/>
    </row>
    <row r="19" customFormat="false" ht="15" hidden="false" customHeight="false" outlineLevel="0" collapsed="false">
      <c r="A19" s="13"/>
      <c r="B19" s="11"/>
      <c r="C19" s="11"/>
      <c r="D19" s="11"/>
      <c r="E19" s="19"/>
      <c r="F19" s="11"/>
      <c r="G19" s="11"/>
      <c r="H19" s="11"/>
      <c r="I19" s="2"/>
      <c r="J19" s="2"/>
      <c r="K19" s="2"/>
    </row>
    <row r="20" customFormat="false" ht="15" hidden="false" customHeight="false" outlineLevel="0" collapsed="false">
      <c r="A20" s="13"/>
      <c r="B20" s="11"/>
      <c r="C20" s="11"/>
      <c r="D20" s="11"/>
      <c r="E20" s="19"/>
      <c r="F20" s="11"/>
      <c r="G20" s="11"/>
      <c r="H20" s="11"/>
      <c r="I20" s="2"/>
      <c r="J20" s="2"/>
      <c r="K20" s="2"/>
    </row>
    <row r="21" customFormat="false" ht="15" hidden="false" customHeight="false" outlineLevel="0" collapsed="false">
      <c r="A21" s="13"/>
      <c r="B21" s="11"/>
      <c r="C21" s="11"/>
      <c r="D21" s="11"/>
      <c r="E21" s="19"/>
      <c r="F21" s="11"/>
      <c r="G21" s="11"/>
      <c r="H21" s="11"/>
      <c r="I21" s="2"/>
      <c r="J21" s="2"/>
      <c r="K21" s="2"/>
    </row>
    <row r="22" customFormat="false" ht="15" hidden="false" customHeight="false" outlineLevel="0" collapsed="false">
      <c r="A22" s="13"/>
      <c r="B22" s="11"/>
      <c r="C22" s="11"/>
      <c r="D22" s="11"/>
      <c r="E22" s="19"/>
      <c r="F22" s="11"/>
      <c r="G22" s="11"/>
      <c r="H22" s="11"/>
      <c r="I22" s="2"/>
      <c r="J22" s="2"/>
      <c r="K22" s="2"/>
    </row>
    <row r="23" customFormat="false" ht="15" hidden="false" customHeight="false" outlineLevel="0" collapsed="false">
      <c r="A23" s="13"/>
      <c r="B23" s="11"/>
      <c r="C23" s="11"/>
      <c r="D23" s="11"/>
      <c r="E23" s="19"/>
      <c r="F23" s="11"/>
      <c r="G23" s="11"/>
      <c r="H23" s="11"/>
      <c r="I23" s="2"/>
      <c r="J23" s="2"/>
      <c r="K23" s="2"/>
    </row>
    <row r="24" customFormat="false" ht="15" hidden="false" customHeight="false" outlineLevel="0" collapsed="false">
      <c r="A24" s="13"/>
      <c r="B24" s="11"/>
      <c r="C24" s="11"/>
      <c r="D24" s="11"/>
      <c r="E24" s="19"/>
      <c r="F24" s="11"/>
      <c r="G24" s="11"/>
      <c r="H24" s="11"/>
      <c r="I24" s="2"/>
      <c r="J24" s="2"/>
      <c r="K24" s="2"/>
    </row>
    <row r="25" customFormat="false" ht="15" hidden="false" customHeight="false" outlineLevel="0" collapsed="false">
      <c r="A25" s="13"/>
      <c r="B25" s="11"/>
      <c r="C25" s="11"/>
      <c r="D25" s="11"/>
      <c r="E25" s="19"/>
      <c r="F25" s="11"/>
      <c r="G25" s="11"/>
      <c r="H25" s="11"/>
      <c r="I25" s="2"/>
      <c r="J25" s="2"/>
      <c r="K25" s="2"/>
    </row>
    <row r="26" customFormat="false" ht="15" hidden="false" customHeight="false" outlineLevel="0" collapsed="false">
      <c r="A26" s="13"/>
      <c r="B26" s="11"/>
      <c r="C26" s="11"/>
      <c r="D26" s="11"/>
      <c r="E26" s="19"/>
      <c r="F26" s="11"/>
      <c r="G26" s="11"/>
      <c r="H26" s="11"/>
      <c r="I26" s="2"/>
      <c r="J26" s="2"/>
      <c r="K26" s="2"/>
    </row>
    <row r="27" customFormat="false" ht="15" hidden="false" customHeight="false" outlineLevel="0" collapsed="false">
      <c r="A27" s="13"/>
      <c r="B27" s="11"/>
      <c r="C27" s="11"/>
      <c r="D27" s="11"/>
      <c r="E27" s="19"/>
      <c r="F27" s="11"/>
      <c r="G27" s="11"/>
      <c r="H27" s="11"/>
      <c r="I27" s="2"/>
      <c r="J27" s="2"/>
      <c r="K27" s="2"/>
    </row>
    <row r="28" customFormat="false" ht="15" hidden="false" customHeight="false" outlineLevel="0" collapsed="false">
      <c r="A28" s="13"/>
      <c r="B28" s="11"/>
      <c r="C28" s="11"/>
      <c r="D28" s="11"/>
      <c r="E28" s="19"/>
      <c r="F28" s="11"/>
      <c r="G28" s="11"/>
      <c r="H28" s="11"/>
      <c r="I28" s="2"/>
      <c r="J28" s="2"/>
      <c r="K28" s="2"/>
    </row>
    <row r="29" customFormat="false" ht="15" hidden="false" customHeight="false" outlineLevel="0" collapsed="false">
      <c r="A29" s="13"/>
      <c r="B29" s="11"/>
      <c r="C29" s="11"/>
      <c r="D29" s="11"/>
      <c r="E29" s="19"/>
      <c r="F29" s="11"/>
      <c r="G29" s="11"/>
      <c r="H29" s="11"/>
      <c r="I29" s="2"/>
      <c r="J29" s="2"/>
      <c r="K29" s="2"/>
    </row>
    <row r="30" customFormat="false" ht="15" hidden="false" customHeight="false" outlineLevel="0" collapsed="false">
      <c r="A30" s="13"/>
      <c r="B30" s="11"/>
      <c r="C30" s="11"/>
      <c r="D30" s="11"/>
      <c r="E30" s="19"/>
      <c r="F30" s="11"/>
      <c r="G30" s="11"/>
      <c r="H30" s="11"/>
      <c r="I30" s="2"/>
      <c r="J30" s="2"/>
      <c r="K30" s="2"/>
    </row>
    <row r="31" customFormat="false" ht="15" hidden="false" customHeight="false" outlineLevel="0" collapsed="false">
      <c r="A31" s="13"/>
      <c r="B31" s="11"/>
      <c r="C31" s="11"/>
      <c r="D31" s="11"/>
      <c r="E31" s="19"/>
      <c r="F31" s="11"/>
      <c r="G31" s="11"/>
      <c r="H31" s="11"/>
      <c r="I31" s="2"/>
      <c r="J31" s="2"/>
      <c r="K31" s="2"/>
    </row>
    <row r="32" customFormat="false" ht="15" hidden="false" customHeight="false" outlineLevel="0" collapsed="false">
      <c r="A32" s="13"/>
      <c r="B32" s="11"/>
      <c r="C32" s="11"/>
      <c r="D32" s="11"/>
      <c r="E32" s="19"/>
      <c r="F32" s="11"/>
      <c r="G32" s="11"/>
      <c r="H32" s="11"/>
      <c r="I32" s="2"/>
      <c r="J32" s="2"/>
      <c r="K32" s="2"/>
    </row>
    <row r="33" customFormat="false" ht="15" hidden="false" customHeight="false" outlineLevel="0" collapsed="false">
      <c r="A33" s="13"/>
      <c r="B33" s="11"/>
      <c r="C33" s="11"/>
      <c r="D33" s="11"/>
      <c r="E33" s="19"/>
      <c r="F33" s="11"/>
      <c r="G33" s="11"/>
      <c r="H33" s="11"/>
      <c r="I33" s="2"/>
      <c r="J33" s="2"/>
      <c r="K33" s="2"/>
    </row>
    <row r="34" customFormat="false" ht="15" hidden="false" customHeight="false" outlineLevel="0" collapsed="false">
      <c r="A34" s="13"/>
      <c r="B34" s="11"/>
      <c r="C34" s="11"/>
      <c r="D34" s="11"/>
      <c r="E34" s="19"/>
      <c r="F34" s="11"/>
      <c r="G34" s="11"/>
      <c r="H34" s="11"/>
      <c r="I34" s="2"/>
      <c r="J34" s="2"/>
      <c r="K34" s="2"/>
    </row>
    <row r="35" customFormat="false" ht="15" hidden="false" customHeight="false" outlineLevel="0" collapsed="false">
      <c r="A35" s="13"/>
      <c r="B35" s="11"/>
      <c r="C35" s="11"/>
      <c r="D35" s="11"/>
      <c r="E35" s="19"/>
      <c r="F35" s="11"/>
      <c r="G35" s="11"/>
      <c r="H35" s="11"/>
      <c r="I35" s="2"/>
      <c r="J35" s="2"/>
      <c r="K35" s="2"/>
    </row>
    <row r="36" customFormat="false" ht="15" hidden="false" customHeight="false" outlineLevel="0" collapsed="false">
      <c r="A36" s="13"/>
      <c r="B36" s="11"/>
      <c r="C36" s="11"/>
      <c r="D36" s="11"/>
      <c r="E36" s="19"/>
      <c r="F36" s="11"/>
      <c r="G36" s="11"/>
      <c r="H36" s="11"/>
      <c r="I36" s="2"/>
      <c r="J36" s="2"/>
      <c r="K36" s="2"/>
    </row>
    <row r="37" customFormat="false" ht="15" hidden="false" customHeight="false" outlineLevel="0" collapsed="false">
      <c r="A37" s="13"/>
      <c r="B37" s="11"/>
      <c r="C37" s="11"/>
      <c r="D37" s="11"/>
      <c r="E37" s="19"/>
      <c r="F37" s="11"/>
      <c r="G37" s="11"/>
      <c r="H37" s="11"/>
      <c r="I37" s="2"/>
      <c r="J37" s="2"/>
      <c r="K37" s="2"/>
    </row>
    <row r="38" customFormat="false" ht="15" hidden="false" customHeight="false" outlineLevel="0" collapsed="false">
      <c r="A38" s="13"/>
      <c r="B38" s="11"/>
      <c r="C38" s="11"/>
      <c r="D38" s="11"/>
      <c r="E38" s="19"/>
      <c r="F38" s="11"/>
      <c r="G38" s="11"/>
      <c r="H38" s="11"/>
      <c r="I38" s="2"/>
      <c r="J38" s="2"/>
      <c r="K38" s="2"/>
    </row>
    <row r="39" customFormat="false" ht="15" hidden="false" customHeight="false" outlineLevel="0" collapsed="false">
      <c r="A39" s="13"/>
      <c r="B39" s="11"/>
      <c r="C39" s="11"/>
      <c r="D39" s="11"/>
      <c r="E39" s="19"/>
      <c r="F39" s="11"/>
      <c r="G39" s="11"/>
      <c r="H39" s="11"/>
      <c r="I39" s="2"/>
      <c r="J39" s="2"/>
      <c r="K39" s="2"/>
    </row>
    <row r="40" customFormat="false" ht="15" hidden="false" customHeight="false" outlineLevel="0" collapsed="false">
      <c r="A40" s="13"/>
      <c r="B40" s="11"/>
      <c r="C40" s="11"/>
      <c r="D40" s="11"/>
      <c r="E40" s="19"/>
      <c r="F40" s="11"/>
      <c r="G40" s="11"/>
      <c r="H40" s="11"/>
      <c r="I40" s="2"/>
      <c r="J40" s="2"/>
      <c r="K40" s="2"/>
    </row>
    <row r="41" customFormat="false" ht="15" hidden="false" customHeight="false" outlineLevel="0" collapsed="false">
      <c r="A41" s="13"/>
      <c r="B41" s="11"/>
      <c r="C41" s="11"/>
      <c r="D41" s="11"/>
      <c r="E41" s="19"/>
      <c r="F41" s="11"/>
      <c r="G41" s="11"/>
      <c r="H41" s="11"/>
      <c r="I41" s="2"/>
      <c r="J41" s="2"/>
      <c r="K41" s="2"/>
    </row>
    <row r="42" customFormat="false" ht="15" hidden="false" customHeight="false" outlineLevel="0" collapsed="false">
      <c r="A42" s="13"/>
      <c r="B42" s="11"/>
      <c r="C42" s="11"/>
      <c r="D42" s="11"/>
      <c r="E42" s="19"/>
      <c r="F42" s="11"/>
      <c r="G42" s="11"/>
      <c r="H42" s="11"/>
      <c r="I42" s="2"/>
      <c r="J42" s="2"/>
      <c r="K42" s="2"/>
    </row>
    <row r="43" customFormat="false" ht="15" hidden="false" customHeight="false" outlineLevel="0" collapsed="false">
      <c r="A43" s="13"/>
      <c r="B43" s="11"/>
      <c r="C43" s="11"/>
      <c r="D43" s="11"/>
      <c r="E43" s="19"/>
      <c r="F43" s="11"/>
      <c r="G43" s="11"/>
      <c r="H43" s="11"/>
      <c r="I43" s="2"/>
      <c r="J43" s="2"/>
      <c r="K43" s="2"/>
    </row>
    <row r="44" customFormat="false" ht="15" hidden="false" customHeight="false" outlineLevel="0" collapsed="false">
      <c r="A44" s="13"/>
      <c r="B44" s="11"/>
      <c r="C44" s="11"/>
      <c r="D44" s="11"/>
      <c r="E44" s="19"/>
      <c r="F44" s="11"/>
      <c r="G44" s="11"/>
      <c r="H44" s="11"/>
      <c r="I44" s="2"/>
      <c r="J44" s="2"/>
      <c r="K44" s="2"/>
    </row>
    <row r="45" customFormat="false" ht="15" hidden="false" customHeight="false" outlineLevel="0" collapsed="false">
      <c r="A45" s="13"/>
      <c r="B45" s="11"/>
      <c r="C45" s="11"/>
      <c r="D45" s="11"/>
      <c r="E45" s="19"/>
      <c r="F45" s="11"/>
      <c r="G45" s="11"/>
      <c r="H45" s="11"/>
      <c r="I45" s="2"/>
      <c r="J45" s="2"/>
      <c r="K45" s="2"/>
    </row>
    <row r="46" customFormat="false" ht="15" hidden="false" customHeight="false" outlineLevel="0" collapsed="false">
      <c r="A46" s="13"/>
      <c r="B46" s="11"/>
      <c r="C46" s="11"/>
      <c r="D46" s="11"/>
      <c r="E46" s="19"/>
      <c r="F46" s="11"/>
      <c r="G46" s="11"/>
      <c r="H46" s="11"/>
      <c r="I46" s="2"/>
      <c r="J46" s="2"/>
      <c r="K46" s="2"/>
    </row>
    <row r="47" customFormat="false" ht="15" hidden="false" customHeight="false" outlineLevel="0" collapsed="false">
      <c r="A47" s="13"/>
      <c r="B47" s="11"/>
      <c r="C47" s="11"/>
      <c r="D47" s="11"/>
      <c r="E47" s="19"/>
      <c r="F47" s="11"/>
      <c r="G47" s="11"/>
      <c r="H47" s="11"/>
      <c r="I47" s="2"/>
      <c r="J47" s="2"/>
      <c r="K47" s="2"/>
    </row>
    <row r="48" customFormat="false" ht="15" hidden="false" customHeight="false" outlineLevel="0" collapsed="false">
      <c r="A48" s="13"/>
      <c r="B48" s="11"/>
      <c r="C48" s="11"/>
      <c r="D48" s="11"/>
      <c r="E48" s="19"/>
      <c r="F48" s="11"/>
      <c r="G48" s="11"/>
      <c r="H48" s="11"/>
      <c r="I48" s="2"/>
      <c r="J48" s="2"/>
      <c r="K48" s="2"/>
    </row>
    <row r="49" customFormat="false" ht="15" hidden="false" customHeight="false" outlineLevel="0" collapsed="false">
      <c r="A49" s="13"/>
      <c r="B49" s="11"/>
      <c r="C49" s="11"/>
      <c r="D49" s="11"/>
      <c r="E49" s="19"/>
      <c r="F49" s="11"/>
      <c r="G49" s="11"/>
      <c r="H49" s="11"/>
      <c r="I49" s="2"/>
      <c r="J49" s="2"/>
      <c r="K49" s="2"/>
    </row>
    <row r="50" customFormat="false" ht="15" hidden="false" customHeight="false" outlineLevel="0" collapsed="false">
      <c r="A50" s="13"/>
      <c r="B50" s="11"/>
      <c r="C50" s="11"/>
      <c r="D50" s="11"/>
      <c r="E50" s="19"/>
      <c r="F50" s="11"/>
      <c r="G50" s="11"/>
      <c r="H50" s="11"/>
      <c r="I50" s="2"/>
      <c r="J50" s="2"/>
      <c r="K50" s="2"/>
    </row>
    <row r="51" customFormat="false" ht="15" hidden="false" customHeight="false" outlineLevel="0" collapsed="false">
      <c r="A51" s="13"/>
      <c r="B51" s="11"/>
      <c r="C51" s="11"/>
      <c r="D51" s="11"/>
      <c r="E51" s="19"/>
      <c r="F51" s="11"/>
      <c r="G51" s="11"/>
      <c r="H51" s="11"/>
      <c r="I51" s="2"/>
      <c r="J51" s="2"/>
      <c r="K51" s="2"/>
    </row>
    <row r="52" customFormat="false" ht="15" hidden="false" customHeight="false" outlineLevel="0" collapsed="false">
      <c r="A52" s="13"/>
      <c r="B52" s="11"/>
      <c r="C52" s="11"/>
      <c r="D52" s="11"/>
      <c r="E52" s="19"/>
      <c r="F52" s="11"/>
      <c r="G52" s="11"/>
      <c r="H52" s="11"/>
      <c r="I52" s="2"/>
      <c r="J52" s="2"/>
      <c r="K52" s="2"/>
    </row>
    <row r="53" customFormat="false" ht="15" hidden="false" customHeight="false" outlineLevel="0" collapsed="false">
      <c r="A53" s="13"/>
      <c r="B53" s="11"/>
      <c r="C53" s="11"/>
      <c r="D53" s="11"/>
      <c r="E53" s="19"/>
      <c r="F53" s="11"/>
      <c r="G53" s="11"/>
      <c r="H53" s="11"/>
      <c r="I53" s="2"/>
      <c r="J53" s="2"/>
      <c r="K53" s="2"/>
    </row>
    <row r="54" customFormat="false" ht="15" hidden="false" customHeight="false" outlineLevel="0" collapsed="false">
      <c r="A54" s="13"/>
      <c r="B54" s="11"/>
      <c r="C54" s="11"/>
      <c r="D54" s="11"/>
      <c r="E54" s="19"/>
      <c r="F54" s="11"/>
      <c r="G54" s="11"/>
      <c r="H54" s="11"/>
      <c r="I54" s="2"/>
      <c r="J54" s="2"/>
      <c r="K54" s="2"/>
    </row>
    <row r="55" customFormat="false" ht="15" hidden="false" customHeight="false" outlineLevel="0" collapsed="false">
      <c r="A55" s="13"/>
      <c r="B55" s="11"/>
      <c r="C55" s="11"/>
      <c r="D55" s="11"/>
      <c r="E55" s="19"/>
      <c r="F55" s="11"/>
      <c r="G55" s="11"/>
      <c r="H55" s="11"/>
      <c r="I55" s="2"/>
      <c r="J55" s="2"/>
      <c r="K55" s="2"/>
    </row>
    <row r="56" customFormat="false" ht="15" hidden="false" customHeight="false" outlineLevel="0" collapsed="false">
      <c r="A56" s="13"/>
      <c r="B56" s="11"/>
      <c r="C56" s="11"/>
      <c r="D56" s="11"/>
      <c r="E56" s="19"/>
      <c r="F56" s="11"/>
      <c r="G56" s="11"/>
      <c r="H56" s="11"/>
      <c r="I56" s="2"/>
      <c r="J56" s="2"/>
      <c r="K56" s="2"/>
    </row>
    <row r="57" customFormat="false" ht="15" hidden="false" customHeight="false" outlineLevel="0" collapsed="false">
      <c r="A57" s="13"/>
      <c r="B57" s="11"/>
      <c r="C57" s="11"/>
      <c r="D57" s="11"/>
      <c r="E57" s="19"/>
      <c r="F57" s="11"/>
      <c r="G57" s="11"/>
      <c r="H57" s="11"/>
      <c r="I57" s="2"/>
      <c r="J57" s="2"/>
      <c r="K57" s="2"/>
    </row>
    <row r="58" customFormat="false" ht="15" hidden="false" customHeight="false" outlineLevel="0" collapsed="false">
      <c r="A58" s="13"/>
      <c r="B58" s="11"/>
      <c r="C58" s="11"/>
      <c r="D58" s="11"/>
      <c r="E58" s="19"/>
      <c r="F58" s="11"/>
      <c r="G58" s="11"/>
      <c r="H58" s="11"/>
      <c r="I58" s="2"/>
      <c r="J58" s="2"/>
      <c r="K58" s="2"/>
    </row>
    <row r="59" customFormat="false" ht="15" hidden="false" customHeight="false" outlineLevel="0" collapsed="false">
      <c r="A59" s="13"/>
      <c r="B59" s="11"/>
      <c r="C59" s="11"/>
      <c r="D59" s="11"/>
      <c r="E59" s="19"/>
      <c r="F59" s="11"/>
      <c r="G59" s="11"/>
      <c r="H59" s="11"/>
      <c r="I59" s="2"/>
      <c r="J59" s="2"/>
      <c r="K59" s="2"/>
    </row>
    <row r="60" customFormat="false" ht="15" hidden="false" customHeight="false" outlineLevel="0" collapsed="false">
      <c r="A60" s="13"/>
      <c r="B60" s="11"/>
      <c r="C60" s="11"/>
      <c r="D60" s="11"/>
      <c r="E60" s="19"/>
      <c r="F60" s="11"/>
      <c r="G60" s="11"/>
      <c r="H60" s="11"/>
      <c r="I60" s="2"/>
      <c r="J60" s="2"/>
      <c r="K60" s="2"/>
    </row>
    <row r="61" customFormat="false" ht="15" hidden="false" customHeight="false" outlineLevel="0" collapsed="false">
      <c r="A61" s="13"/>
      <c r="B61" s="11"/>
      <c r="C61" s="11"/>
      <c r="D61" s="11"/>
      <c r="E61" s="19"/>
      <c r="F61" s="11"/>
      <c r="G61" s="11"/>
      <c r="H61" s="11"/>
      <c r="I61" s="2"/>
      <c r="J61" s="2"/>
      <c r="K61" s="2"/>
    </row>
    <row r="62" customFormat="false" ht="15" hidden="false" customHeight="false" outlineLevel="0" collapsed="false">
      <c r="A62" s="13"/>
      <c r="B62" s="11"/>
      <c r="C62" s="11"/>
      <c r="D62" s="11"/>
      <c r="E62" s="19"/>
      <c r="F62" s="11"/>
      <c r="G62" s="11"/>
      <c r="H62" s="11"/>
      <c r="I62" s="2"/>
      <c r="J62" s="2"/>
      <c r="K62" s="2"/>
    </row>
    <row r="63" customFormat="false" ht="15" hidden="false" customHeight="false" outlineLevel="0" collapsed="false">
      <c r="A63" s="13"/>
      <c r="B63" s="11"/>
      <c r="C63" s="11"/>
      <c r="D63" s="11"/>
      <c r="E63" s="19"/>
      <c r="F63" s="11"/>
      <c r="G63" s="11"/>
      <c r="H63" s="11"/>
      <c r="I63" s="2"/>
      <c r="J63" s="2"/>
      <c r="K63" s="2"/>
    </row>
    <row r="64" customFormat="false" ht="15" hidden="false" customHeight="false" outlineLevel="0" collapsed="false">
      <c r="A64" s="13"/>
      <c r="B64" s="11"/>
      <c r="C64" s="11"/>
      <c r="D64" s="11"/>
      <c r="E64" s="19"/>
      <c r="F64" s="11"/>
      <c r="G64" s="11"/>
      <c r="H64" s="11"/>
      <c r="I64" s="2"/>
      <c r="J64" s="2"/>
      <c r="K64" s="2"/>
    </row>
    <row r="65" customFormat="false" ht="15" hidden="false" customHeight="false" outlineLevel="0" collapsed="false">
      <c r="A65" s="13"/>
      <c r="B65" s="11"/>
      <c r="C65" s="11"/>
      <c r="D65" s="11"/>
      <c r="E65" s="19"/>
      <c r="F65" s="11"/>
      <c r="G65" s="11"/>
      <c r="H65" s="11"/>
      <c r="I65" s="2"/>
      <c r="J65" s="2"/>
      <c r="K65" s="2"/>
    </row>
    <row r="66" customFormat="false" ht="15" hidden="false" customHeight="false" outlineLevel="0" collapsed="false">
      <c r="A66" s="13"/>
      <c r="B66" s="11"/>
      <c r="C66" s="11"/>
      <c r="D66" s="11"/>
      <c r="E66" s="19"/>
      <c r="F66" s="11"/>
      <c r="G66" s="11"/>
      <c r="H66" s="11"/>
      <c r="I66" s="2"/>
      <c r="J66" s="2"/>
      <c r="K66" s="2"/>
    </row>
    <row r="67" customFormat="false" ht="15" hidden="false" customHeight="false" outlineLevel="0" collapsed="false">
      <c r="A67" s="13"/>
      <c r="B67" s="11"/>
      <c r="C67" s="11"/>
      <c r="D67" s="11"/>
      <c r="E67" s="19"/>
      <c r="F67" s="11"/>
      <c r="G67" s="11"/>
      <c r="H67" s="11"/>
      <c r="I67" s="2"/>
      <c r="J67" s="2"/>
      <c r="K67" s="2"/>
    </row>
    <row r="68" customFormat="false" ht="15" hidden="false" customHeight="false" outlineLevel="0" collapsed="false">
      <c r="A68" s="13"/>
      <c r="B68" s="11"/>
      <c r="C68" s="11"/>
      <c r="D68" s="11"/>
      <c r="E68" s="19"/>
      <c r="F68" s="11"/>
      <c r="G68" s="11"/>
      <c r="H68" s="11"/>
      <c r="I68" s="2"/>
      <c r="J68" s="2"/>
      <c r="K68" s="2"/>
    </row>
    <row r="69" customFormat="false" ht="15" hidden="false" customHeight="false" outlineLevel="0" collapsed="false">
      <c r="A69" s="13"/>
      <c r="B69" s="11"/>
      <c r="C69" s="11"/>
      <c r="D69" s="11"/>
      <c r="E69" s="19"/>
      <c r="F69" s="11"/>
      <c r="G69" s="11"/>
      <c r="H69" s="11"/>
      <c r="I69" s="2"/>
      <c r="J69" s="2"/>
      <c r="K69" s="2"/>
    </row>
    <row r="70" customFormat="false" ht="15" hidden="false" customHeight="false" outlineLevel="0" collapsed="false">
      <c r="A70" s="13"/>
      <c r="B70" s="11"/>
      <c r="C70" s="11"/>
      <c r="D70" s="11"/>
      <c r="E70" s="19"/>
      <c r="F70" s="11"/>
      <c r="G70" s="11"/>
      <c r="H70" s="11"/>
      <c r="I70" s="2"/>
      <c r="J70" s="2"/>
      <c r="K70" s="2"/>
    </row>
    <row r="71" customFormat="false" ht="15" hidden="false" customHeight="false" outlineLevel="0" collapsed="false">
      <c r="A71" s="13"/>
      <c r="B71" s="11"/>
      <c r="C71" s="11"/>
      <c r="D71" s="11"/>
      <c r="E71" s="19"/>
      <c r="F71" s="11"/>
      <c r="G71" s="11"/>
      <c r="H71" s="11"/>
      <c r="I71" s="2"/>
      <c r="J71" s="2"/>
      <c r="K71" s="2"/>
    </row>
    <row r="72" customFormat="false" ht="15" hidden="false" customHeight="false" outlineLevel="0" collapsed="false">
      <c r="A72" s="13"/>
      <c r="B72" s="11"/>
      <c r="C72" s="11"/>
      <c r="D72" s="11"/>
      <c r="E72" s="19"/>
      <c r="F72" s="11"/>
      <c r="G72" s="11"/>
      <c r="H72" s="11"/>
      <c r="I72" s="2"/>
      <c r="J72" s="2"/>
      <c r="K72" s="2"/>
    </row>
    <row r="73" customFormat="false" ht="15" hidden="false" customHeight="false" outlineLevel="0" collapsed="false">
      <c r="A73" s="13"/>
      <c r="B73" s="11"/>
      <c r="C73" s="11"/>
      <c r="D73" s="11"/>
      <c r="E73" s="19"/>
      <c r="F73" s="11"/>
      <c r="G73" s="11"/>
      <c r="H73" s="11"/>
      <c r="I73" s="2"/>
      <c r="J73" s="2"/>
      <c r="K73" s="2"/>
    </row>
    <row r="74" customFormat="false" ht="15" hidden="false" customHeight="false" outlineLevel="0" collapsed="false">
      <c r="A74" s="13"/>
      <c r="B74" s="11"/>
      <c r="C74" s="11"/>
      <c r="D74" s="11"/>
      <c r="E74" s="19"/>
      <c r="F74" s="11"/>
      <c r="G74" s="11"/>
      <c r="H74" s="11"/>
      <c r="I74" s="2"/>
      <c r="J74" s="2"/>
      <c r="K74" s="2"/>
    </row>
    <row r="75" customFormat="false" ht="15" hidden="false" customHeight="false" outlineLevel="0" collapsed="false">
      <c r="A75" s="13"/>
      <c r="B75" s="11"/>
      <c r="C75" s="11"/>
      <c r="D75" s="11"/>
      <c r="E75" s="19"/>
      <c r="F75" s="11"/>
      <c r="G75" s="11"/>
      <c r="H75" s="11"/>
      <c r="I75" s="2"/>
      <c r="J75" s="2"/>
      <c r="K75" s="2"/>
    </row>
    <row r="76" customFormat="false" ht="15" hidden="false" customHeight="false" outlineLevel="0" collapsed="false">
      <c r="A76" s="13"/>
      <c r="B76" s="11"/>
      <c r="C76" s="11"/>
      <c r="D76" s="11"/>
      <c r="E76" s="19"/>
      <c r="F76" s="11"/>
      <c r="G76" s="11"/>
      <c r="H76" s="11"/>
      <c r="I76" s="2"/>
      <c r="J76" s="2"/>
      <c r="K76" s="2"/>
    </row>
    <row r="77" customFormat="false" ht="15" hidden="false" customHeight="false" outlineLevel="0" collapsed="false">
      <c r="A77" s="13"/>
      <c r="B77" s="11"/>
      <c r="C77" s="11"/>
      <c r="D77" s="11"/>
      <c r="E77" s="19"/>
      <c r="F77" s="11"/>
      <c r="G77" s="11"/>
      <c r="H77" s="11"/>
      <c r="I77" s="2"/>
      <c r="J77" s="2"/>
      <c r="K77" s="2"/>
    </row>
    <row r="78" customFormat="false" ht="15" hidden="false" customHeight="false" outlineLevel="0" collapsed="false">
      <c r="A78" s="13"/>
      <c r="B78" s="11"/>
      <c r="C78" s="11"/>
      <c r="D78" s="11"/>
      <c r="E78" s="19"/>
      <c r="F78" s="11"/>
      <c r="G78" s="11"/>
      <c r="H78" s="11"/>
      <c r="I78" s="2"/>
      <c r="J78" s="2"/>
      <c r="K78" s="2"/>
    </row>
    <row r="79" customFormat="false" ht="15" hidden="false" customHeight="false" outlineLevel="0" collapsed="false">
      <c r="A79" s="13"/>
      <c r="B79" s="11"/>
      <c r="C79" s="11"/>
      <c r="D79" s="11"/>
      <c r="E79" s="19"/>
      <c r="F79" s="11"/>
      <c r="G79" s="11"/>
      <c r="H79" s="11"/>
      <c r="I79" s="2"/>
      <c r="J79" s="2"/>
      <c r="K79" s="2"/>
    </row>
    <row r="80" customFormat="false" ht="15" hidden="false" customHeight="false" outlineLevel="0" collapsed="false">
      <c r="A80" s="13"/>
      <c r="B80" s="11"/>
      <c r="C80" s="11"/>
      <c r="D80" s="11"/>
      <c r="E80" s="19"/>
      <c r="F80" s="11"/>
      <c r="G80" s="11"/>
      <c r="H80" s="11"/>
      <c r="I80" s="2"/>
      <c r="J80" s="2"/>
      <c r="K80" s="2"/>
    </row>
    <row r="81" customFormat="false" ht="15" hidden="false" customHeight="false" outlineLevel="0" collapsed="false">
      <c r="A81" s="13"/>
      <c r="B81" s="11"/>
      <c r="C81" s="11"/>
      <c r="D81" s="11"/>
      <c r="E81" s="19"/>
      <c r="F81" s="11"/>
      <c r="G81" s="11"/>
      <c r="H81" s="11"/>
      <c r="I81" s="2"/>
      <c r="J81" s="2"/>
      <c r="K81" s="2"/>
    </row>
    <row r="82" customFormat="false" ht="15" hidden="false" customHeight="false" outlineLevel="0" collapsed="false">
      <c r="A82" s="13"/>
      <c r="B82" s="11"/>
      <c r="C82" s="11"/>
      <c r="D82" s="11"/>
      <c r="E82" s="19"/>
      <c r="F82" s="11"/>
      <c r="G82" s="11"/>
      <c r="H82" s="11"/>
      <c r="I82" s="2"/>
      <c r="J82" s="2"/>
      <c r="K82" s="2"/>
    </row>
    <row r="83" customFormat="false" ht="15" hidden="false" customHeight="false" outlineLevel="0" collapsed="false">
      <c r="A83" s="13"/>
      <c r="B83" s="11"/>
      <c r="C83" s="11"/>
      <c r="D83" s="11"/>
      <c r="E83" s="19"/>
      <c r="F83" s="11"/>
      <c r="G83" s="11"/>
      <c r="H83" s="11"/>
      <c r="I83" s="2"/>
      <c r="J83" s="2"/>
      <c r="K83" s="2"/>
    </row>
    <row r="84" customFormat="false" ht="15" hidden="false" customHeight="false" outlineLevel="0" collapsed="false">
      <c r="A84" s="13"/>
      <c r="B84" s="11"/>
      <c r="C84" s="11"/>
      <c r="D84" s="11"/>
      <c r="E84" s="19"/>
      <c r="F84" s="11"/>
      <c r="G84" s="11"/>
      <c r="H84" s="11"/>
      <c r="I84" s="2"/>
      <c r="J84" s="2"/>
      <c r="K84" s="2"/>
    </row>
    <row r="85" customFormat="false" ht="15" hidden="false" customHeight="false" outlineLevel="0" collapsed="false">
      <c r="A85" s="13"/>
      <c r="B85" s="11"/>
      <c r="C85" s="11"/>
      <c r="D85" s="11"/>
      <c r="E85" s="19"/>
      <c r="F85" s="11"/>
      <c r="G85" s="11"/>
      <c r="H85" s="11"/>
      <c r="I85" s="2"/>
      <c r="J85" s="2"/>
      <c r="K85" s="2"/>
    </row>
    <row r="86" customFormat="false" ht="15" hidden="false" customHeight="false" outlineLevel="0" collapsed="false">
      <c r="A86" s="13"/>
      <c r="B86" s="11"/>
      <c r="C86" s="11"/>
      <c r="D86" s="11"/>
      <c r="E86" s="19"/>
      <c r="F86" s="11"/>
      <c r="G86" s="11"/>
      <c r="H86" s="11"/>
      <c r="I86" s="2"/>
      <c r="J86" s="2"/>
      <c r="K86" s="2"/>
    </row>
    <row r="87" customFormat="false" ht="15" hidden="false" customHeight="false" outlineLevel="0" collapsed="false">
      <c r="A87" s="13"/>
      <c r="B87" s="11"/>
      <c r="C87" s="11"/>
      <c r="D87" s="11"/>
      <c r="E87" s="19"/>
      <c r="F87" s="11"/>
      <c r="G87" s="11"/>
      <c r="H87" s="11"/>
      <c r="I87" s="2"/>
      <c r="J87" s="2"/>
      <c r="K87" s="2"/>
    </row>
    <row r="88" customFormat="false" ht="15" hidden="false" customHeight="false" outlineLevel="0" collapsed="false">
      <c r="A88" s="13"/>
      <c r="B88" s="11"/>
      <c r="C88" s="11"/>
      <c r="D88" s="11"/>
      <c r="E88" s="19"/>
      <c r="F88" s="11"/>
      <c r="G88" s="11"/>
      <c r="H88" s="11"/>
      <c r="I88" s="2"/>
      <c r="J88" s="2"/>
      <c r="K88" s="2"/>
    </row>
    <row r="89" customFormat="false" ht="15" hidden="false" customHeight="false" outlineLevel="0" collapsed="false">
      <c r="A89" s="13"/>
      <c r="B89" s="11"/>
      <c r="C89" s="11"/>
      <c r="D89" s="11"/>
      <c r="E89" s="19"/>
      <c r="F89" s="11"/>
      <c r="G89" s="11"/>
      <c r="H89" s="11"/>
      <c r="I89" s="2"/>
      <c r="J89" s="2"/>
      <c r="K89" s="2"/>
    </row>
    <row r="90" customFormat="false" ht="15" hidden="false" customHeight="false" outlineLevel="0" collapsed="false">
      <c r="A90" s="13"/>
      <c r="B90" s="11"/>
      <c r="C90" s="11"/>
      <c r="D90" s="11"/>
      <c r="E90" s="19"/>
      <c r="F90" s="11"/>
      <c r="G90" s="11"/>
      <c r="H90" s="11"/>
      <c r="I90" s="2"/>
      <c r="J90" s="2"/>
      <c r="K90" s="2"/>
    </row>
    <row r="91" customFormat="false" ht="15" hidden="false" customHeight="false" outlineLevel="0" collapsed="false">
      <c r="A91" s="13"/>
      <c r="B91" s="11"/>
      <c r="C91" s="11"/>
      <c r="D91" s="11"/>
      <c r="E91" s="19"/>
      <c r="F91" s="11"/>
      <c r="G91" s="11"/>
      <c r="H91" s="11"/>
      <c r="I91" s="2"/>
      <c r="J91" s="2"/>
      <c r="K91" s="2"/>
    </row>
    <row r="92" customFormat="false" ht="15" hidden="false" customHeight="false" outlineLevel="0" collapsed="false">
      <c r="A92" s="13"/>
      <c r="B92" s="11"/>
      <c r="C92" s="11"/>
      <c r="D92" s="11"/>
      <c r="E92" s="19"/>
      <c r="F92" s="11"/>
      <c r="G92" s="11"/>
      <c r="H92" s="11"/>
      <c r="I92" s="2"/>
      <c r="J92" s="2"/>
      <c r="K92" s="2"/>
    </row>
    <row r="93" customFormat="false" ht="15" hidden="false" customHeight="false" outlineLevel="0" collapsed="false">
      <c r="A93" s="13"/>
      <c r="B93" s="11"/>
      <c r="C93" s="11"/>
      <c r="D93" s="11"/>
      <c r="E93" s="19"/>
      <c r="F93" s="11"/>
      <c r="G93" s="11"/>
      <c r="H93" s="11"/>
      <c r="I93" s="2"/>
      <c r="J93" s="2"/>
      <c r="K93" s="2"/>
    </row>
    <row r="94" customFormat="false" ht="15" hidden="false" customHeight="false" outlineLevel="0" collapsed="false">
      <c r="A94" s="13"/>
      <c r="B94" s="11"/>
      <c r="C94" s="11"/>
      <c r="D94" s="11"/>
      <c r="E94" s="19"/>
      <c r="F94" s="11"/>
      <c r="G94" s="11"/>
      <c r="H94" s="11"/>
      <c r="I94" s="2"/>
      <c r="J94" s="2"/>
      <c r="K94" s="2"/>
    </row>
    <row r="95" customFormat="false" ht="15" hidden="false" customHeight="false" outlineLevel="0" collapsed="false">
      <c r="A95" s="13"/>
      <c r="B95" s="11"/>
      <c r="C95" s="11"/>
      <c r="D95" s="11"/>
      <c r="E95" s="19"/>
      <c r="F95" s="11"/>
      <c r="G95" s="11"/>
      <c r="H95" s="11"/>
      <c r="I95" s="2"/>
      <c r="J95" s="2"/>
      <c r="K95" s="2"/>
    </row>
    <row r="96" customFormat="false" ht="15" hidden="false" customHeight="false" outlineLevel="0" collapsed="false">
      <c r="A96" s="13"/>
      <c r="B96" s="11"/>
      <c r="C96" s="11"/>
      <c r="D96" s="11"/>
      <c r="E96" s="19"/>
      <c r="F96" s="11"/>
      <c r="G96" s="11"/>
      <c r="H96" s="11"/>
      <c r="I96" s="2"/>
      <c r="J96" s="2"/>
      <c r="K96" s="2"/>
    </row>
    <row r="97" customFormat="false" ht="15" hidden="false" customHeight="false" outlineLevel="0" collapsed="false">
      <c r="A97" s="13"/>
      <c r="B97" s="11"/>
      <c r="C97" s="11"/>
      <c r="D97" s="11"/>
      <c r="E97" s="19"/>
      <c r="F97" s="11"/>
      <c r="G97" s="11"/>
      <c r="H97" s="11"/>
      <c r="I97" s="2"/>
      <c r="J97" s="2"/>
      <c r="K97" s="2"/>
    </row>
    <row r="98" customFormat="false" ht="15" hidden="false" customHeight="false" outlineLevel="0" collapsed="false">
      <c r="A98" s="13"/>
      <c r="B98" s="11"/>
      <c r="C98" s="11"/>
      <c r="D98" s="11"/>
      <c r="E98" s="19"/>
      <c r="F98" s="11"/>
      <c r="G98" s="11"/>
      <c r="H98" s="11"/>
      <c r="I98" s="2"/>
      <c r="J98" s="2"/>
      <c r="K98" s="2"/>
    </row>
    <row r="99" customFormat="false" ht="15" hidden="false" customHeight="false" outlineLevel="0" collapsed="false">
      <c r="A99" s="13"/>
      <c r="B99" s="11"/>
      <c r="C99" s="11"/>
      <c r="D99" s="11"/>
      <c r="E99" s="19"/>
      <c r="F99" s="11"/>
      <c r="G99" s="11"/>
      <c r="H99" s="11"/>
      <c r="I99" s="2"/>
      <c r="J99" s="2"/>
      <c r="K99" s="2"/>
    </row>
    <row r="100" customFormat="false" ht="15" hidden="false" customHeight="false" outlineLevel="0" collapsed="false">
      <c r="A100" s="13"/>
      <c r="B100" s="11"/>
      <c r="C100" s="11"/>
      <c r="D100" s="11"/>
      <c r="E100" s="19"/>
      <c r="F100" s="11"/>
      <c r="G100" s="11"/>
      <c r="H100" s="11"/>
      <c r="I100" s="2"/>
      <c r="J100" s="2"/>
      <c r="K100" s="2"/>
    </row>
    <row r="101" customFormat="false" ht="15" hidden="false" customHeight="false" outlineLevel="0" collapsed="false">
      <c r="A101" s="13"/>
      <c r="B101" s="11"/>
      <c r="C101" s="11"/>
      <c r="D101" s="11"/>
      <c r="E101" s="19"/>
      <c r="F101" s="11"/>
      <c r="G101" s="11"/>
      <c r="H101" s="11"/>
      <c r="I101" s="2"/>
      <c r="J101" s="2"/>
      <c r="K101" s="2"/>
    </row>
    <row r="102" customFormat="false" ht="15" hidden="false" customHeight="false" outlineLevel="0" collapsed="false">
      <c r="A102" s="13"/>
      <c r="B102" s="11"/>
      <c r="C102" s="11"/>
      <c r="D102" s="11"/>
      <c r="E102" s="19"/>
      <c r="F102" s="11"/>
      <c r="G102" s="11"/>
      <c r="H102" s="11"/>
      <c r="I102" s="2"/>
      <c r="J102" s="2"/>
      <c r="K102" s="2"/>
    </row>
    <row r="103" customFormat="false" ht="15" hidden="false" customHeight="false" outlineLevel="0" collapsed="false">
      <c r="A103" s="13"/>
      <c r="B103" s="11"/>
      <c r="C103" s="11"/>
      <c r="D103" s="11"/>
      <c r="E103" s="19"/>
      <c r="F103" s="11"/>
      <c r="G103" s="11"/>
      <c r="H103" s="11"/>
      <c r="I103" s="2"/>
      <c r="J103" s="2"/>
      <c r="K103" s="2"/>
    </row>
    <row r="104" customFormat="false" ht="15" hidden="false" customHeight="false" outlineLevel="0" collapsed="false">
      <c r="A104" s="13"/>
      <c r="B104" s="11"/>
      <c r="C104" s="11"/>
      <c r="D104" s="11"/>
      <c r="E104" s="19"/>
      <c r="F104" s="11"/>
      <c r="G104" s="11"/>
      <c r="H104" s="11"/>
      <c r="I104" s="2"/>
      <c r="J104" s="2"/>
      <c r="K104" s="2"/>
    </row>
    <row r="105" customFormat="false" ht="15" hidden="false" customHeight="false" outlineLevel="0" collapsed="false">
      <c r="A105" s="13"/>
      <c r="B105" s="11"/>
      <c r="C105" s="11"/>
      <c r="D105" s="11"/>
      <c r="E105" s="19"/>
      <c r="F105" s="11"/>
      <c r="G105" s="11"/>
      <c r="H105" s="11"/>
      <c r="I105" s="2"/>
      <c r="J105" s="2"/>
      <c r="K105" s="2"/>
    </row>
    <row r="106" customFormat="false" ht="15" hidden="false" customHeight="false" outlineLevel="0" collapsed="false">
      <c r="A106" s="13"/>
      <c r="B106" s="11"/>
      <c r="C106" s="11"/>
      <c r="D106" s="11"/>
      <c r="E106" s="19"/>
      <c r="F106" s="11"/>
      <c r="G106" s="11"/>
      <c r="H106" s="11"/>
      <c r="I106" s="2"/>
      <c r="J106" s="2"/>
      <c r="K106" s="2"/>
    </row>
    <row r="107" customFormat="false" ht="15" hidden="false" customHeight="false" outlineLevel="0" collapsed="false">
      <c r="A107" s="13"/>
      <c r="B107" s="11"/>
      <c r="C107" s="11"/>
      <c r="D107" s="11"/>
      <c r="E107" s="19"/>
      <c r="F107" s="11"/>
      <c r="G107" s="11"/>
      <c r="H107" s="11"/>
      <c r="I107" s="2"/>
      <c r="J107" s="2"/>
      <c r="K107" s="2"/>
    </row>
    <row r="108" customFormat="false" ht="15" hidden="false" customHeight="false" outlineLevel="0" collapsed="false">
      <c r="A108" s="13"/>
      <c r="B108" s="11"/>
      <c r="C108" s="11"/>
      <c r="D108" s="11"/>
      <c r="E108" s="19"/>
      <c r="F108" s="11"/>
      <c r="G108" s="11"/>
      <c r="H108" s="11"/>
      <c r="I108" s="2"/>
      <c r="J108" s="2"/>
      <c r="K108" s="2"/>
    </row>
    <row r="109" customFormat="false" ht="15" hidden="false" customHeight="false" outlineLevel="0" collapsed="false">
      <c r="A109" s="13"/>
      <c r="B109" s="11"/>
      <c r="C109" s="11"/>
      <c r="D109" s="11"/>
      <c r="E109" s="19"/>
      <c r="F109" s="11"/>
      <c r="G109" s="11"/>
      <c r="H109" s="11"/>
      <c r="I109" s="2"/>
      <c r="J109" s="2"/>
      <c r="K109" s="2"/>
    </row>
    <row r="110" customFormat="false" ht="15" hidden="false" customHeight="false" outlineLevel="0" collapsed="false">
      <c r="A110" s="13"/>
      <c r="B110" s="11"/>
      <c r="C110" s="11"/>
      <c r="D110" s="11"/>
      <c r="E110" s="19"/>
      <c r="F110" s="11"/>
      <c r="G110" s="11"/>
      <c r="H110" s="11"/>
      <c r="I110" s="2"/>
      <c r="J110" s="2"/>
      <c r="K110" s="2"/>
    </row>
    <row r="111" customFormat="false" ht="15" hidden="false" customHeight="false" outlineLevel="0" collapsed="false">
      <c r="A111" s="13"/>
      <c r="B111" s="11"/>
      <c r="C111" s="11"/>
      <c r="D111" s="11"/>
      <c r="E111" s="19"/>
      <c r="F111" s="11"/>
      <c r="G111" s="11"/>
      <c r="H111" s="11"/>
      <c r="I111" s="2"/>
      <c r="J111" s="2"/>
      <c r="K111" s="2"/>
    </row>
    <row r="112" customFormat="false" ht="15" hidden="false" customHeight="false" outlineLevel="0" collapsed="false">
      <c r="A112" s="13"/>
      <c r="B112" s="11"/>
      <c r="C112" s="11"/>
      <c r="D112" s="11"/>
      <c r="E112" s="19"/>
      <c r="F112" s="11"/>
      <c r="G112" s="11"/>
      <c r="H112" s="11"/>
      <c r="I112" s="2"/>
      <c r="J112" s="2"/>
      <c r="K112" s="2"/>
    </row>
    <row r="113" customFormat="false" ht="15" hidden="false" customHeight="false" outlineLevel="0" collapsed="false">
      <c r="A113" s="13"/>
      <c r="B113" s="11"/>
      <c r="C113" s="11"/>
      <c r="D113" s="11"/>
      <c r="E113" s="19"/>
      <c r="F113" s="11"/>
      <c r="G113" s="11"/>
      <c r="H113" s="11"/>
      <c r="I113" s="2"/>
      <c r="J113" s="2"/>
      <c r="K113" s="2"/>
    </row>
    <row r="114" customFormat="false" ht="15" hidden="false" customHeight="false" outlineLevel="0" collapsed="false">
      <c r="A114" s="13"/>
      <c r="B114" s="11"/>
      <c r="C114" s="11"/>
      <c r="D114" s="11"/>
      <c r="E114" s="19"/>
      <c r="F114" s="11"/>
      <c r="G114" s="11"/>
      <c r="H114" s="11"/>
      <c r="I114" s="2"/>
      <c r="J114" s="2"/>
      <c r="K114" s="2"/>
    </row>
    <row r="115" customFormat="false" ht="15" hidden="false" customHeight="false" outlineLevel="0" collapsed="false">
      <c r="A115" s="13"/>
      <c r="B115" s="11"/>
      <c r="C115" s="11"/>
      <c r="D115" s="11"/>
      <c r="E115" s="19"/>
      <c r="F115" s="11"/>
      <c r="G115" s="11"/>
      <c r="H115" s="11"/>
      <c r="I115" s="2"/>
      <c r="J115" s="2"/>
      <c r="K115" s="2"/>
    </row>
    <row r="116" customFormat="false" ht="15" hidden="false" customHeight="false" outlineLevel="0" collapsed="false">
      <c r="A116" s="13"/>
      <c r="B116" s="11"/>
      <c r="C116" s="11"/>
      <c r="D116" s="11"/>
      <c r="E116" s="19"/>
      <c r="F116" s="11"/>
      <c r="G116" s="11"/>
      <c r="H116" s="11"/>
      <c r="I116" s="2"/>
      <c r="J116" s="2"/>
      <c r="K116" s="2"/>
    </row>
    <row r="117" customFormat="false" ht="15" hidden="false" customHeight="false" outlineLevel="0" collapsed="false">
      <c r="A117" s="13"/>
      <c r="B117" s="11"/>
      <c r="C117" s="11"/>
      <c r="D117" s="11"/>
      <c r="E117" s="19"/>
      <c r="F117" s="11"/>
      <c r="G117" s="11"/>
      <c r="H117" s="11"/>
      <c r="I117" s="2"/>
      <c r="J117" s="2"/>
      <c r="K117" s="2"/>
    </row>
    <row r="118" customFormat="false" ht="15" hidden="false" customHeight="false" outlineLevel="0" collapsed="false">
      <c r="A118" s="13"/>
      <c r="B118" s="11"/>
      <c r="C118" s="11"/>
      <c r="D118" s="11"/>
      <c r="E118" s="19"/>
      <c r="F118" s="11"/>
      <c r="G118" s="11"/>
      <c r="H118" s="11"/>
      <c r="I118" s="2"/>
      <c r="J118" s="2"/>
      <c r="K118" s="2"/>
    </row>
    <row r="119" customFormat="false" ht="15" hidden="false" customHeight="false" outlineLevel="0" collapsed="false">
      <c r="A119" s="13"/>
      <c r="B119" s="11"/>
      <c r="C119" s="11"/>
      <c r="D119" s="11"/>
      <c r="E119" s="19"/>
      <c r="F119" s="11"/>
      <c r="G119" s="11"/>
      <c r="H119" s="11"/>
      <c r="I119" s="2"/>
      <c r="J119" s="2"/>
      <c r="K119" s="2"/>
    </row>
    <row r="120" customFormat="false" ht="15" hidden="false" customHeight="false" outlineLevel="0" collapsed="false">
      <c r="A120" s="13"/>
      <c r="B120" s="11"/>
      <c r="C120" s="11"/>
      <c r="D120" s="11"/>
      <c r="E120" s="19"/>
      <c r="F120" s="11"/>
      <c r="G120" s="11"/>
      <c r="H120" s="11"/>
      <c r="I120" s="2"/>
      <c r="J120" s="2"/>
      <c r="K120" s="2"/>
    </row>
    <row r="121" customFormat="false" ht="15" hidden="false" customHeight="false" outlineLevel="0" collapsed="false">
      <c r="A121" s="13"/>
      <c r="B121" s="11"/>
      <c r="C121" s="11"/>
      <c r="D121" s="11"/>
      <c r="E121" s="19"/>
      <c r="F121" s="11"/>
      <c r="G121" s="11"/>
      <c r="H121" s="11"/>
      <c r="I121" s="2"/>
      <c r="J121" s="2"/>
      <c r="K121" s="2"/>
    </row>
    <row r="122" customFormat="false" ht="15" hidden="false" customHeight="false" outlineLevel="0" collapsed="false">
      <c r="A122" s="13"/>
      <c r="B122" s="11"/>
      <c r="C122" s="11"/>
      <c r="D122" s="11"/>
      <c r="E122" s="19"/>
      <c r="F122" s="11"/>
      <c r="G122" s="11"/>
      <c r="H122" s="11"/>
      <c r="I122" s="2"/>
      <c r="J122" s="2"/>
      <c r="K122" s="2"/>
    </row>
    <row r="123" customFormat="false" ht="15" hidden="false" customHeight="false" outlineLevel="0" collapsed="false">
      <c r="A123" s="13"/>
      <c r="B123" s="11"/>
      <c r="C123" s="11"/>
      <c r="D123" s="11"/>
      <c r="E123" s="19"/>
      <c r="F123" s="11"/>
      <c r="G123" s="11"/>
      <c r="H123" s="11"/>
      <c r="I123" s="2"/>
      <c r="J123" s="2"/>
      <c r="K123" s="2"/>
    </row>
    <row r="124" customFormat="false" ht="15" hidden="false" customHeight="false" outlineLevel="0" collapsed="false">
      <c r="A124" s="13"/>
      <c r="B124" s="11"/>
      <c r="C124" s="11"/>
      <c r="D124" s="11"/>
      <c r="E124" s="19"/>
      <c r="F124" s="11"/>
      <c r="G124" s="11"/>
      <c r="H124" s="11"/>
      <c r="I124" s="2"/>
      <c r="J124" s="2"/>
      <c r="K124" s="2"/>
    </row>
    <row r="125" customFormat="false" ht="15" hidden="false" customHeight="false" outlineLevel="0" collapsed="false">
      <c r="A125" s="13"/>
      <c r="B125" s="11"/>
      <c r="C125" s="11"/>
      <c r="D125" s="11"/>
      <c r="E125" s="19"/>
      <c r="F125" s="11"/>
      <c r="G125" s="11"/>
      <c r="H125" s="11"/>
      <c r="I125" s="2"/>
      <c r="J125" s="2"/>
      <c r="K125" s="2"/>
    </row>
    <row r="126" customFormat="false" ht="15" hidden="false" customHeight="false" outlineLevel="0" collapsed="false">
      <c r="A126" s="13"/>
      <c r="B126" s="11"/>
      <c r="C126" s="11"/>
      <c r="D126" s="11"/>
      <c r="E126" s="19"/>
      <c r="F126" s="11"/>
      <c r="G126" s="11"/>
      <c r="H126" s="11"/>
      <c r="I126" s="2"/>
      <c r="J126" s="2"/>
      <c r="K126" s="2"/>
    </row>
    <row r="127" customFormat="false" ht="15" hidden="false" customHeight="false" outlineLevel="0" collapsed="false">
      <c r="A127" s="13"/>
      <c r="B127" s="11"/>
      <c r="C127" s="11"/>
      <c r="D127" s="11"/>
      <c r="E127" s="19"/>
      <c r="F127" s="11"/>
      <c r="G127" s="11"/>
      <c r="H127" s="11"/>
      <c r="I127" s="2"/>
      <c r="J127" s="2"/>
      <c r="K127" s="2"/>
    </row>
    <row r="128" customFormat="false" ht="15" hidden="false" customHeight="false" outlineLevel="0" collapsed="false">
      <c r="A128" s="13"/>
      <c r="B128" s="11"/>
      <c r="C128" s="11"/>
      <c r="D128" s="11"/>
      <c r="E128" s="19"/>
      <c r="F128" s="11"/>
      <c r="G128" s="11"/>
      <c r="H128" s="11"/>
      <c r="I128" s="2"/>
      <c r="J128" s="2"/>
      <c r="K128" s="2"/>
    </row>
    <row r="129" customFormat="false" ht="15" hidden="false" customHeight="false" outlineLevel="0" collapsed="false">
      <c r="A129" s="13"/>
      <c r="B129" s="11"/>
      <c r="C129" s="11"/>
      <c r="D129" s="11"/>
      <c r="E129" s="19"/>
      <c r="F129" s="11"/>
      <c r="G129" s="11"/>
      <c r="H129" s="11"/>
      <c r="I129" s="2"/>
      <c r="J129" s="2"/>
      <c r="K129" s="2"/>
    </row>
    <row r="130" customFormat="false" ht="15" hidden="false" customHeight="false" outlineLevel="0" collapsed="false">
      <c r="A130" s="13"/>
      <c r="B130" s="11"/>
      <c r="C130" s="11"/>
      <c r="D130" s="11"/>
      <c r="E130" s="19"/>
      <c r="F130" s="11"/>
      <c r="G130" s="11"/>
      <c r="H130" s="11"/>
      <c r="I130" s="2"/>
      <c r="J130" s="2"/>
      <c r="K130" s="2"/>
    </row>
    <row r="131" customFormat="false" ht="15" hidden="false" customHeight="false" outlineLevel="0" collapsed="false">
      <c r="A131" s="13"/>
      <c r="B131" s="11"/>
      <c r="C131" s="11"/>
      <c r="D131" s="11"/>
      <c r="E131" s="19"/>
      <c r="F131" s="11"/>
      <c r="G131" s="11"/>
      <c r="H131" s="11"/>
      <c r="I131" s="2"/>
      <c r="J131" s="2"/>
      <c r="K131" s="2"/>
    </row>
    <row r="132" customFormat="false" ht="15" hidden="false" customHeight="false" outlineLevel="0" collapsed="false">
      <c r="A132" s="13"/>
      <c r="B132" s="11"/>
      <c r="C132" s="11"/>
      <c r="D132" s="11"/>
      <c r="E132" s="19"/>
      <c r="F132" s="11"/>
      <c r="G132" s="11"/>
      <c r="H132" s="11"/>
      <c r="I132" s="2"/>
      <c r="J132" s="2"/>
      <c r="K132" s="2"/>
    </row>
    <row r="133" customFormat="false" ht="15" hidden="false" customHeight="false" outlineLevel="0" collapsed="false">
      <c r="A133" s="13"/>
      <c r="B133" s="11"/>
      <c r="C133" s="11"/>
      <c r="D133" s="11"/>
      <c r="E133" s="19"/>
      <c r="F133" s="11"/>
      <c r="G133" s="11"/>
      <c r="H133" s="11"/>
      <c r="I133" s="2"/>
      <c r="J133" s="2"/>
      <c r="K133" s="2"/>
    </row>
    <row r="134" customFormat="false" ht="15" hidden="false" customHeight="false" outlineLevel="0" collapsed="false">
      <c r="A134" s="13"/>
      <c r="B134" s="11"/>
      <c r="C134" s="11"/>
      <c r="D134" s="11"/>
      <c r="E134" s="19"/>
      <c r="F134" s="11"/>
      <c r="G134" s="11"/>
      <c r="H134" s="11"/>
      <c r="I134" s="2"/>
      <c r="J134" s="2"/>
      <c r="K134" s="2"/>
    </row>
    <row r="135" customFormat="false" ht="15" hidden="false" customHeight="false" outlineLevel="0" collapsed="false">
      <c r="A135" s="13"/>
      <c r="B135" s="11"/>
      <c r="C135" s="11"/>
      <c r="D135" s="11"/>
      <c r="E135" s="19"/>
      <c r="F135" s="11"/>
      <c r="G135" s="11"/>
      <c r="H135" s="11"/>
      <c r="I135" s="2"/>
      <c r="J135" s="2"/>
      <c r="K135" s="2"/>
    </row>
    <row r="136" customFormat="false" ht="15" hidden="false" customHeight="false" outlineLevel="0" collapsed="false">
      <c r="A136" s="13"/>
      <c r="B136" s="11"/>
      <c r="C136" s="11"/>
      <c r="D136" s="11"/>
      <c r="E136" s="19"/>
      <c r="F136" s="11"/>
      <c r="G136" s="11"/>
      <c r="H136" s="11"/>
      <c r="I136" s="2"/>
      <c r="J136" s="2"/>
      <c r="K136" s="2"/>
    </row>
    <row r="137" customFormat="false" ht="15" hidden="false" customHeight="false" outlineLevel="0" collapsed="false">
      <c r="A137" s="13"/>
      <c r="B137" s="11"/>
      <c r="C137" s="11"/>
      <c r="D137" s="11"/>
      <c r="E137" s="19"/>
      <c r="F137" s="11"/>
      <c r="G137" s="11"/>
      <c r="H137" s="11"/>
      <c r="I137" s="2"/>
      <c r="J137" s="2"/>
      <c r="K137" s="2"/>
    </row>
    <row r="138" customFormat="false" ht="15" hidden="false" customHeight="false" outlineLevel="0" collapsed="false">
      <c r="A138" s="13"/>
      <c r="B138" s="11"/>
      <c r="C138" s="11"/>
      <c r="D138" s="11"/>
      <c r="E138" s="19"/>
      <c r="F138" s="11"/>
      <c r="G138" s="11"/>
      <c r="H138" s="11"/>
      <c r="I138" s="2"/>
      <c r="J138" s="2"/>
      <c r="K138" s="2"/>
    </row>
    <row r="139" customFormat="false" ht="15" hidden="false" customHeight="false" outlineLevel="0" collapsed="false">
      <c r="A139" s="13"/>
      <c r="B139" s="11"/>
      <c r="C139" s="11"/>
      <c r="D139" s="11"/>
      <c r="E139" s="19"/>
      <c r="F139" s="11"/>
      <c r="G139" s="11"/>
      <c r="H139" s="11"/>
      <c r="I139" s="2"/>
      <c r="J139" s="2"/>
      <c r="K139" s="2"/>
    </row>
    <row r="140" customFormat="false" ht="15" hidden="false" customHeight="false" outlineLevel="0" collapsed="false">
      <c r="A140" s="13"/>
      <c r="B140" s="11"/>
      <c r="C140" s="11"/>
      <c r="D140" s="11"/>
      <c r="E140" s="19"/>
      <c r="F140" s="11"/>
      <c r="G140" s="11"/>
      <c r="H140" s="11"/>
      <c r="I140" s="2"/>
      <c r="J140" s="2"/>
      <c r="K140" s="2"/>
    </row>
    <row r="141" customFormat="false" ht="15" hidden="false" customHeight="false" outlineLevel="0" collapsed="false">
      <c r="A141" s="13"/>
      <c r="B141" s="11"/>
      <c r="C141" s="11"/>
      <c r="D141" s="11"/>
      <c r="E141" s="19"/>
      <c r="F141" s="11"/>
      <c r="G141" s="11"/>
      <c r="H141" s="11"/>
      <c r="I141" s="2"/>
      <c r="J141" s="2"/>
      <c r="K141" s="2"/>
    </row>
    <row r="142" customFormat="false" ht="15" hidden="false" customHeight="false" outlineLevel="0" collapsed="false">
      <c r="A142" s="13"/>
      <c r="B142" s="11"/>
      <c r="C142" s="11"/>
      <c r="D142" s="11"/>
      <c r="E142" s="19"/>
      <c r="F142" s="11"/>
      <c r="G142" s="11"/>
      <c r="H142" s="11"/>
      <c r="I142" s="2"/>
      <c r="J142" s="2"/>
      <c r="K142" s="2"/>
    </row>
    <row r="143" customFormat="false" ht="15" hidden="false" customHeight="false" outlineLevel="0" collapsed="false">
      <c r="A143" s="13"/>
      <c r="B143" s="11"/>
      <c r="C143" s="11"/>
      <c r="D143" s="11"/>
      <c r="E143" s="19"/>
      <c r="F143" s="11"/>
      <c r="G143" s="11"/>
      <c r="H143" s="11"/>
      <c r="I143" s="2"/>
      <c r="J143" s="2"/>
      <c r="K143" s="2"/>
    </row>
    <row r="144" customFormat="false" ht="15" hidden="false" customHeight="false" outlineLevel="0" collapsed="false">
      <c r="A144" s="13"/>
      <c r="B144" s="11"/>
      <c r="C144" s="11"/>
      <c r="D144" s="11"/>
      <c r="E144" s="19"/>
      <c r="F144" s="11"/>
      <c r="G144" s="11"/>
      <c r="H144" s="11"/>
      <c r="I144" s="2"/>
      <c r="J144" s="2"/>
      <c r="K144" s="2"/>
    </row>
    <row r="145" customFormat="false" ht="15" hidden="false" customHeight="false" outlineLevel="0" collapsed="false">
      <c r="A145" s="13"/>
      <c r="B145" s="11"/>
      <c r="C145" s="11"/>
      <c r="D145" s="11"/>
      <c r="E145" s="19"/>
      <c r="F145" s="11"/>
      <c r="G145" s="11"/>
      <c r="H145" s="11"/>
      <c r="I145" s="2"/>
      <c r="J145" s="2"/>
      <c r="K145" s="2"/>
    </row>
    <row r="146" customFormat="false" ht="15" hidden="false" customHeight="false" outlineLevel="0" collapsed="false">
      <c r="A146" s="13"/>
      <c r="B146" s="11"/>
      <c r="C146" s="11"/>
      <c r="D146" s="11"/>
      <c r="E146" s="19"/>
      <c r="F146" s="11"/>
      <c r="G146" s="11"/>
      <c r="H146" s="11"/>
      <c r="I146" s="2"/>
      <c r="J146" s="2"/>
      <c r="K146" s="2"/>
    </row>
    <row r="147" customFormat="false" ht="15" hidden="false" customHeight="false" outlineLevel="0" collapsed="false">
      <c r="A147" s="13"/>
      <c r="B147" s="11"/>
      <c r="C147" s="11"/>
      <c r="D147" s="11"/>
      <c r="E147" s="19"/>
      <c r="F147" s="11"/>
      <c r="G147" s="11"/>
      <c r="H147" s="11"/>
      <c r="I147" s="2"/>
      <c r="J147" s="2"/>
      <c r="K147" s="2"/>
    </row>
    <row r="148" customFormat="false" ht="15" hidden="false" customHeight="false" outlineLevel="0" collapsed="false">
      <c r="A148" s="13"/>
      <c r="B148" s="11"/>
      <c r="C148" s="11"/>
      <c r="D148" s="11"/>
      <c r="E148" s="19"/>
      <c r="F148" s="11"/>
      <c r="G148" s="11"/>
      <c r="H148" s="11"/>
      <c r="I148" s="2"/>
      <c r="J148" s="2"/>
      <c r="K148" s="2"/>
    </row>
    <row r="149" customFormat="false" ht="15" hidden="false" customHeight="false" outlineLevel="0" collapsed="false">
      <c r="A149" s="13"/>
      <c r="B149" s="11"/>
      <c r="C149" s="11"/>
      <c r="D149" s="11"/>
      <c r="E149" s="19"/>
      <c r="F149" s="11"/>
      <c r="G149" s="11"/>
      <c r="H149" s="11"/>
      <c r="I149" s="2"/>
      <c r="J149" s="2"/>
      <c r="K149" s="2"/>
    </row>
    <row r="150" customFormat="false" ht="15" hidden="false" customHeight="false" outlineLevel="0" collapsed="false">
      <c r="A150" s="13"/>
      <c r="B150" s="11"/>
      <c r="C150" s="11"/>
      <c r="D150" s="11"/>
      <c r="E150" s="19"/>
      <c r="F150" s="11"/>
      <c r="G150" s="11"/>
      <c r="H150" s="11"/>
      <c r="I150" s="2"/>
      <c r="J150" s="2"/>
      <c r="K150" s="2"/>
    </row>
    <row r="151" customFormat="false" ht="15" hidden="false" customHeight="false" outlineLevel="0" collapsed="false">
      <c r="A151" s="13"/>
      <c r="B151" s="11"/>
      <c r="C151" s="11"/>
      <c r="D151" s="11"/>
      <c r="E151" s="19"/>
      <c r="F151" s="11"/>
      <c r="G151" s="11"/>
      <c r="H151" s="11"/>
      <c r="I151" s="2"/>
      <c r="J151" s="2"/>
      <c r="K151" s="2"/>
    </row>
    <row r="152" customFormat="false" ht="15" hidden="false" customHeight="false" outlineLevel="0" collapsed="false">
      <c r="A152" s="13"/>
      <c r="B152" s="11"/>
      <c r="C152" s="11"/>
      <c r="D152" s="11"/>
      <c r="E152" s="19"/>
      <c r="F152" s="11"/>
      <c r="G152" s="11"/>
      <c r="H152" s="11"/>
      <c r="I152" s="2"/>
      <c r="J152" s="2"/>
      <c r="K152" s="2"/>
    </row>
    <row r="153" customFormat="false" ht="15" hidden="false" customHeight="false" outlineLevel="0" collapsed="false">
      <c r="A153" s="13"/>
      <c r="B153" s="11"/>
      <c r="C153" s="11"/>
      <c r="D153" s="11"/>
      <c r="E153" s="19"/>
      <c r="F153" s="11"/>
      <c r="G153" s="11"/>
      <c r="H153" s="11"/>
      <c r="I153" s="2"/>
      <c r="J153" s="2"/>
      <c r="K153" s="2"/>
    </row>
    <row r="154" customFormat="false" ht="15" hidden="false" customHeight="false" outlineLevel="0" collapsed="false">
      <c r="A154" s="13"/>
      <c r="B154" s="11"/>
      <c r="C154" s="11"/>
      <c r="D154" s="11"/>
      <c r="E154" s="19"/>
      <c r="F154" s="11"/>
      <c r="G154" s="11"/>
      <c r="H154" s="11"/>
      <c r="I154" s="2"/>
      <c r="J154" s="2"/>
      <c r="K154" s="2"/>
    </row>
    <row r="155" customFormat="false" ht="15" hidden="false" customHeight="false" outlineLevel="0" collapsed="false">
      <c r="A155" s="13"/>
      <c r="B155" s="11"/>
      <c r="C155" s="11"/>
      <c r="D155" s="11"/>
      <c r="E155" s="19"/>
      <c r="F155" s="11"/>
      <c r="G155" s="11"/>
      <c r="H155" s="11"/>
      <c r="I155" s="2"/>
      <c r="J155" s="2"/>
      <c r="K155" s="2"/>
    </row>
    <row r="156" customFormat="false" ht="15" hidden="false" customHeight="false" outlineLevel="0" collapsed="false">
      <c r="A156" s="13"/>
      <c r="B156" s="11"/>
      <c r="C156" s="11"/>
      <c r="D156" s="11"/>
      <c r="E156" s="19"/>
      <c r="F156" s="11"/>
      <c r="G156" s="11"/>
      <c r="H156" s="11"/>
      <c r="I156" s="2"/>
      <c r="J156" s="2"/>
      <c r="K156" s="2"/>
    </row>
    <row r="157" customFormat="false" ht="15" hidden="false" customHeight="false" outlineLevel="0" collapsed="false">
      <c r="A157" s="13"/>
      <c r="B157" s="11"/>
      <c r="C157" s="11"/>
      <c r="D157" s="11"/>
      <c r="E157" s="19"/>
      <c r="F157" s="11"/>
      <c r="G157" s="11"/>
      <c r="H157" s="11"/>
      <c r="I157" s="2"/>
      <c r="J157" s="2"/>
      <c r="K157" s="2"/>
    </row>
    <row r="158" customFormat="false" ht="15" hidden="false" customHeight="false" outlineLevel="0" collapsed="false">
      <c r="A158" s="13"/>
      <c r="B158" s="11"/>
      <c r="C158" s="11"/>
      <c r="D158" s="11"/>
      <c r="E158" s="19"/>
      <c r="F158" s="11"/>
      <c r="G158" s="11"/>
      <c r="H158" s="11"/>
      <c r="I158" s="2"/>
      <c r="J158" s="2"/>
      <c r="K158" s="2"/>
    </row>
    <row r="159" customFormat="false" ht="15" hidden="false" customHeight="false" outlineLevel="0" collapsed="false">
      <c r="A159" s="13"/>
      <c r="B159" s="11"/>
      <c r="C159" s="11"/>
      <c r="D159" s="11"/>
      <c r="E159" s="19"/>
      <c r="F159" s="11"/>
      <c r="G159" s="11"/>
      <c r="H159" s="11"/>
      <c r="I159" s="2"/>
      <c r="J159" s="2"/>
      <c r="K159" s="2"/>
    </row>
    <row r="160" customFormat="false" ht="15" hidden="false" customHeight="false" outlineLevel="0" collapsed="false">
      <c r="A160" s="13"/>
      <c r="B160" s="11"/>
      <c r="C160" s="11"/>
      <c r="D160" s="11"/>
      <c r="E160" s="19"/>
      <c r="F160" s="11"/>
      <c r="G160" s="11"/>
      <c r="H160" s="11"/>
      <c r="I160" s="2"/>
      <c r="J160" s="2"/>
      <c r="K160" s="2"/>
    </row>
    <row r="161" customFormat="false" ht="15" hidden="false" customHeight="false" outlineLevel="0" collapsed="false">
      <c r="A161" s="13"/>
      <c r="B161" s="11"/>
      <c r="C161" s="11"/>
      <c r="D161" s="11"/>
      <c r="E161" s="19"/>
      <c r="F161" s="11"/>
      <c r="G161" s="11"/>
      <c r="H161" s="11"/>
      <c r="I161" s="2"/>
      <c r="J161" s="2"/>
      <c r="K161" s="2"/>
    </row>
    <row r="162" customFormat="false" ht="15" hidden="false" customHeight="false" outlineLevel="0" collapsed="false">
      <c r="A162" s="13"/>
      <c r="B162" s="11"/>
      <c r="C162" s="11"/>
      <c r="D162" s="11"/>
      <c r="E162" s="19"/>
      <c r="F162" s="11"/>
      <c r="G162" s="11"/>
      <c r="H162" s="11"/>
      <c r="I162" s="2"/>
      <c r="J162" s="2"/>
      <c r="K162" s="2"/>
    </row>
    <row r="163" customFormat="false" ht="15" hidden="false" customHeight="false" outlineLevel="0" collapsed="false">
      <c r="A163" s="13"/>
      <c r="B163" s="11"/>
      <c r="C163" s="11"/>
      <c r="D163" s="11"/>
      <c r="E163" s="19"/>
      <c r="F163" s="11"/>
      <c r="G163" s="11"/>
      <c r="H163" s="11"/>
      <c r="I163" s="2"/>
      <c r="J163" s="2"/>
      <c r="K163" s="2"/>
    </row>
    <row r="164" customFormat="false" ht="15" hidden="false" customHeight="false" outlineLevel="0" collapsed="false">
      <c r="A164" s="13"/>
      <c r="B164" s="11"/>
      <c r="C164" s="11"/>
      <c r="D164" s="11"/>
      <c r="E164" s="19"/>
      <c r="F164" s="11"/>
      <c r="G164" s="11"/>
      <c r="H164" s="11"/>
      <c r="I164" s="2"/>
      <c r="J164" s="2"/>
      <c r="K164" s="2"/>
    </row>
    <row r="165" customFormat="false" ht="15" hidden="false" customHeight="false" outlineLevel="0" collapsed="false">
      <c r="A165" s="13"/>
      <c r="B165" s="11"/>
      <c r="C165" s="11"/>
      <c r="D165" s="11"/>
      <c r="E165" s="19"/>
      <c r="F165" s="11"/>
      <c r="G165" s="11"/>
      <c r="H165" s="11"/>
      <c r="I165" s="2"/>
      <c r="J165" s="2"/>
      <c r="K165" s="2"/>
    </row>
    <row r="166" customFormat="false" ht="15" hidden="false" customHeight="false" outlineLevel="0" collapsed="false">
      <c r="A166" s="13"/>
      <c r="B166" s="11"/>
      <c r="C166" s="11"/>
      <c r="D166" s="11"/>
      <c r="E166" s="19"/>
      <c r="F166" s="11"/>
      <c r="G166" s="11"/>
      <c r="H166" s="11"/>
      <c r="I166" s="2"/>
      <c r="J166" s="2"/>
      <c r="K166" s="2"/>
    </row>
    <row r="167" customFormat="false" ht="15" hidden="false" customHeight="false" outlineLevel="0" collapsed="false">
      <c r="A167" s="13"/>
      <c r="B167" s="11"/>
      <c r="C167" s="11"/>
      <c r="D167" s="11"/>
      <c r="E167" s="19"/>
      <c r="F167" s="11"/>
      <c r="G167" s="11"/>
      <c r="H167" s="11"/>
      <c r="I167" s="2"/>
      <c r="J167" s="2"/>
      <c r="K167" s="2"/>
    </row>
    <row r="168" customFormat="false" ht="15" hidden="false" customHeight="false" outlineLevel="0" collapsed="false">
      <c r="A168" s="13"/>
      <c r="B168" s="11"/>
      <c r="C168" s="11"/>
      <c r="D168" s="11"/>
      <c r="E168" s="19"/>
      <c r="F168" s="11"/>
      <c r="G168" s="11"/>
      <c r="H168" s="11"/>
      <c r="I168" s="2"/>
      <c r="J168" s="2"/>
      <c r="K168" s="2"/>
    </row>
    <row r="169" customFormat="false" ht="15" hidden="false" customHeight="false" outlineLevel="0" collapsed="false">
      <c r="A169" s="13"/>
      <c r="B169" s="11"/>
      <c r="C169" s="11"/>
      <c r="D169" s="11"/>
      <c r="E169" s="19"/>
      <c r="F169" s="11"/>
      <c r="G169" s="11"/>
      <c r="H169" s="11"/>
      <c r="I169" s="2"/>
      <c r="J169" s="2"/>
      <c r="K169" s="2"/>
    </row>
    <row r="170" customFormat="false" ht="15" hidden="false" customHeight="false" outlineLevel="0" collapsed="false">
      <c r="A170" s="13"/>
      <c r="B170" s="11"/>
      <c r="C170" s="11"/>
      <c r="D170" s="11"/>
      <c r="E170" s="19"/>
      <c r="F170" s="11"/>
      <c r="G170" s="11"/>
      <c r="H170" s="11"/>
      <c r="I170" s="2"/>
      <c r="J170" s="2"/>
      <c r="K170" s="2"/>
    </row>
    <row r="171" customFormat="false" ht="15" hidden="false" customHeight="false" outlineLevel="0" collapsed="false">
      <c r="A171" s="13"/>
      <c r="B171" s="11"/>
      <c r="C171" s="11"/>
      <c r="D171" s="11"/>
      <c r="E171" s="19"/>
      <c r="F171" s="11"/>
      <c r="G171" s="11"/>
      <c r="H171" s="11"/>
      <c r="I171" s="2"/>
      <c r="J171" s="2"/>
      <c r="K171" s="2"/>
    </row>
    <row r="172" customFormat="false" ht="15" hidden="false" customHeight="false" outlineLevel="0" collapsed="false">
      <c r="A172" s="13"/>
      <c r="B172" s="11"/>
      <c r="C172" s="11"/>
      <c r="D172" s="11"/>
      <c r="E172" s="19"/>
      <c r="F172" s="11"/>
      <c r="G172" s="11"/>
      <c r="H172" s="11"/>
      <c r="I172" s="2"/>
      <c r="J172" s="2"/>
      <c r="K172" s="2"/>
    </row>
    <row r="173" customFormat="false" ht="15" hidden="false" customHeight="false" outlineLevel="0" collapsed="false">
      <c r="A173" s="13"/>
      <c r="B173" s="11"/>
      <c r="C173" s="11"/>
      <c r="D173" s="11"/>
      <c r="E173" s="19"/>
      <c r="F173" s="11"/>
      <c r="G173" s="11"/>
      <c r="H173" s="11"/>
      <c r="I173" s="2"/>
      <c r="J173" s="2"/>
      <c r="K173" s="2"/>
    </row>
    <row r="174" customFormat="false" ht="15" hidden="false" customHeight="false" outlineLevel="0" collapsed="false">
      <c r="A174" s="13"/>
      <c r="B174" s="11"/>
      <c r="C174" s="11"/>
      <c r="D174" s="11"/>
      <c r="E174" s="19"/>
      <c r="F174" s="11"/>
      <c r="G174" s="11"/>
      <c r="H174" s="11"/>
      <c r="I174" s="2"/>
      <c r="J174" s="2"/>
      <c r="K174" s="2"/>
    </row>
    <row r="175" customFormat="false" ht="15" hidden="false" customHeight="false" outlineLevel="0" collapsed="false">
      <c r="A175" s="13"/>
      <c r="B175" s="11"/>
      <c r="C175" s="11"/>
      <c r="D175" s="11"/>
      <c r="E175" s="19"/>
      <c r="F175" s="11"/>
      <c r="G175" s="11"/>
      <c r="H175" s="11"/>
      <c r="I175" s="2"/>
      <c r="J175" s="2"/>
      <c r="K175" s="2"/>
    </row>
    <row r="176" customFormat="false" ht="15" hidden="false" customHeight="false" outlineLevel="0" collapsed="false">
      <c r="A176" s="13"/>
      <c r="B176" s="11"/>
      <c r="C176" s="11"/>
      <c r="D176" s="11"/>
      <c r="E176" s="19"/>
      <c r="F176" s="11"/>
      <c r="G176" s="11"/>
      <c r="H176" s="11"/>
      <c r="I176" s="2"/>
      <c r="J176" s="2"/>
      <c r="K176" s="2"/>
    </row>
    <row r="177" customFormat="false" ht="15" hidden="false" customHeight="false" outlineLevel="0" collapsed="false">
      <c r="A177" s="13"/>
      <c r="B177" s="11"/>
      <c r="C177" s="11"/>
      <c r="D177" s="11"/>
      <c r="E177" s="19"/>
      <c r="F177" s="11"/>
      <c r="G177" s="11"/>
      <c r="H177" s="11"/>
      <c r="I177" s="2"/>
      <c r="J177" s="2"/>
      <c r="K177" s="2"/>
    </row>
    <row r="178" customFormat="false" ht="15" hidden="false" customHeight="false" outlineLevel="0" collapsed="false">
      <c r="A178" s="13"/>
      <c r="B178" s="11"/>
      <c r="C178" s="11"/>
      <c r="D178" s="11"/>
      <c r="E178" s="19"/>
      <c r="F178" s="11"/>
      <c r="G178" s="11"/>
      <c r="H178" s="11"/>
      <c r="I178" s="2"/>
      <c r="J178" s="2"/>
      <c r="K178" s="2"/>
    </row>
    <row r="179" customFormat="false" ht="15" hidden="false" customHeight="false" outlineLevel="0" collapsed="false">
      <c r="A179" s="13"/>
      <c r="B179" s="11"/>
      <c r="C179" s="11"/>
      <c r="D179" s="11"/>
      <c r="E179" s="19"/>
      <c r="F179" s="11"/>
      <c r="G179" s="11"/>
      <c r="H179" s="11"/>
      <c r="I179" s="2"/>
      <c r="J179" s="2"/>
      <c r="K179" s="2"/>
    </row>
    <row r="180" customFormat="false" ht="15" hidden="false" customHeight="false" outlineLevel="0" collapsed="false">
      <c r="A180" s="13"/>
      <c r="B180" s="11"/>
      <c r="C180" s="11"/>
      <c r="D180" s="11"/>
      <c r="E180" s="19"/>
      <c r="F180" s="11"/>
      <c r="G180" s="11"/>
      <c r="H180" s="11"/>
      <c r="I180" s="2"/>
      <c r="J180" s="2"/>
      <c r="K180" s="2"/>
    </row>
    <row r="181" customFormat="false" ht="15" hidden="false" customHeight="false" outlineLevel="0" collapsed="false">
      <c r="A181" s="13"/>
      <c r="B181" s="11"/>
      <c r="C181" s="11"/>
      <c r="D181" s="11"/>
      <c r="E181" s="19"/>
      <c r="F181" s="11"/>
      <c r="G181" s="11"/>
      <c r="H181" s="11"/>
      <c r="I181" s="2"/>
      <c r="J181" s="2"/>
      <c r="K181" s="2"/>
    </row>
    <row r="182" customFormat="false" ht="15" hidden="false" customHeight="false" outlineLevel="0" collapsed="false">
      <c r="A182" s="13"/>
      <c r="B182" s="11"/>
      <c r="C182" s="11"/>
      <c r="D182" s="11"/>
      <c r="E182" s="19"/>
      <c r="F182" s="11"/>
      <c r="G182" s="11"/>
      <c r="H182" s="11"/>
      <c r="I182" s="2"/>
      <c r="J182" s="2"/>
      <c r="K182" s="2"/>
    </row>
    <row r="183" customFormat="false" ht="15" hidden="false" customHeight="false" outlineLevel="0" collapsed="false">
      <c r="A183" s="13"/>
      <c r="B183" s="11"/>
      <c r="C183" s="11"/>
      <c r="D183" s="11"/>
      <c r="E183" s="19"/>
      <c r="F183" s="11"/>
      <c r="G183" s="11"/>
      <c r="H183" s="11"/>
      <c r="I183" s="2"/>
      <c r="J183" s="2"/>
      <c r="K183" s="2"/>
    </row>
    <row r="184" customFormat="false" ht="15" hidden="false" customHeight="false" outlineLevel="0" collapsed="false">
      <c r="A184" s="13"/>
      <c r="B184" s="11"/>
      <c r="C184" s="11"/>
      <c r="D184" s="11"/>
      <c r="E184" s="19"/>
      <c r="F184" s="11"/>
      <c r="G184" s="11"/>
      <c r="H184" s="11"/>
      <c r="I184" s="2"/>
      <c r="J184" s="2"/>
      <c r="K184" s="2"/>
    </row>
    <row r="185" customFormat="false" ht="15" hidden="false" customHeight="false" outlineLevel="0" collapsed="false">
      <c r="A185" s="13"/>
      <c r="B185" s="11"/>
      <c r="C185" s="11"/>
      <c r="D185" s="11"/>
      <c r="E185" s="19"/>
      <c r="F185" s="11"/>
      <c r="G185" s="11"/>
      <c r="H185" s="11"/>
      <c r="I185" s="2"/>
      <c r="J185" s="2"/>
      <c r="K185" s="2"/>
    </row>
    <row r="186" customFormat="false" ht="15" hidden="false" customHeight="false" outlineLevel="0" collapsed="false">
      <c r="A186" s="13"/>
      <c r="B186" s="11"/>
      <c r="C186" s="11"/>
      <c r="D186" s="11"/>
      <c r="E186" s="19"/>
      <c r="F186" s="11"/>
      <c r="G186" s="11"/>
      <c r="H186" s="11"/>
      <c r="I186" s="2"/>
      <c r="J186" s="2"/>
      <c r="K186" s="2"/>
    </row>
    <row r="187" customFormat="false" ht="15" hidden="false" customHeight="false" outlineLevel="0" collapsed="false">
      <c r="A187" s="13"/>
      <c r="B187" s="11"/>
      <c r="C187" s="11"/>
      <c r="D187" s="11"/>
      <c r="E187" s="19"/>
      <c r="F187" s="11"/>
      <c r="G187" s="11"/>
      <c r="H187" s="11"/>
      <c r="I187" s="2"/>
      <c r="J187" s="2"/>
      <c r="K187" s="2"/>
    </row>
    <row r="188" customFormat="false" ht="15" hidden="false" customHeight="false" outlineLevel="0" collapsed="false">
      <c r="A188" s="13"/>
      <c r="B188" s="11"/>
      <c r="C188" s="11"/>
      <c r="D188" s="11"/>
      <c r="E188" s="19"/>
      <c r="F188" s="11"/>
      <c r="G188" s="11"/>
      <c r="H188" s="11"/>
      <c r="I188" s="2"/>
      <c r="J188" s="2"/>
      <c r="K188" s="2"/>
    </row>
    <row r="189" customFormat="false" ht="15" hidden="false" customHeight="false" outlineLevel="0" collapsed="false">
      <c r="A189" s="13"/>
      <c r="B189" s="11"/>
      <c r="C189" s="11"/>
      <c r="D189" s="11"/>
      <c r="E189" s="19"/>
      <c r="F189" s="11"/>
      <c r="G189" s="11"/>
      <c r="H189" s="11"/>
      <c r="I189" s="2"/>
      <c r="J189" s="2"/>
      <c r="K189" s="2"/>
    </row>
    <row r="190" customFormat="false" ht="15" hidden="false" customHeight="false" outlineLevel="0" collapsed="false">
      <c r="A190" s="13"/>
      <c r="B190" s="11"/>
      <c r="C190" s="11"/>
      <c r="D190" s="11"/>
      <c r="E190" s="19"/>
      <c r="F190" s="11"/>
      <c r="G190" s="11"/>
      <c r="H190" s="11"/>
      <c r="I190" s="2"/>
      <c r="J190" s="2"/>
      <c r="K190" s="2"/>
    </row>
    <row r="191" customFormat="false" ht="15" hidden="false" customHeight="false" outlineLevel="0" collapsed="false">
      <c r="A191" s="13"/>
      <c r="B191" s="11"/>
      <c r="C191" s="11"/>
      <c r="D191" s="11"/>
      <c r="E191" s="19"/>
      <c r="F191" s="11"/>
      <c r="G191" s="11"/>
      <c r="H191" s="11"/>
      <c r="I191" s="2"/>
      <c r="J191" s="2"/>
      <c r="K191" s="2"/>
    </row>
    <row r="192" customFormat="false" ht="15" hidden="false" customHeight="false" outlineLevel="0" collapsed="false">
      <c r="A192" s="13"/>
      <c r="B192" s="11"/>
      <c r="C192" s="11"/>
      <c r="D192" s="11"/>
      <c r="E192" s="19"/>
      <c r="F192" s="11"/>
      <c r="G192" s="11"/>
      <c r="H192" s="11"/>
      <c r="I192" s="2"/>
      <c r="J192" s="2"/>
      <c r="K192" s="2"/>
    </row>
    <row r="193" customFormat="false" ht="15" hidden="false" customHeight="false" outlineLevel="0" collapsed="false">
      <c r="A193" s="13"/>
      <c r="B193" s="11"/>
      <c r="C193" s="11"/>
      <c r="D193" s="11"/>
      <c r="E193" s="19"/>
      <c r="F193" s="11"/>
      <c r="G193" s="11"/>
      <c r="H193" s="11"/>
      <c r="I193" s="2"/>
      <c r="J193" s="2"/>
      <c r="K193" s="2"/>
    </row>
    <row r="194" customFormat="false" ht="15" hidden="false" customHeight="false" outlineLevel="0" collapsed="false">
      <c r="A194" s="13"/>
      <c r="B194" s="11"/>
      <c r="C194" s="11"/>
      <c r="D194" s="11"/>
      <c r="E194" s="19"/>
      <c r="F194" s="11"/>
      <c r="G194" s="11"/>
      <c r="H194" s="11"/>
      <c r="I194" s="2"/>
      <c r="J194" s="2"/>
      <c r="K194" s="2"/>
    </row>
    <row r="195" customFormat="false" ht="15" hidden="false" customHeight="false" outlineLevel="0" collapsed="false">
      <c r="A195" s="13"/>
      <c r="B195" s="11"/>
      <c r="C195" s="11"/>
      <c r="D195" s="11"/>
      <c r="E195" s="19"/>
      <c r="F195" s="11"/>
      <c r="G195" s="11"/>
      <c r="H195" s="11"/>
      <c r="I195" s="2"/>
      <c r="J195" s="2"/>
      <c r="K195" s="2"/>
    </row>
    <row r="196" customFormat="false" ht="15" hidden="false" customHeight="false" outlineLevel="0" collapsed="false">
      <c r="A196" s="13"/>
      <c r="B196" s="11"/>
      <c r="C196" s="11"/>
      <c r="D196" s="11"/>
      <c r="E196" s="19"/>
      <c r="F196" s="11"/>
      <c r="G196" s="11"/>
      <c r="H196" s="11"/>
      <c r="I196" s="2"/>
      <c r="J196" s="2"/>
      <c r="K196" s="2"/>
    </row>
    <row r="197" customFormat="false" ht="15" hidden="false" customHeight="false" outlineLevel="0" collapsed="false">
      <c r="A197" s="13"/>
      <c r="B197" s="11"/>
      <c r="C197" s="11"/>
      <c r="D197" s="11"/>
      <c r="E197" s="19"/>
      <c r="F197" s="11"/>
      <c r="G197" s="11"/>
      <c r="H197" s="11"/>
      <c r="I197" s="2"/>
      <c r="J197" s="2"/>
      <c r="K197" s="2"/>
    </row>
    <row r="198" customFormat="false" ht="15" hidden="false" customHeight="false" outlineLevel="0" collapsed="false">
      <c r="A198" s="13"/>
      <c r="B198" s="11"/>
      <c r="C198" s="11"/>
      <c r="D198" s="11"/>
      <c r="E198" s="19"/>
      <c r="F198" s="11"/>
      <c r="G198" s="11"/>
      <c r="H198" s="11"/>
      <c r="I198" s="2"/>
      <c r="J198" s="2"/>
      <c r="K198" s="2"/>
    </row>
    <row r="199" customFormat="false" ht="15" hidden="false" customHeight="false" outlineLevel="0" collapsed="false">
      <c r="A199" s="13"/>
      <c r="B199" s="11"/>
      <c r="C199" s="11"/>
      <c r="D199" s="11"/>
      <c r="E199" s="19"/>
      <c r="F199" s="11"/>
      <c r="G199" s="11"/>
      <c r="H199" s="11"/>
      <c r="I199" s="2"/>
      <c r="J199" s="2"/>
      <c r="K199" s="2"/>
    </row>
    <row r="200" customFormat="false" ht="15" hidden="false" customHeight="false" outlineLevel="0" collapsed="false">
      <c r="A200" s="13"/>
      <c r="B200" s="11"/>
      <c r="C200" s="11"/>
      <c r="D200" s="11"/>
      <c r="E200" s="19"/>
      <c r="F200" s="11"/>
      <c r="G200" s="11"/>
      <c r="H200" s="11"/>
      <c r="I200" s="2"/>
      <c r="J200" s="2"/>
      <c r="K200" s="2"/>
    </row>
    <row r="201" customFormat="false" ht="15" hidden="false" customHeight="false" outlineLevel="0" collapsed="false">
      <c r="A201" s="13"/>
      <c r="B201" s="11"/>
      <c r="C201" s="11"/>
      <c r="D201" s="11"/>
      <c r="E201" s="19"/>
      <c r="F201" s="11"/>
      <c r="G201" s="11"/>
      <c r="H201" s="11"/>
      <c r="I201" s="2"/>
      <c r="J201" s="2"/>
      <c r="K201" s="2"/>
    </row>
    <row r="202" customFormat="false" ht="15" hidden="false" customHeight="false" outlineLevel="0" collapsed="false">
      <c r="A202" s="13"/>
      <c r="B202" s="11"/>
      <c r="C202" s="11"/>
      <c r="D202" s="11"/>
      <c r="E202" s="19"/>
      <c r="F202" s="11"/>
      <c r="G202" s="11"/>
      <c r="H202" s="11"/>
      <c r="I202" s="2"/>
      <c r="J202" s="2"/>
      <c r="K202" s="2"/>
    </row>
    <row r="203" customFormat="false" ht="15" hidden="false" customHeight="false" outlineLevel="0" collapsed="false">
      <c r="A203" s="13"/>
      <c r="B203" s="11"/>
      <c r="C203" s="11"/>
      <c r="D203" s="11"/>
      <c r="E203" s="19"/>
      <c r="F203" s="11"/>
      <c r="G203" s="11"/>
      <c r="H203" s="11"/>
      <c r="I203" s="2"/>
      <c r="J203" s="2"/>
      <c r="K203" s="2"/>
    </row>
    <row r="204" customFormat="false" ht="15" hidden="false" customHeight="false" outlineLevel="0" collapsed="false">
      <c r="A204" s="13"/>
      <c r="B204" s="11"/>
      <c r="C204" s="11"/>
      <c r="D204" s="11"/>
      <c r="E204" s="19"/>
      <c r="F204" s="11"/>
      <c r="G204" s="11"/>
      <c r="H204" s="11"/>
      <c r="I204" s="2"/>
      <c r="J204" s="2"/>
      <c r="K204" s="2"/>
    </row>
    <row r="205" customFormat="false" ht="15" hidden="false" customHeight="false" outlineLevel="0" collapsed="false">
      <c r="A205" s="13"/>
      <c r="B205" s="11"/>
      <c r="C205" s="11"/>
      <c r="D205" s="11"/>
      <c r="E205" s="19"/>
      <c r="F205" s="11"/>
      <c r="G205" s="11"/>
      <c r="H205" s="11"/>
      <c r="I205" s="2"/>
      <c r="J205" s="2"/>
      <c r="K205" s="2"/>
    </row>
    <row r="206" customFormat="false" ht="15" hidden="false" customHeight="false" outlineLevel="0" collapsed="false">
      <c r="A206" s="13"/>
      <c r="B206" s="11"/>
      <c r="C206" s="11"/>
      <c r="D206" s="11"/>
      <c r="E206" s="19"/>
      <c r="F206" s="11"/>
      <c r="G206" s="11"/>
      <c r="H206" s="11"/>
      <c r="I206" s="2"/>
      <c r="J206" s="2"/>
      <c r="K206" s="2"/>
    </row>
    <row r="207" customFormat="false" ht="15" hidden="false" customHeight="false" outlineLevel="0" collapsed="false">
      <c r="A207" s="13"/>
      <c r="B207" s="11"/>
      <c r="C207" s="11"/>
      <c r="D207" s="11"/>
      <c r="E207" s="19"/>
      <c r="F207" s="11"/>
      <c r="G207" s="11"/>
      <c r="H207" s="11"/>
      <c r="I207" s="2"/>
      <c r="J207" s="2"/>
      <c r="K207" s="2"/>
    </row>
    <row r="208" customFormat="false" ht="15" hidden="false" customHeight="false" outlineLevel="0" collapsed="false">
      <c r="A208" s="13"/>
      <c r="B208" s="11"/>
      <c r="C208" s="11"/>
      <c r="D208" s="11"/>
      <c r="E208" s="19"/>
      <c r="F208" s="11"/>
      <c r="G208" s="11"/>
      <c r="H208" s="11"/>
      <c r="I208" s="2"/>
      <c r="J208" s="2"/>
      <c r="K208" s="2"/>
    </row>
    <row r="209" customFormat="false" ht="15" hidden="false" customHeight="false" outlineLevel="0" collapsed="false">
      <c r="A209" s="13"/>
      <c r="B209" s="11"/>
      <c r="C209" s="11"/>
      <c r="D209" s="11"/>
      <c r="E209" s="19"/>
      <c r="F209" s="11"/>
      <c r="G209" s="11"/>
      <c r="H209" s="11"/>
      <c r="I209" s="2"/>
      <c r="J209" s="2"/>
      <c r="K209" s="2"/>
    </row>
    <row r="210" customFormat="false" ht="15" hidden="false" customHeight="false" outlineLevel="0" collapsed="false">
      <c r="A210" s="13"/>
      <c r="B210" s="11"/>
      <c r="C210" s="11"/>
      <c r="D210" s="11"/>
      <c r="E210" s="19"/>
      <c r="F210" s="11"/>
      <c r="G210" s="11"/>
      <c r="H210" s="11"/>
      <c r="I210" s="2"/>
      <c r="J210" s="2"/>
      <c r="K210" s="2"/>
    </row>
    <row r="211" customFormat="false" ht="15" hidden="false" customHeight="false" outlineLevel="0" collapsed="false">
      <c r="A211" s="13"/>
      <c r="B211" s="11"/>
      <c r="C211" s="11"/>
      <c r="D211" s="11"/>
      <c r="E211" s="19"/>
      <c r="F211" s="11"/>
      <c r="G211" s="11"/>
      <c r="H211" s="11"/>
      <c r="I211" s="2"/>
      <c r="J211" s="2"/>
      <c r="K211" s="2"/>
    </row>
    <row r="212" customFormat="false" ht="15" hidden="false" customHeight="false" outlineLevel="0" collapsed="false">
      <c r="A212" s="13"/>
      <c r="B212" s="11"/>
      <c r="C212" s="11"/>
      <c r="D212" s="11"/>
      <c r="E212" s="19"/>
      <c r="F212" s="11"/>
      <c r="G212" s="11"/>
      <c r="H212" s="11"/>
      <c r="I212" s="2"/>
      <c r="J212" s="2"/>
      <c r="K212" s="2"/>
    </row>
    <row r="213" customFormat="false" ht="15" hidden="false" customHeight="false" outlineLevel="0" collapsed="false">
      <c r="A213" s="13"/>
      <c r="B213" s="11"/>
      <c r="C213" s="11"/>
      <c r="D213" s="11"/>
      <c r="E213" s="19"/>
      <c r="F213" s="11"/>
      <c r="G213" s="11"/>
      <c r="H213" s="11"/>
      <c r="I213" s="2"/>
      <c r="J213" s="2"/>
      <c r="K213" s="2"/>
    </row>
    <row r="214" customFormat="false" ht="15" hidden="false" customHeight="false" outlineLevel="0" collapsed="false">
      <c r="A214" s="13"/>
      <c r="B214" s="11"/>
      <c r="C214" s="11"/>
      <c r="D214" s="11"/>
      <c r="E214" s="19"/>
      <c r="F214" s="11"/>
      <c r="G214" s="11"/>
      <c r="H214" s="11"/>
      <c r="I214" s="2"/>
      <c r="J214" s="2"/>
      <c r="K214" s="2"/>
    </row>
    <row r="215" customFormat="false" ht="15" hidden="false" customHeight="false" outlineLevel="0" collapsed="false">
      <c r="A215" s="13"/>
      <c r="B215" s="11"/>
      <c r="C215" s="11"/>
      <c r="D215" s="11"/>
      <c r="E215" s="19"/>
      <c r="F215" s="11"/>
      <c r="G215" s="11"/>
      <c r="H215" s="11"/>
      <c r="I215" s="2"/>
      <c r="J215" s="2"/>
      <c r="K215" s="2"/>
    </row>
    <row r="216" customFormat="false" ht="15" hidden="false" customHeight="false" outlineLevel="0" collapsed="false">
      <c r="A216" s="13"/>
      <c r="B216" s="11"/>
      <c r="C216" s="11"/>
      <c r="D216" s="11"/>
      <c r="E216" s="19"/>
      <c r="F216" s="11"/>
      <c r="G216" s="11"/>
      <c r="H216" s="11"/>
      <c r="I216" s="2"/>
      <c r="J216" s="2"/>
      <c r="K216" s="2"/>
    </row>
    <row r="217" customFormat="false" ht="15" hidden="false" customHeight="false" outlineLevel="0" collapsed="false">
      <c r="A217" s="13"/>
      <c r="B217" s="11"/>
      <c r="C217" s="11"/>
      <c r="D217" s="11"/>
      <c r="E217" s="19"/>
      <c r="F217" s="11"/>
      <c r="G217" s="11"/>
      <c r="H217" s="11"/>
      <c r="I217" s="2"/>
      <c r="J217" s="2"/>
      <c r="K217" s="2"/>
    </row>
    <row r="218" customFormat="false" ht="15" hidden="false" customHeight="false" outlineLevel="0" collapsed="false">
      <c r="A218" s="13"/>
      <c r="B218" s="11"/>
      <c r="C218" s="11"/>
      <c r="D218" s="11"/>
      <c r="E218" s="19"/>
      <c r="F218" s="11"/>
      <c r="G218" s="11"/>
      <c r="H218" s="11"/>
      <c r="I218" s="2"/>
      <c r="J218" s="2"/>
      <c r="K218" s="2"/>
    </row>
    <row r="219" customFormat="false" ht="15" hidden="false" customHeight="false" outlineLevel="0" collapsed="false">
      <c r="A219" s="13"/>
      <c r="B219" s="11"/>
      <c r="C219" s="11"/>
      <c r="D219" s="11"/>
      <c r="E219" s="19"/>
      <c r="F219" s="11"/>
      <c r="G219" s="11"/>
      <c r="H219" s="11"/>
      <c r="I219" s="2"/>
      <c r="J219" s="2"/>
      <c r="K219" s="2"/>
    </row>
    <row r="220" customFormat="false" ht="15" hidden="false" customHeight="false" outlineLevel="0" collapsed="false">
      <c r="A220" s="13"/>
      <c r="B220" s="11"/>
      <c r="C220" s="11"/>
      <c r="D220" s="11"/>
      <c r="E220" s="19"/>
      <c r="F220" s="11"/>
      <c r="G220" s="11"/>
      <c r="H220" s="11"/>
      <c r="I220" s="2"/>
      <c r="J220" s="2"/>
      <c r="K220" s="2"/>
    </row>
    <row r="221" customFormat="false" ht="15" hidden="false" customHeight="false" outlineLevel="0" collapsed="false">
      <c r="A221" s="13"/>
      <c r="B221" s="11"/>
      <c r="C221" s="11"/>
      <c r="D221" s="11"/>
      <c r="E221" s="19"/>
      <c r="F221" s="11"/>
      <c r="G221" s="11"/>
      <c r="H221" s="11"/>
      <c r="I221" s="2"/>
      <c r="J221" s="2"/>
      <c r="K221" s="2"/>
    </row>
    <row r="222" customFormat="false" ht="15" hidden="false" customHeight="false" outlineLevel="0" collapsed="false">
      <c r="A222" s="13"/>
      <c r="B222" s="11"/>
      <c r="C222" s="11"/>
      <c r="D222" s="11"/>
      <c r="E222" s="19"/>
      <c r="F222" s="11"/>
      <c r="G222" s="11"/>
      <c r="H222" s="11"/>
      <c r="I222" s="2"/>
      <c r="J222" s="2"/>
      <c r="K222" s="2"/>
    </row>
    <row r="223" customFormat="false" ht="15" hidden="false" customHeight="false" outlineLevel="0" collapsed="false">
      <c r="A223" s="13"/>
      <c r="B223" s="11"/>
      <c r="C223" s="11"/>
      <c r="D223" s="11"/>
      <c r="E223" s="19"/>
      <c r="F223" s="11"/>
      <c r="G223" s="11"/>
      <c r="H223" s="11"/>
      <c r="I223" s="2"/>
      <c r="J223" s="2"/>
      <c r="K223" s="2"/>
    </row>
    <row r="224" customFormat="false" ht="15" hidden="false" customHeight="false" outlineLevel="0" collapsed="false">
      <c r="A224" s="13"/>
      <c r="B224" s="11"/>
      <c r="C224" s="11"/>
      <c r="D224" s="11"/>
      <c r="E224" s="19"/>
      <c r="F224" s="11"/>
      <c r="G224" s="11"/>
      <c r="H224" s="11"/>
      <c r="I224" s="2"/>
      <c r="J224" s="2"/>
      <c r="K224" s="2"/>
    </row>
    <row r="225" customFormat="false" ht="15" hidden="false" customHeight="false" outlineLevel="0" collapsed="false">
      <c r="A225" s="13"/>
      <c r="B225" s="11"/>
      <c r="C225" s="11"/>
      <c r="D225" s="11"/>
      <c r="E225" s="19"/>
      <c r="F225" s="11"/>
      <c r="G225" s="11"/>
      <c r="H225" s="11"/>
      <c r="I225" s="2"/>
      <c r="J225" s="2"/>
      <c r="K225" s="2"/>
    </row>
    <row r="226" customFormat="false" ht="15" hidden="false" customHeight="false" outlineLevel="0" collapsed="false">
      <c r="A226" s="13"/>
      <c r="B226" s="11"/>
      <c r="C226" s="11"/>
      <c r="D226" s="11"/>
      <c r="E226" s="19"/>
      <c r="F226" s="11"/>
      <c r="G226" s="11"/>
      <c r="H226" s="11"/>
      <c r="I226" s="2"/>
      <c r="J226" s="2"/>
      <c r="K226" s="2"/>
    </row>
    <row r="227" customFormat="false" ht="15" hidden="false" customHeight="false" outlineLevel="0" collapsed="false">
      <c r="A227" s="13"/>
      <c r="B227" s="11"/>
      <c r="C227" s="11"/>
      <c r="D227" s="11"/>
      <c r="E227" s="19"/>
      <c r="F227" s="11"/>
      <c r="G227" s="11"/>
      <c r="H227" s="11"/>
      <c r="I227" s="2"/>
      <c r="J227" s="2"/>
      <c r="K227" s="2"/>
    </row>
    <row r="228" customFormat="false" ht="15" hidden="false" customHeight="false" outlineLevel="0" collapsed="false">
      <c r="A228" s="13"/>
      <c r="B228" s="11"/>
      <c r="C228" s="11"/>
      <c r="D228" s="11"/>
      <c r="E228" s="19"/>
      <c r="F228" s="11"/>
      <c r="G228" s="11"/>
      <c r="H228" s="11"/>
      <c r="I228" s="2"/>
      <c r="J228" s="2"/>
      <c r="K228" s="2"/>
    </row>
    <row r="229" customFormat="false" ht="15" hidden="false" customHeight="false" outlineLevel="0" collapsed="false">
      <c r="A229" s="13"/>
      <c r="B229" s="11"/>
      <c r="C229" s="11"/>
      <c r="D229" s="11"/>
      <c r="E229" s="19"/>
      <c r="F229" s="11"/>
      <c r="G229" s="11"/>
      <c r="H229" s="11"/>
      <c r="I229" s="2"/>
      <c r="J229" s="2"/>
      <c r="K229" s="2"/>
    </row>
    <row r="230" customFormat="false" ht="15" hidden="false" customHeight="false" outlineLevel="0" collapsed="false">
      <c r="A230" s="13"/>
      <c r="B230" s="11"/>
      <c r="C230" s="11"/>
      <c r="D230" s="11"/>
      <c r="E230" s="19"/>
      <c r="F230" s="11"/>
      <c r="G230" s="11"/>
      <c r="H230" s="11"/>
      <c r="I230" s="2"/>
      <c r="J230" s="2"/>
      <c r="K230" s="2"/>
    </row>
    <row r="231" customFormat="false" ht="15" hidden="false" customHeight="false" outlineLevel="0" collapsed="false">
      <c r="A231" s="13"/>
      <c r="B231" s="11"/>
      <c r="C231" s="11"/>
      <c r="D231" s="11"/>
      <c r="E231" s="19"/>
      <c r="F231" s="11"/>
      <c r="G231" s="11"/>
      <c r="H231" s="11"/>
      <c r="I231" s="2"/>
      <c r="J231" s="2"/>
      <c r="K231" s="2"/>
    </row>
    <row r="232" customFormat="false" ht="15" hidden="false" customHeight="false" outlineLevel="0" collapsed="false">
      <c r="A232" s="13"/>
      <c r="B232" s="11"/>
      <c r="C232" s="11"/>
      <c r="D232" s="11"/>
      <c r="E232" s="19"/>
      <c r="F232" s="11"/>
      <c r="G232" s="11"/>
      <c r="H232" s="11"/>
      <c r="I232" s="2"/>
      <c r="J232" s="2"/>
      <c r="K232" s="2"/>
    </row>
    <row r="233" customFormat="false" ht="15" hidden="false" customHeight="false" outlineLevel="0" collapsed="false">
      <c r="A233" s="13"/>
      <c r="B233" s="11"/>
      <c r="C233" s="11"/>
      <c r="D233" s="11"/>
      <c r="E233" s="19"/>
      <c r="F233" s="11"/>
      <c r="G233" s="11"/>
      <c r="H233" s="11"/>
      <c r="I233" s="2"/>
      <c r="J233" s="2"/>
      <c r="K233" s="2"/>
    </row>
    <row r="234" customFormat="false" ht="15" hidden="false" customHeight="false" outlineLevel="0" collapsed="false">
      <c r="A234" s="13"/>
      <c r="B234" s="11"/>
      <c r="C234" s="11"/>
      <c r="D234" s="11"/>
      <c r="E234" s="19"/>
      <c r="F234" s="11"/>
      <c r="G234" s="11"/>
      <c r="H234" s="11"/>
      <c r="I234" s="2"/>
      <c r="J234" s="2"/>
      <c r="K234" s="2"/>
    </row>
    <row r="235" customFormat="false" ht="15" hidden="false" customHeight="false" outlineLevel="0" collapsed="false">
      <c r="A235" s="13"/>
      <c r="B235" s="11"/>
      <c r="C235" s="11"/>
      <c r="D235" s="11"/>
      <c r="E235" s="19"/>
      <c r="F235" s="11"/>
      <c r="G235" s="11"/>
      <c r="H235" s="11"/>
      <c r="I235" s="2"/>
      <c r="J235" s="2"/>
      <c r="K235" s="2"/>
    </row>
    <row r="236" customFormat="false" ht="15" hidden="false" customHeight="false" outlineLevel="0" collapsed="false">
      <c r="A236" s="13"/>
      <c r="B236" s="11"/>
      <c r="C236" s="11"/>
      <c r="D236" s="11"/>
      <c r="E236" s="19"/>
      <c r="F236" s="11"/>
      <c r="G236" s="11"/>
      <c r="H236" s="11"/>
      <c r="I236" s="2"/>
      <c r="J236" s="2"/>
      <c r="K236" s="2"/>
    </row>
    <row r="237" customFormat="false" ht="15" hidden="false" customHeight="false" outlineLevel="0" collapsed="false">
      <c r="A237" s="13"/>
      <c r="B237" s="11"/>
      <c r="C237" s="11"/>
      <c r="D237" s="11"/>
      <c r="E237" s="19"/>
      <c r="F237" s="11"/>
      <c r="G237" s="11"/>
      <c r="H237" s="11"/>
      <c r="I237" s="2"/>
      <c r="J237" s="2"/>
      <c r="K237" s="2"/>
    </row>
    <row r="238" customFormat="false" ht="15" hidden="false" customHeight="false" outlineLevel="0" collapsed="false">
      <c r="A238" s="13"/>
      <c r="B238" s="11"/>
      <c r="C238" s="11"/>
      <c r="D238" s="11"/>
      <c r="E238" s="19"/>
      <c r="F238" s="11"/>
      <c r="G238" s="11"/>
      <c r="H238" s="11"/>
      <c r="I238" s="2"/>
      <c r="J238" s="2"/>
      <c r="K238" s="2"/>
    </row>
    <row r="239" customFormat="false" ht="15" hidden="false" customHeight="false" outlineLevel="0" collapsed="false">
      <c r="A239" s="13"/>
      <c r="B239" s="11"/>
      <c r="C239" s="11"/>
      <c r="D239" s="11"/>
      <c r="E239" s="19"/>
      <c r="F239" s="11"/>
      <c r="G239" s="11"/>
      <c r="H239" s="11"/>
      <c r="I239" s="2"/>
      <c r="J239" s="2"/>
      <c r="K239" s="2"/>
    </row>
    <row r="240" customFormat="false" ht="15" hidden="false" customHeight="false" outlineLevel="0" collapsed="false">
      <c r="A240" s="13"/>
      <c r="B240" s="11"/>
      <c r="C240" s="11"/>
      <c r="D240" s="11"/>
      <c r="E240" s="19"/>
      <c r="F240" s="11"/>
      <c r="G240" s="11"/>
      <c r="H240" s="11"/>
      <c r="I240" s="2"/>
      <c r="J240" s="2"/>
      <c r="K240" s="2"/>
    </row>
    <row r="241" customFormat="false" ht="15" hidden="false" customHeight="false" outlineLevel="0" collapsed="false">
      <c r="A241" s="13"/>
      <c r="B241" s="11"/>
      <c r="C241" s="11"/>
      <c r="D241" s="11"/>
      <c r="E241" s="19"/>
      <c r="F241" s="11"/>
      <c r="G241" s="11"/>
      <c r="H241" s="11"/>
      <c r="I241" s="2"/>
      <c r="J241" s="2"/>
      <c r="K241" s="2"/>
    </row>
    <row r="242" customFormat="false" ht="15" hidden="false" customHeight="false" outlineLevel="0" collapsed="false">
      <c r="A242" s="13"/>
      <c r="B242" s="11"/>
      <c r="C242" s="11"/>
      <c r="D242" s="11"/>
      <c r="E242" s="19"/>
      <c r="F242" s="11"/>
      <c r="G242" s="11"/>
      <c r="H242" s="11"/>
      <c r="I242" s="2"/>
      <c r="J242" s="2"/>
      <c r="K242" s="2"/>
    </row>
    <row r="243" customFormat="false" ht="15" hidden="false" customHeight="false" outlineLevel="0" collapsed="false">
      <c r="A243" s="13"/>
      <c r="B243" s="11"/>
      <c r="C243" s="11"/>
      <c r="D243" s="11"/>
      <c r="E243" s="19"/>
      <c r="F243" s="11"/>
      <c r="G243" s="11"/>
      <c r="H243" s="11"/>
      <c r="I243" s="2"/>
      <c r="J243" s="2"/>
      <c r="K243" s="2"/>
    </row>
    <row r="244" customFormat="false" ht="15" hidden="false" customHeight="false" outlineLevel="0" collapsed="false">
      <c r="A244" s="13"/>
      <c r="B244" s="11"/>
      <c r="C244" s="11"/>
      <c r="D244" s="11"/>
      <c r="E244" s="19"/>
      <c r="F244" s="11"/>
      <c r="G244" s="11"/>
      <c r="H244" s="11"/>
      <c r="I244" s="2"/>
      <c r="J244" s="2"/>
      <c r="K244" s="2"/>
    </row>
    <row r="245" customFormat="false" ht="15" hidden="false" customHeight="false" outlineLevel="0" collapsed="false">
      <c r="A245" s="13"/>
      <c r="B245" s="11"/>
      <c r="C245" s="11"/>
      <c r="D245" s="11"/>
      <c r="E245" s="19"/>
      <c r="F245" s="11"/>
      <c r="G245" s="11"/>
      <c r="H245" s="11"/>
      <c r="I245" s="2"/>
      <c r="J245" s="2"/>
      <c r="K245" s="2"/>
    </row>
    <row r="246" customFormat="false" ht="15" hidden="false" customHeight="false" outlineLevel="0" collapsed="false">
      <c r="A246" s="13"/>
      <c r="B246" s="11"/>
      <c r="C246" s="11"/>
      <c r="D246" s="11"/>
      <c r="E246" s="19"/>
      <c r="F246" s="11"/>
      <c r="G246" s="11"/>
      <c r="H246" s="11"/>
      <c r="I246" s="2"/>
      <c r="J246" s="2"/>
      <c r="K246" s="2"/>
    </row>
    <row r="247" customFormat="false" ht="15" hidden="false" customHeight="false" outlineLevel="0" collapsed="false">
      <c r="A247" s="13"/>
      <c r="B247" s="11"/>
      <c r="C247" s="11"/>
      <c r="D247" s="11"/>
      <c r="E247" s="19"/>
      <c r="F247" s="11"/>
      <c r="G247" s="11"/>
      <c r="H247" s="11"/>
      <c r="I247" s="2"/>
      <c r="J247" s="2"/>
      <c r="K247" s="2"/>
    </row>
    <row r="248" customFormat="false" ht="15" hidden="false" customHeight="false" outlineLevel="0" collapsed="false">
      <c r="A248" s="13"/>
      <c r="B248" s="11"/>
      <c r="C248" s="11"/>
      <c r="D248" s="11"/>
      <c r="E248" s="19"/>
      <c r="F248" s="11"/>
      <c r="G248" s="11"/>
      <c r="H248" s="11"/>
      <c r="I248" s="2"/>
      <c r="J248" s="2"/>
      <c r="K248" s="2"/>
    </row>
    <row r="249" customFormat="false" ht="15" hidden="false" customHeight="false" outlineLevel="0" collapsed="false">
      <c r="A249" s="13"/>
      <c r="B249" s="11"/>
      <c r="C249" s="11"/>
      <c r="D249" s="11"/>
      <c r="E249" s="19"/>
      <c r="F249" s="11"/>
      <c r="G249" s="11"/>
      <c r="H249" s="11"/>
      <c r="I249" s="2"/>
      <c r="J249" s="2"/>
      <c r="K249" s="2"/>
    </row>
    <row r="250" customFormat="false" ht="15" hidden="false" customHeight="false" outlineLevel="0" collapsed="false">
      <c r="A250" s="13"/>
      <c r="B250" s="11"/>
      <c r="C250" s="11"/>
      <c r="D250" s="11"/>
      <c r="E250" s="19"/>
      <c r="F250" s="11"/>
      <c r="G250" s="11"/>
      <c r="H250" s="11"/>
      <c r="I250" s="2"/>
      <c r="J250" s="2"/>
      <c r="K250" s="2"/>
    </row>
    <row r="251" customFormat="false" ht="15" hidden="false" customHeight="false" outlineLevel="0" collapsed="false">
      <c r="A251" s="13"/>
      <c r="B251" s="11"/>
      <c r="C251" s="11"/>
      <c r="D251" s="11"/>
      <c r="E251" s="19"/>
      <c r="F251" s="11"/>
      <c r="G251" s="11"/>
      <c r="H251" s="11"/>
      <c r="I251" s="2"/>
      <c r="J251" s="2"/>
      <c r="K251" s="2"/>
    </row>
    <row r="252" customFormat="false" ht="15" hidden="false" customHeight="false" outlineLevel="0" collapsed="false">
      <c r="A252" s="13"/>
      <c r="B252" s="11"/>
      <c r="C252" s="11"/>
      <c r="D252" s="11"/>
      <c r="E252" s="19"/>
      <c r="F252" s="11"/>
      <c r="G252" s="11"/>
      <c r="H252" s="11"/>
      <c r="I252" s="2"/>
      <c r="J252" s="2"/>
      <c r="K252" s="2"/>
    </row>
    <row r="253" customFormat="false" ht="15" hidden="false" customHeight="false" outlineLevel="0" collapsed="false">
      <c r="A253" s="13"/>
      <c r="B253" s="11"/>
      <c r="C253" s="11"/>
      <c r="D253" s="11"/>
      <c r="E253" s="19"/>
      <c r="F253" s="11"/>
      <c r="G253" s="11"/>
      <c r="H253" s="11"/>
      <c r="I253" s="2"/>
      <c r="J253" s="2"/>
      <c r="K253" s="2"/>
    </row>
    <row r="254" customFormat="false" ht="15" hidden="false" customHeight="false" outlineLevel="0" collapsed="false">
      <c r="A254" s="13"/>
      <c r="B254" s="11"/>
      <c r="C254" s="11"/>
      <c r="D254" s="11"/>
      <c r="E254" s="19"/>
      <c r="F254" s="11"/>
      <c r="G254" s="11"/>
      <c r="H254" s="11"/>
      <c r="I254" s="2"/>
      <c r="J254" s="2"/>
      <c r="K254" s="2"/>
    </row>
    <row r="255" customFormat="false" ht="15" hidden="false" customHeight="false" outlineLevel="0" collapsed="false">
      <c r="A255" s="13"/>
      <c r="B255" s="11"/>
      <c r="C255" s="11"/>
      <c r="D255" s="11"/>
      <c r="E255" s="19"/>
      <c r="F255" s="11"/>
      <c r="G255" s="11"/>
      <c r="H255" s="11"/>
      <c r="I255" s="2"/>
      <c r="J255" s="2"/>
      <c r="K255" s="2"/>
    </row>
    <row r="256" customFormat="false" ht="15" hidden="false" customHeight="false" outlineLevel="0" collapsed="false">
      <c r="A256" s="13"/>
      <c r="B256" s="11"/>
      <c r="C256" s="11"/>
      <c r="D256" s="11"/>
      <c r="E256" s="19"/>
      <c r="F256" s="11"/>
      <c r="G256" s="11"/>
      <c r="H256" s="11"/>
      <c r="I256" s="2"/>
      <c r="J256" s="2"/>
      <c r="K256" s="2"/>
    </row>
    <row r="257" customFormat="false" ht="15" hidden="false" customHeight="false" outlineLevel="0" collapsed="false">
      <c r="A257" s="13"/>
      <c r="B257" s="11"/>
      <c r="C257" s="11"/>
      <c r="D257" s="11"/>
      <c r="E257" s="19"/>
      <c r="F257" s="11"/>
      <c r="G257" s="11"/>
      <c r="H257" s="11"/>
      <c r="I257" s="2"/>
      <c r="J257" s="2"/>
      <c r="K257" s="2"/>
    </row>
    <row r="258" customFormat="false" ht="15" hidden="false" customHeight="false" outlineLevel="0" collapsed="false">
      <c r="A258" s="13"/>
      <c r="B258" s="11"/>
      <c r="C258" s="11"/>
      <c r="D258" s="11"/>
      <c r="E258" s="19"/>
      <c r="F258" s="11"/>
      <c r="G258" s="11"/>
      <c r="H258" s="11"/>
      <c r="I258" s="2"/>
      <c r="J258" s="2"/>
      <c r="K258" s="2"/>
    </row>
    <row r="259" customFormat="false" ht="15" hidden="false" customHeight="false" outlineLevel="0" collapsed="false">
      <c r="A259" s="13"/>
      <c r="B259" s="11"/>
      <c r="C259" s="11"/>
      <c r="D259" s="11"/>
      <c r="E259" s="19"/>
      <c r="F259" s="11"/>
      <c r="G259" s="11"/>
      <c r="H259" s="11"/>
      <c r="I259" s="2"/>
      <c r="J259" s="2"/>
      <c r="K259" s="2"/>
    </row>
    <row r="260" customFormat="false" ht="15" hidden="false" customHeight="false" outlineLevel="0" collapsed="false">
      <c r="A260" s="13"/>
      <c r="B260" s="11"/>
      <c r="C260" s="11"/>
      <c r="D260" s="11"/>
      <c r="E260" s="19"/>
      <c r="F260" s="11"/>
      <c r="G260" s="11"/>
      <c r="H260" s="11"/>
      <c r="I260" s="2"/>
      <c r="J260" s="2"/>
      <c r="K260" s="2"/>
    </row>
    <row r="261" customFormat="false" ht="15" hidden="false" customHeight="false" outlineLevel="0" collapsed="false">
      <c r="A261" s="13"/>
      <c r="B261" s="11"/>
      <c r="C261" s="11"/>
      <c r="D261" s="11"/>
      <c r="E261" s="19"/>
      <c r="F261" s="11"/>
      <c r="G261" s="11"/>
      <c r="H261" s="11"/>
      <c r="I261" s="2"/>
      <c r="J261" s="2"/>
      <c r="K261" s="2"/>
    </row>
    <row r="262" customFormat="false" ht="15" hidden="false" customHeight="false" outlineLevel="0" collapsed="false">
      <c r="A262" s="13"/>
      <c r="B262" s="11"/>
      <c r="C262" s="11"/>
      <c r="D262" s="11"/>
      <c r="E262" s="19"/>
      <c r="F262" s="11"/>
      <c r="G262" s="11"/>
      <c r="H262" s="11"/>
      <c r="I262" s="2"/>
      <c r="J262" s="2"/>
      <c r="K262" s="2"/>
    </row>
    <row r="263" customFormat="false" ht="15" hidden="false" customHeight="false" outlineLevel="0" collapsed="false">
      <c r="A263" s="13"/>
      <c r="B263" s="11"/>
      <c r="C263" s="11"/>
      <c r="D263" s="11"/>
      <c r="E263" s="19"/>
      <c r="F263" s="11"/>
      <c r="G263" s="11"/>
      <c r="H263" s="11"/>
      <c r="I263" s="2"/>
      <c r="J263" s="2"/>
      <c r="K263" s="2"/>
    </row>
    <row r="264" customFormat="false" ht="15" hidden="false" customHeight="false" outlineLevel="0" collapsed="false">
      <c r="A264" s="13"/>
      <c r="B264" s="11"/>
      <c r="C264" s="11"/>
      <c r="D264" s="11"/>
      <c r="E264" s="19"/>
      <c r="F264" s="11"/>
      <c r="G264" s="11"/>
      <c r="H264" s="11"/>
      <c r="I264" s="2"/>
      <c r="J264" s="2"/>
      <c r="K264" s="2"/>
    </row>
    <row r="265" customFormat="false" ht="15" hidden="false" customHeight="false" outlineLevel="0" collapsed="false">
      <c r="A265" s="13"/>
      <c r="B265" s="11"/>
      <c r="C265" s="11"/>
      <c r="D265" s="11"/>
      <c r="E265" s="19"/>
      <c r="F265" s="11"/>
      <c r="G265" s="11"/>
      <c r="H265" s="11"/>
      <c r="I265" s="2"/>
      <c r="J265" s="2"/>
      <c r="K265" s="2"/>
    </row>
    <row r="266" customFormat="false" ht="15" hidden="false" customHeight="false" outlineLevel="0" collapsed="false">
      <c r="A266" s="13"/>
      <c r="B266" s="11"/>
      <c r="C266" s="11"/>
      <c r="D266" s="11"/>
      <c r="E266" s="19"/>
      <c r="F266" s="11"/>
      <c r="G266" s="11"/>
      <c r="H266" s="11"/>
      <c r="I266" s="2"/>
      <c r="J266" s="2"/>
      <c r="K266" s="2"/>
    </row>
    <row r="267" customFormat="false" ht="15" hidden="false" customHeight="false" outlineLevel="0" collapsed="false">
      <c r="A267" s="13"/>
      <c r="B267" s="11"/>
      <c r="C267" s="11"/>
      <c r="D267" s="11"/>
      <c r="E267" s="19"/>
      <c r="F267" s="11"/>
      <c r="G267" s="11"/>
      <c r="H267" s="11"/>
      <c r="I267" s="2"/>
      <c r="J267" s="2"/>
      <c r="K267" s="2"/>
    </row>
    <row r="268" customFormat="false" ht="15" hidden="false" customHeight="false" outlineLevel="0" collapsed="false">
      <c r="A268" s="13"/>
      <c r="B268" s="11"/>
      <c r="C268" s="11"/>
      <c r="D268" s="11"/>
      <c r="E268" s="19"/>
      <c r="F268" s="11"/>
      <c r="G268" s="11"/>
      <c r="H268" s="11"/>
      <c r="I268" s="2"/>
      <c r="J268" s="2"/>
      <c r="K268" s="2"/>
    </row>
    <row r="269" customFormat="false" ht="15" hidden="false" customHeight="false" outlineLevel="0" collapsed="false">
      <c r="A269" s="13"/>
      <c r="B269" s="11"/>
      <c r="C269" s="11"/>
      <c r="D269" s="11"/>
      <c r="E269" s="19"/>
      <c r="F269" s="11"/>
      <c r="G269" s="11"/>
      <c r="H269" s="11"/>
      <c r="I269" s="2"/>
      <c r="J269" s="2"/>
      <c r="K269" s="2"/>
    </row>
    <row r="270" customFormat="false" ht="15" hidden="false" customHeight="false" outlineLevel="0" collapsed="false">
      <c r="A270" s="13"/>
      <c r="B270" s="11"/>
      <c r="C270" s="11"/>
      <c r="D270" s="11"/>
      <c r="E270" s="19"/>
      <c r="F270" s="11"/>
      <c r="G270" s="11"/>
      <c r="H270" s="11"/>
      <c r="I270" s="2"/>
      <c r="J270" s="2"/>
      <c r="K270" s="2"/>
    </row>
    <row r="271" customFormat="false" ht="15" hidden="false" customHeight="false" outlineLevel="0" collapsed="false">
      <c r="A271" s="13"/>
      <c r="B271" s="11"/>
      <c r="C271" s="11"/>
      <c r="D271" s="11"/>
      <c r="E271" s="19"/>
      <c r="F271" s="11"/>
      <c r="G271" s="11"/>
      <c r="H271" s="11"/>
      <c r="I271" s="2"/>
      <c r="J271" s="2"/>
      <c r="K271" s="2"/>
    </row>
    <row r="272" customFormat="false" ht="15" hidden="false" customHeight="false" outlineLevel="0" collapsed="false">
      <c r="A272" s="13"/>
      <c r="B272" s="11"/>
      <c r="C272" s="11"/>
      <c r="D272" s="11"/>
      <c r="E272" s="19"/>
      <c r="F272" s="11"/>
      <c r="G272" s="11"/>
      <c r="H272" s="11"/>
      <c r="I272" s="2"/>
      <c r="J272" s="2"/>
      <c r="K272" s="2"/>
    </row>
    <row r="273" customFormat="false" ht="15" hidden="false" customHeight="false" outlineLevel="0" collapsed="false">
      <c r="A273" s="13"/>
      <c r="B273" s="11"/>
      <c r="C273" s="11"/>
      <c r="D273" s="11"/>
      <c r="E273" s="19"/>
      <c r="F273" s="11"/>
      <c r="G273" s="11"/>
      <c r="H273" s="11"/>
      <c r="I273" s="2"/>
      <c r="J273" s="2"/>
      <c r="K273" s="2"/>
    </row>
    <row r="274" customFormat="false" ht="15" hidden="false" customHeight="false" outlineLevel="0" collapsed="false">
      <c r="A274" s="13"/>
      <c r="B274" s="11"/>
      <c r="C274" s="11"/>
      <c r="D274" s="11"/>
      <c r="E274" s="19"/>
      <c r="F274" s="11"/>
      <c r="G274" s="11"/>
      <c r="H274" s="11"/>
      <c r="I274" s="2"/>
      <c r="J274" s="2"/>
      <c r="K274" s="2"/>
    </row>
    <row r="275" customFormat="false" ht="15" hidden="false" customHeight="false" outlineLevel="0" collapsed="false">
      <c r="A275" s="13"/>
      <c r="B275" s="11"/>
      <c r="C275" s="11"/>
      <c r="D275" s="11"/>
      <c r="E275" s="19"/>
      <c r="F275" s="11"/>
      <c r="G275" s="11"/>
      <c r="H275" s="11"/>
      <c r="I275" s="2"/>
      <c r="J275" s="2"/>
      <c r="K275" s="2"/>
    </row>
    <row r="276" customFormat="false" ht="15" hidden="false" customHeight="false" outlineLevel="0" collapsed="false">
      <c r="A276" s="13"/>
      <c r="B276" s="11"/>
      <c r="C276" s="11"/>
      <c r="D276" s="11"/>
      <c r="E276" s="19"/>
      <c r="F276" s="11"/>
      <c r="G276" s="11"/>
      <c r="H276" s="11"/>
      <c r="I276" s="2"/>
      <c r="J276" s="2"/>
      <c r="K276" s="2"/>
    </row>
    <row r="277" customFormat="false" ht="15" hidden="false" customHeight="false" outlineLevel="0" collapsed="false">
      <c r="A277" s="13"/>
      <c r="B277" s="11"/>
      <c r="C277" s="11"/>
      <c r="D277" s="11"/>
      <c r="E277" s="19"/>
      <c r="F277" s="11"/>
      <c r="G277" s="11"/>
      <c r="H277" s="11"/>
      <c r="I277" s="2"/>
      <c r="J277" s="2"/>
      <c r="K277" s="2"/>
    </row>
    <row r="278" customFormat="false" ht="15" hidden="false" customHeight="false" outlineLevel="0" collapsed="false">
      <c r="A278" s="13"/>
      <c r="B278" s="11"/>
      <c r="C278" s="11"/>
      <c r="D278" s="11"/>
      <c r="E278" s="19"/>
      <c r="F278" s="11"/>
      <c r="G278" s="11"/>
      <c r="H278" s="11"/>
      <c r="I278" s="2"/>
      <c r="J278" s="2"/>
      <c r="K278" s="2"/>
    </row>
    <row r="279" customFormat="false" ht="15" hidden="false" customHeight="false" outlineLevel="0" collapsed="false">
      <c r="A279" s="13"/>
      <c r="B279" s="11"/>
      <c r="C279" s="11"/>
      <c r="D279" s="11"/>
      <c r="E279" s="19"/>
      <c r="F279" s="11"/>
      <c r="G279" s="11"/>
      <c r="H279" s="11"/>
      <c r="I279" s="2"/>
      <c r="J279" s="2"/>
      <c r="K279" s="2"/>
    </row>
    <row r="280" customFormat="false" ht="15" hidden="false" customHeight="false" outlineLevel="0" collapsed="false">
      <c r="A280" s="13"/>
      <c r="B280" s="11"/>
      <c r="C280" s="11"/>
      <c r="D280" s="11"/>
      <c r="E280" s="19"/>
      <c r="F280" s="11"/>
      <c r="G280" s="11"/>
      <c r="H280" s="11"/>
      <c r="I280" s="2"/>
      <c r="J280" s="2"/>
      <c r="K280" s="2"/>
    </row>
    <row r="281" customFormat="false" ht="15" hidden="false" customHeight="false" outlineLevel="0" collapsed="false">
      <c r="A281" s="13"/>
      <c r="B281" s="11"/>
      <c r="C281" s="11"/>
      <c r="D281" s="11"/>
      <c r="E281" s="19"/>
      <c r="F281" s="11"/>
      <c r="G281" s="11"/>
      <c r="H281" s="11"/>
      <c r="I281" s="2"/>
      <c r="J281" s="2"/>
      <c r="K281" s="2"/>
    </row>
    <row r="282" customFormat="false" ht="15" hidden="false" customHeight="false" outlineLevel="0" collapsed="false">
      <c r="A282" s="13"/>
      <c r="B282" s="11"/>
      <c r="C282" s="11"/>
      <c r="D282" s="11"/>
      <c r="E282" s="19"/>
      <c r="F282" s="11"/>
      <c r="G282" s="11"/>
      <c r="H282" s="11"/>
      <c r="I282" s="2"/>
      <c r="J282" s="2"/>
      <c r="K282" s="2"/>
    </row>
    <row r="283" customFormat="false" ht="15" hidden="false" customHeight="false" outlineLevel="0" collapsed="false">
      <c r="A283" s="13"/>
      <c r="B283" s="11"/>
      <c r="C283" s="11"/>
      <c r="D283" s="11"/>
      <c r="E283" s="19"/>
      <c r="F283" s="11"/>
      <c r="G283" s="11"/>
      <c r="H283" s="11"/>
      <c r="I283" s="2"/>
      <c r="J283" s="2"/>
      <c r="K283" s="2"/>
    </row>
    <row r="284" customFormat="false" ht="15" hidden="false" customHeight="false" outlineLevel="0" collapsed="false">
      <c r="A284" s="13"/>
      <c r="B284" s="11"/>
      <c r="C284" s="11"/>
      <c r="D284" s="11"/>
      <c r="E284" s="19"/>
      <c r="F284" s="11"/>
      <c r="G284" s="11"/>
      <c r="H284" s="11"/>
      <c r="I284" s="2"/>
      <c r="J284" s="2"/>
      <c r="K284" s="2"/>
    </row>
    <row r="285" customFormat="false" ht="15" hidden="false" customHeight="false" outlineLevel="0" collapsed="false">
      <c r="A285" s="13"/>
      <c r="B285" s="11"/>
      <c r="C285" s="11"/>
      <c r="D285" s="11"/>
      <c r="E285" s="19"/>
      <c r="F285" s="11"/>
      <c r="G285" s="11"/>
      <c r="H285" s="11"/>
      <c r="I285" s="2"/>
      <c r="J285" s="2"/>
      <c r="K285" s="2"/>
    </row>
    <row r="286" customFormat="false" ht="15" hidden="false" customHeight="false" outlineLevel="0" collapsed="false">
      <c r="A286" s="13"/>
      <c r="B286" s="11"/>
      <c r="C286" s="11"/>
      <c r="D286" s="11"/>
      <c r="E286" s="19"/>
      <c r="F286" s="11"/>
      <c r="G286" s="11"/>
      <c r="H286" s="11"/>
      <c r="I286" s="2"/>
      <c r="J286" s="2"/>
      <c r="K286" s="2"/>
    </row>
    <row r="287" customFormat="false" ht="15" hidden="false" customHeight="false" outlineLevel="0" collapsed="false">
      <c r="A287" s="13"/>
      <c r="B287" s="11"/>
      <c r="C287" s="11"/>
      <c r="D287" s="11"/>
      <c r="E287" s="19"/>
      <c r="F287" s="11"/>
      <c r="G287" s="11"/>
      <c r="H287" s="11"/>
      <c r="I287" s="2"/>
      <c r="J287" s="2"/>
      <c r="K287" s="2"/>
    </row>
    <row r="288" customFormat="false" ht="15" hidden="false" customHeight="false" outlineLevel="0" collapsed="false">
      <c r="A288" s="13"/>
      <c r="B288" s="11"/>
      <c r="C288" s="11"/>
      <c r="D288" s="11"/>
      <c r="E288" s="19"/>
      <c r="F288" s="11"/>
      <c r="G288" s="11"/>
      <c r="H288" s="11"/>
      <c r="I288" s="2"/>
      <c r="J288" s="2"/>
      <c r="K288" s="2"/>
    </row>
    <row r="289" customFormat="false" ht="15" hidden="false" customHeight="false" outlineLevel="0" collapsed="false">
      <c r="A289" s="13"/>
      <c r="B289" s="11"/>
      <c r="C289" s="11"/>
      <c r="D289" s="11"/>
      <c r="E289" s="19"/>
      <c r="F289" s="11"/>
      <c r="G289" s="11"/>
      <c r="H289" s="11"/>
      <c r="I289" s="2"/>
      <c r="J289" s="2"/>
      <c r="K289" s="2"/>
    </row>
    <row r="290" customFormat="false" ht="15" hidden="false" customHeight="false" outlineLevel="0" collapsed="false">
      <c r="A290" s="13"/>
      <c r="B290" s="11"/>
      <c r="C290" s="11"/>
      <c r="D290" s="11"/>
      <c r="E290" s="19"/>
      <c r="F290" s="11"/>
      <c r="G290" s="11"/>
      <c r="H290" s="11"/>
      <c r="I290" s="2"/>
      <c r="J290" s="2"/>
      <c r="K290" s="2"/>
    </row>
    <row r="291" customFormat="false" ht="15" hidden="false" customHeight="false" outlineLevel="0" collapsed="false">
      <c r="A291" s="13"/>
      <c r="B291" s="11"/>
      <c r="C291" s="11"/>
      <c r="D291" s="11"/>
      <c r="E291" s="19"/>
      <c r="F291" s="11"/>
      <c r="G291" s="11"/>
      <c r="H291" s="11"/>
      <c r="I291" s="2"/>
      <c r="J291" s="2"/>
      <c r="K291" s="2"/>
    </row>
    <row r="292" customFormat="false" ht="15" hidden="false" customHeight="false" outlineLevel="0" collapsed="false">
      <c r="A292" s="13"/>
      <c r="B292" s="11"/>
      <c r="C292" s="11"/>
      <c r="D292" s="11"/>
      <c r="E292" s="19"/>
      <c r="F292" s="11"/>
      <c r="G292" s="11"/>
      <c r="H292" s="11"/>
      <c r="I292" s="2"/>
      <c r="J292" s="2"/>
      <c r="K292" s="2"/>
    </row>
    <row r="293" customFormat="false" ht="15" hidden="false" customHeight="false" outlineLevel="0" collapsed="false">
      <c r="A293" s="13"/>
      <c r="B293" s="11"/>
      <c r="C293" s="11"/>
      <c r="D293" s="11"/>
      <c r="E293" s="19"/>
      <c r="F293" s="11"/>
      <c r="G293" s="11"/>
      <c r="H293" s="11"/>
      <c r="I293" s="2"/>
      <c r="J293" s="2"/>
      <c r="K293" s="2"/>
    </row>
    <row r="294" customFormat="false" ht="15" hidden="false" customHeight="false" outlineLevel="0" collapsed="false">
      <c r="A294" s="13"/>
      <c r="B294" s="11"/>
      <c r="C294" s="11"/>
      <c r="D294" s="11"/>
      <c r="E294" s="19"/>
      <c r="F294" s="11"/>
      <c r="G294" s="11"/>
      <c r="H294" s="11"/>
      <c r="I294" s="2"/>
      <c r="J294" s="2"/>
      <c r="K294" s="2"/>
    </row>
    <row r="295" customFormat="false" ht="15" hidden="false" customHeight="false" outlineLevel="0" collapsed="false">
      <c r="A295" s="13"/>
      <c r="B295" s="11"/>
      <c r="C295" s="11"/>
      <c r="D295" s="11"/>
      <c r="E295" s="19"/>
      <c r="F295" s="11"/>
      <c r="G295" s="11"/>
      <c r="H295" s="11"/>
      <c r="I295" s="2"/>
      <c r="J295" s="2"/>
      <c r="K295" s="2"/>
    </row>
    <row r="296" customFormat="false" ht="15" hidden="false" customHeight="false" outlineLevel="0" collapsed="false">
      <c r="A296" s="13"/>
      <c r="B296" s="11"/>
      <c r="C296" s="11"/>
      <c r="D296" s="11"/>
      <c r="E296" s="19"/>
      <c r="F296" s="11"/>
      <c r="G296" s="11"/>
      <c r="H296" s="11"/>
      <c r="I296" s="2"/>
      <c r="J296" s="2"/>
      <c r="K296" s="2"/>
    </row>
    <row r="297" customFormat="false" ht="15" hidden="false" customHeight="false" outlineLevel="0" collapsed="false">
      <c r="A297" s="13"/>
      <c r="B297" s="11"/>
      <c r="C297" s="11"/>
      <c r="D297" s="11"/>
      <c r="E297" s="19"/>
      <c r="F297" s="11"/>
      <c r="G297" s="11"/>
      <c r="H297" s="11"/>
      <c r="I297" s="2"/>
      <c r="J297" s="2"/>
      <c r="K297" s="2"/>
    </row>
    <row r="298" customFormat="false" ht="15" hidden="false" customHeight="false" outlineLevel="0" collapsed="false">
      <c r="A298" s="13"/>
      <c r="B298" s="11"/>
      <c r="C298" s="11"/>
      <c r="D298" s="11"/>
      <c r="E298" s="19"/>
      <c r="F298" s="11"/>
      <c r="G298" s="11"/>
      <c r="H298" s="11"/>
      <c r="I298" s="2"/>
      <c r="J298" s="2"/>
      <c r="K298" s="2"/>
    </row>
    <row r="299" customFormat="false" ht="15" hidden="false" customHeight="false" outlineLevel="0" collapsed="false">
      <c r="A299" s="13"/>
      <c r="B299" s="11"/>
      <c r="C299" s="11"/>
      <c r="D299" s="11"/>
      <c r="E299" s="19"/>
      <c r="F299" s="11"/>
      <c r="G299" s="11"/>
      <c r="H299" s="11"/>
      <c r="I299" s="2"/>
      <c r="J299" s="2"/>
      <c r="K299" s="2"/>
    </row>
    <row r="300" customFormat="false" ht="15" hidden="false" customHeight="false" outlineLevel="0" collapsed="false">
      <c r="A300" s="13"/>
      <c r="B300" s="11"/>
      <c r="C300" s="11"/>
      <c r="D300" s="11"/>
      <c r="E300" s="19"/>
      <c r="F300" s="11"/>
      <c r="G300" s="11"/>
      <c r="H300" s="11"/>
      <c r="I300" s="2"/>
      <c r="J300" s="2"/>
      <c r="K300" s="2"/>
    </row>
    <row r="301" customFormat="false" ht="15" hidden="false" customHeight="false" outlineLevel="0" collapsed="false">
      <c r="A301" s="13"/>
      <c r="B301" s="11"/>
      <c r="C301" s="11"/>
      <c r="D301" s="11"/>
      <c r="E301" s="19"/>
      <c r="F301" s="11"/>
      <c r="G301" s="11"/>
      <c r="H301" s="11"/>
      <c r="I301" s="2"/>
      <c r="J301" s="2"/>
      <c r="K301" s="2"/>
    </row>
    <row r="302" customFormat="false" ht="15" hidden="false" customHeight="false" outlineLevel="0" collapsed="false">
      <c r="A302" s="13"/>
      <c r="B302" s="11"/>
      <c r="C302" s="11"/>
      <c r="D302" s="11"/>
      <c r="E302" s="19"/>
      <c r="F302" s="11"/>
      <c r="G302" s="11"/>
      <c r="H302" s="11"/>
      <c r="I302" s="2"/>
      <c r="J302" s="2"/>
      <c r="K302" s="2"/>
    </row>
    <row r="303" customFormat="false" ht="15" hidden="false" customHeight="false" outlineLevel="0" collapsed="false">
      <c r="A303" s="13"/>
      <c r="B303" s="11"/>
      <c r="C303" s="11"/>
      <c r="D303" s="11"/>
      <c r="E303" s="19"/>
      <c r="F303" s="11"/>
      <c r="G303" s="11"/>
      <c r="H303" s="11"/>
      <c r="I303" s="2"/>
      <c r="J303" s="2"/>
      <c r="K303" s="2"/>
    </row>
    <row r="304" customFormat="false" ht="15" hidden="false" customHeight="false" outlineLevel="0" collapsed="false">
      <c r="A304" s="13"/>
      <c r="B304" s="11"/>
      <c r="C304" s="11"/>
      <c r="D304" s="11"/>
      <c r="E304" s="19"/>
      <c r="F304" s="11"/>
      <c r="G304" s="11"/>
      <c r="H304" s="11"/>
      <c r="I304" s="2"/>
      <c r="J304" s="2"/>
      <c r="K304" s="2"/>
    </row>
    <row r="305" customFormat="false" ht="15" hidden="false" customHeight="false" outlineLevel="0" collapsed="false">
      <c r="A305" s="13"/>
      <c r="B305" s="11"/>
      <c r="C305" s="11"/>
      <c r="D305" s="11"/>
      <c r="E305" s="19"/>
      <c r="F305" s="11"/>
      <c r="G305" s="11"/>
      <c r="H305" s="11"/>
      <c r="I305" s="2"/>
      <c r="J305" s="2"/>
      <c r="K305" s="2"/>
    </row>
    <row r="306" customFormat="false" ht="15" hidden="false" customHeight="false" outlineLevel="0" collapsed="false">
      <c r="A306" s="13"/>
      <c r="B306" s="11"/>
      <c r="C306" s="11"/>
      <c r="D306" s="11"/>
      <c r="E306" s="19"/>
      <c r="F306" s="11"/>
      <c r="G306" s="11"/>
      <c r="H306" s="11"/>
      <c r="I306" s="2"/>
      <c r="J306" s="2"/>
      <c r="K306" s="2"/>
    </row>
    <row r="307" customFormat="false" ht="15" hidden="false" customHeight="false" outlineLevel="0" collapsed="false">
      <c r="A307" s="13"/>
      <c r="B307" s="11"/>
      <c r="C307" s="11"/>
      <c r="D307" s="11"/>
      <c r="E307" s="19"/>
      <c r="F307" s="11"/>
      <c r="G307" s="11"/>
      <c r="H307" s="11"/>
      <c r="I307" s="2"/>
      <c r="J307" s="2"/>
      <c r="K307" s="2"/>
    </row>
    <row r="308" customFormat="false" ht="15" hidden="false" customHeight="false" outlineLevel="0" collapsed="false">
      <c r="A308" s="13"/>
      <c r="B308" s="11"/>
      <c r="C308" s="11"/>
      <c r="D308" s="11"/>
      <c r="E308" s="19"/>
      <c r="F308" s="11"/>
      <c r="G308" s="11"/>
      <c r="H308" s="11"/>
      <c r="I308" s="2"/>
      <c r="J308" s="2"/>
      <c r="K308" s="2"/>
    </row>
    <row r="309" customFormat="false" ht="15" hidden="false" customHeight="false" outlineLevel="0" collapsed="false">
      <c r="A309" s="13"/>
      <c r="B309" s="11"/>
      <c r="C309" s="11"/>
      <c r="D309" s="11"/>
      <c r="E309" s="19"/>
      <c r="F309" s="11"/>
      <c r="G309" s="11"/>
      <c r="H309" s="11"/>
      <c r="I309" s="2"/>
      <c r="J309" s="2"/>
      <c r="K309" s="2"/>
    </row>
    <row r="310" customFormat="false" ht="15" hidden="false" customHeight="false" outlineLevel="0" collapsed="false">
      <c r="A310" s="13"/>
      <c r="B310" s="11"/>
      <c r="C310" s="11"/>
      <c r="D310" s="11"/>
      <c r="E310" s="19"/>
      <c r="F310" s="11"/>
      <c r="G310" s="11"/>
      <c r="H310" s="11"/>
      <c r="I310" s="2"/>
      <c r="J310" s="2"/>
      <c r="K310" s="2"/>
    </row>
    <row r="311" customFormat="false" ht="15" hidden="false" customHeight="false" outlineLevel="0" collapsed="false">
      <c r="A311" s="13"/>
      <c r="B311" s="11"/>
      <c r="C311" s="11"/>
      <c r="D311" s="11"/>
      <c r="E311" s="19"/>
      <c r="F311" s="11"/>
      <c r="G311" s="11"/>
      <c r="H311" s="11"/>
      <c r="I311" s="2"/>
      <c r="J311" s="2"/>
      <c r="K311" s="2"/>
    </row>
    <row r="312" customFormat="false" ht="15" hidden="false" customHeight="false" outlineLevel="0" collapsed="false">
      <c r="A312" s="13"/>
      <c r="B312" s="11"/>
      <c r="C312" s="11"/>
      <c r="D312" s="11"/>
      <c r="E312" s="19"/>
      <c r="F312" s="11"/>
      <c r="G312" s="11"/>
      <c r="H312" s="11"/>
      <c r="I312" s="2"/>
      <c r="J312" s="2"/>
      <c r="K312" s="2"/>
    </row>
    <row r="313" customFormat="false" ht="15" hidden="false" customHeight="false" outlineLevel="0" collapsed="false">
      <c r="A313" s="13"/>
      <c r="B313" s="11"/>
      <c r="C313" s="11"/>
      <c r="D313" s="11"/>
      <c r="E313" s="19"/>
      <c r="F313" s="11"/>
      <c r="G313" s="11"/>
      <c r="H313" s="11"/>
      <c r="I313" s="2"/>
      <c r="J313" s="2"/>
      <c r="K313" s="2"/>
    </row>
    <row r="314" customFormat="false" ht="15" hidden="false" customHeight="false" outlineLevel="0" collapsed="false">
      <c r="A314" s="13"/>
      <c r="B314" s="11"/>
      <c r="C314" s="11"/>
      <c r="D314" s="11"/>
      <c r="E314" s="19"/>
      <c r="F314" s="11"/>
      <c r="G314" s="11"/>
      <c r="H314" s="11"/>
      <c r="I314" s="2"/>
      <c r="J314" s="2"/>
      <c r="K314" s="2"/>
    </row>
    <row r="315" customFormat="false" ht="15" hidden="false" customHeight="false" outlineLevel="0" collapsed="false">
      <c r="A315" s="13"/>
      <c r="B315" s="11"/>
      <c r="C315" s="11"/>
      <c r="D315" s="11"/>
      <c r="E315" s="19"/>
      <c r="F315" s="11"/>
      <c r="G315" s="11"/>
      <c r="H315" s="11"/>
      <c r="I315" s="2"/>
      <c r="J315" s="2"/>
      <c r="K315" s="2"/>
    </row>
    <row r="316" customFormat="false" ht="15" hidden="false" customHeight="false" outlineLevel="0" collapsed="false">
      <c r="A316" s="13"/>
      <c r="B316" s="11"/>
      <c r="C316" s="11"/>
      <c r="D316" s="11"/>
      <c r="E316" s="19"/>
      <c r="F316" s="11"/>
      <c r="G316" s="11"/>
      <c r="H316" s="11"/>
      <c r="I316" s="2"/>
      <c r="J316" s="2"/>
      <c r="K316" s="2"/>
    </row>
    <row r="317" customFormat="false" ht="15" hidden="false" customHeight="false" outlineLevel="0" collapsed="false">
      <c r="A317" s="13"/>
      <c r="B317" s="11"/>
      <c r="C317" s="11"/>
      <c r="D317" s="11"/>
      <c r="E317" s="19"/>
      <c r="F317" s="11"/>
      <c r="G317" s="11"/>
      <c r="H317" s="11"/>
      <c r="I317" s="2"/>
      <c r="J317" s="2"/>
      <c r="K317" s="2"/>
    </row>
    <row r="318" customFormat="false" ht="15" hidden="false" customHeight="false" outlineLevel="0" collapsed="false">
      <c r="A318" s="13"/>
      <c r="B318" s="11"/>
      <c r="C318" s="11"/>
      <c r="D318" s="11"/>
      <c r="E318" s="19"/>
      <c r="F318" s="11"/>
      <c r="G318" s="11"/>
      <c r="H318" s="11"/>
      <c r="I318" s="2"/>
      <c r="J318" s="2"/>
      <c r="K318" s="2"/>
    </row>
    <row r="319" customFormat="false" ht="15" hidden="false" customHeight="false" outlineLevel="0" collapsed="false">
      <c r="A319" s="13"/>
      <c r="B319" s="11"/>
      <c r="C319" s="11"/>
      <c r="D319" s="11"/>
      <c r="E319" s="19"/>
      <c r="F319" s="11"/>
      <c r="G319" s="11"/>
      <c r="H319" s="11"/>
      <c r="I319" s="2"/>
      <c r="J319" s="2"/>
      <c r="K319" s="2"/>
    </row>
    <row r="320" customFormat="false" ht="15" hidden="false" customHeight="false" outlineLevel="0" collapsed="false">
      <c r="A320" s="13"/>
      <c r="B320" s="11"/>
      <c r="C320" s="11"/>
      <c r="D320" s="11"/>
      <c r="E320" s="19"/>
      <c r="F320" s="11"/>
      <c r="G320" s="11"/>
      <c r="H320" s="11"/>
      <c r="I320" s="2"/>
      <c r="J320" s="2"/>
      <c r="K320" s="2"/>
    </row>
    <row r="321" customFormat="false" ht="15" hidden="false" customHeight="false" outlineLevel="0" collapsed="false">
      <c r="A321" s="13"/>
      <c r="B321" s="11"/>
      <c r="C321" s="11"/>
      <c r="D321" s="11"/>
      <c r="E321" s="19"/>
      <c r="F321" s="11"/>
      <c r="G321" s="11"/>
      <c r="H321" s="11"/>
      <c r="I321" s="2"/>
      <c r="J321" s="2"/>
      <c r="K321" s="2"/>
    </row>
    <row r="322" customFormat="false" ht="15" hidden="false" customHeight="false" outlineLevel="0" collapsed="false">
      <c r="A322" s="13"/>
      <c r="B322" s="11"/>
      <c r="C322" s="11"/>
      <c r="D322" s="11"/>
      <c r="E322" s="19"/>
      <c r="F322" s="11"/>
      <c r="G322" s="11"/>
      <c r="H322" s="11"/>
      <c r="I322" s="2"/>
      <c r="J322" s="2"/>
      <c r="K322" s="2"/>
    </row>
    <row r="323" customFormat="false" ht="15" hidden="false" customHeight="false" outlineLevel="0" collapsed="false">
      <c r="A323" s="13"/>
      <c r="B323" s="11"/>
      <c r="C323" s="11"/>
      <c r="D323" s="11"/>
      <c r="E323" s="19"/>
      <c r="F323" s="11"/>
      <c r="G323" s="11"/>
      <c r="H323" s="11"/>
      <c r="I323" s="2"/>
      <c r="J323" s="2"/>
      <c r="K323" s="2"/>
    </row>
    <row r="324" customFormat="false" ht="15" hidden="false" customHeight="false" outlineLevel="0" collapsed="false">
      <c r="A324" s="13"/>
      <c r="B324" s="11"/>
      <c r="C324" s="11"/>
      <c r="D324" s="11"/>
      <c r="E324" s="19"/>
      <c r="F324" s="11"/>
      <c r="G324" s="11"/>
      <c r="H324" s="11"/>
      <c r="I324" s="2"/>
      <c r="J324" s="2"/>
      <c r="K324" s="2"/>
    </row>
    <row r="325" customFormat="false" ht="15" hidden="false" customHeight="false" outlineLevel="0" collapsed="false">
      <c r="A325" s="13"/>
      <c r="B325" s="11"/>
      <c r="C325" s="11"/>
      <c r="D325" s="11"/>
      <c r="E325" s="19"/>
      <c r="F325" s="11"/>
      <c r="G325" s="11"/>
      <c r="H325" s="11"/>
      <c r="I325" s="2"/>
      <c r="J325" s="2"/>
      <c r="K325" s="2"/>
    </row>
    <row r="326" customFormat="false" ht="15" hidden="false" customHeight="false" outlineLevel="0" collapsed="false">
      <c r="A326" s="13"/>
      <c r="B326" s="11"/>
      <c r="C326" s="11"/>
      <c r="D326" s="11"/>
      <c r="E326" s="19"/>
      <c r="F326" s="11"/>
      <c r="G326" s="11"/>
      <c r="H326" s="11"/>
      <c r="I326" s="2"/>
      <c r="J326" s="2"/>
      <c r="K326" s="2"/>
    </row>
    <row r="327" customFormat="false" ht="15" hidden="false" customHeight="false" outlineLevel="0" collapsed="false">
      <c r="A327" s="13"/>
      <c r="B327" s="11"/>
      <c r="C327" s="11"/>
      <c r="D327" s="11"/>
      <c r="E327" s="19"/>
      <c r="F327" s="11"/>
      <c r="G327" s="11"/>
      <c r="H327" s="11"/>
      <c r="I327" s="2"/>
      <c r="J327" s="2"/>
      <c r="K327" s="2"/>
    </row>
    <row r="328" customFormat="false" ht="15" hidden="false" customHeight="false" outlineLevel="0" collapsed="false">
      <c r="A328" s="13"/>
      <c r="B328" s="11"/>
      <c r="C328" s="11"/>
      <c r="D328" s="11"/>
      <c r="E328" s="19"/>
      <c r="F328" s="11"/>
      <c r="G328" s="11"/>
      <c r="H328" s="11"/>
      <c r="I328" s="2"/>
      <c r="J328" s="2"/>
      <c r="K328" s="2"/>
    </row>
    <row r="329" customFormat="false" ht="15" hidden="false" customHeight="false" outlineLevel="0" collapsed="false">
      <c r="A329" s="13"/>
      <c r="B329" s="11"/>
      <c r="C329" s="11"/>
      <c r="D329" s="11"/>
      <c r="E329" s="19"/>
      <c r="F329" s="11"/>
      <c r="G329" s="11"/>
      <c r="H329" s="11"/>
      <c r="I329" s="2"/>
      <c r="J329" s="2"/>
      <c r="K329" s="2"/>
    </row>
    <row r="330" customFormat="false" ht="15" hidden="false" customHeight="false" outlineLevel="0" collapsed="false">
      <c r="A330" s="13"/>
      <c r="B330" s="11"/>
      <c r="C330" s="11"/>
      <c r="D330" s="11"/>
      <c r="E330" s="19"/>
      <c r="F330" s="11"/>
      <c r="G330" s="11"/>
      <c r="H330" s="11"/>
      <c r="I330" s="2"/>
      <c r="J330" s="2"/>
      <c r="K330" s="2"/>
    </row>
    <row r="331" customFormat="false" ht="15" hidden="false" customHeight="false" outlineLevel="0" collapsed="false">
      <c r="A331" s="13"/>
      <c r="B331" s="11"/>
      <c r="C331" s="11"/>
      <c r="D331" s="11"/>
      <c r="E331" s="19"/>
      <c r="F331" s="11"/>
      <c r="G331" s="11"/>
      <c r="H331" s="11"/>
      <c r="I331" s="2"/>
      <c r="J331" s="2"/>
      <c r="K331" s="2"/>
    </row>
    <row r="332" customFormat="false" ht="15" hidden="false" customHeight="false" outlineLevel="0" collapsed="false">
      <c r="A332" s="13"/>
      <c r="B332" s="11"/>
      <c r="C332" s="11"/>
      <c r="D332" s="11"/>
      <c r="E332" s="19"/>
      <c r="F332" s="11"/>
      <c r="G332" s="11"/>
      <c r="H332" s="11"/>
      <c r="I332" s="2"/>
      <c r="J332" s="2"/>
      <c r="K332" s="2"/>
    </row>
    <row r="333" customFormat="false" ht="15" hidden="false" customHeight="false" outlineLevel="0" collapsed="false">
      <c r="A333" s="13"/>
      <c r="B333" s="11"/>
      <c r="C333" s="11"/>
      <c r="D333" s="11"/>
      <c r="E333" s="19"/>
      <c r="F333" s="11"/>
      <c r="G333" s="11"/>
      <c r="H333" s="11"/>
      <c r="I333" s="2"/>
      <c r="J333" s="2"/>
      <c r="K333" s="2"/>
    </row>
    <row r="334" customFormat="false" ht="15" hidden="false" customHeight="false" outlineLevel="0" collapsed="false">
      <c r="A334" s="13"/>
      <c r="B334" s="11"/>
      <c r="C334" s="11"/>
      <c r="D334" s="11"/>
      <c r="E334" s="19"/>
      <c r="F334" s="11"/>
      <c r="G334" s="11"/>
      <c r="H334" s="11"/>
      <c r="I334" s="2"/>
      <c r="J334" s="2"/>
      <c r="K334" s="2"/>
    </row>
    <row r="335" customFormat="false" ht="15" hidden="false" customHeight="false" outlineLevel="0" collapsed="false">
      <c r="A335" s="13"/>
      <c r="B335" s="11"/>
      <c r="C335" s="11"/>
      <c r="D335" s="11"/>
      <c r="E335" s="19"/>
      <c r="F335" s="11"/>
      <c r="G335" s="11"/>
      <c r="H335" s="11"/>
      <c r="I335" s="2"/>
      <c r="J335" s="2"/>
      <c r="K335" s="2"/>
    </row>
    <row r="336" customFormat="false" ht="15" hidden="false" customHeight="false" outlineLevel="0" collapsed="false">
      <c r="A336" s="13"/>
      <c r="B336" s="11"/>
      <c r="C336" s="11"/>
      <c r="D336" s="11"/>
      <c r="E336" s="19"/>
      <c r="F336" s="11"/>
      <c r="G336" s="11"/>
      <c r="H336" s="11"/>
      <c r="I336" s="2"/>
      <c r="J336" s="2"/>
      <c r="K336" s="2"/>
    </row>
    <row r="337" customFormat="false" ht="15" hidden="false" customHeight="false" outlineLevel="0" collapsed="false">
      <c r="A337" s="13"/>
      <c r="B337" s="11"/>
      <c r="C337" s="11"/>
      <c r="D337" s="11"/>
      <c r="E337" s="19"/>
      <c r="F337" s="11"/>
      <c r="G337" s="11"/>
      <c r="H337" s="11"/>
      <c r="I337" s="2"/>
      <c r="J337" s="2"/>
      <c r="K337" s="2"/>
    </row>
    <row r="338" customFormat="false" ht="15" hidden="false" customHeight="false" outlineLevel="0" collapsed="false">
      <c r="A338" s="13"/>
      <c r="B338" s="11"/>
      <c r="C338" s="11"/>
      <c r="D338" s="11"/>
      <c r="E338" s="19"/>
      <c r="F338" s="11"/>
      <c r="G338" s="11"/>
      <c r="H338" s="11"/>
      <c r="I338" s="2"/>
      <c r="J338" s="2"/>
      <c r="K338" s="2"/>
    </row>
    <row r="339" customFormat="false" ht="15" hidden="false" customHeight="false" outlineLevel="0" collapsed="false">
      <c r="A339" s="13"/>
      <c r="B339" s="11"/>
      <c r="C339" s="11"/>
      <c r="D339" s="11"/>
      <c r="E339" s="19"/>
      <c r="F339" s="11"/>
      <c r="G339" s="11"/>
      <c r="H339" s="11"/>
      <c r="I339" s="2"/>
      <c r="J339" s="2"/>
      <c r="K339" s="2"/>
    </row>
    <row r="340" customFormat="false" ht="15" hidden="false" customHeight="false" outlineLevel="0" collapsed="false">
      <c r="A340" s="13"/>
      <c r="B340" s="11"/>
      <c r="C340" s="11"/>
      <c r="D340" s="11"/>
      <c r="E340" s="19"/>
      <c r="F340" s="11"/>
      <c r="G340" s="11"/>
      <c r="H340" s="11"/>
      <c r="I340" s="2"/>
      <c r="J340" s="2"/>
      <c r="K340" s="2"/>
    </row>
    <row r="341" customFormat="false" ht="15" hidden="false" customHeight="false" outlineLevel="0" collapsed="false">
      <c r="A341" s="13"/>
      <c r="B341" s="11"/>
      <c r="C341" s="11"/>
      <c r="D341" s="11"/>
      <c r="E341" s="19"/>
      <c r="F341" s="11"/>
      <c r="G341" s="11"/>
      <c r="H341" s="11"/>
      <c r="I341" s="2"/>
      <c r="J341" s="2"/>
      <c r="K341" s="2"/>
    </row>
    <row r="342" customFormat="false" ht="15" hidden="false" customHeight="false" outlineLevel="0" collapsed="false">
      <c r="A342" s="13"/>
      <c r="B342" s="11"/>
      <c r="C342" s="11"/>
      <c r="D342" s="11"/>
      <c r="E342" s="19"/>
      <c r="F342" s="11"/>
      <c r="G342" s="11"/>
      <c r="H342" s="11"/>
      <c r="I342" s="2"/>
      <c r="J342" s="2"/>
      <c r="K342" s="2"/>
    </row>
    <row r="343" customFormat="false" ht="15" hidden="false" customHeight="false" outlineLevel="0" collapsed="false">
      <c r="A343" s="13"/>
      <c r="B343" s="11"/>
      <c r="C343" s="11"/>
      <c r="D343" s="11"/>
      <c r="E343" s="19"/>
      <c r="F343" s="11"/>
      <c r="G343" s="11"/>
      <c r="H343" s="11"/>
      <c r="I343" s="2"/>
      <c r="J343" s="2"/>
      <c r="K343" s="2"/>
    </row>
    <row r="344" customFormat="false" ht="15" hidden="false" customHeight="false" outlineLevel="0" collapsed="false">
      <c r="A344" s="13"/>
      <c r="B344" s="11"/>
      <c r="C344" s="11"/>
      <c r="D344" s="11"/>
      <c r="E344" s="19"/>
      <c r="F344" s="11"/>
      <c r="G344" s="11"/>
      <c r="H344" s="11"/>
      <c r="I344" s="2"/>
      <c r="J344" s="2"/>
      <c r="K344" s="2"/>
    </row>
    <row r="345" customFormat="false" ht="15" hidden="false" customHeight="false" outlineLevel="0" collapsed="false">
      <c r="A345" s="13"/>
      <c r="B345" s="11"/>
      <c r="C345" s="11"/>
      <c r="D345" s="11"/>
      <c r="E345" s="19"/>
      <c r="F345" s="11"/>
      <c r="G345" s="11"/>
      <c r="H345" s="11"/>
      <c r="I345" s="2"/>
      <c r="J345" s="2"/>
      <c r="K345" s="2"/>
    </row>
    <row r="346" customFormat="false" ht="15" hidden="false" customHeight="false" outlineLevel="0" collapsed="false">
      <c r="A346" s="13"/>
      <c r="B346" s="11"/>
      <c r="C346" s="11"/>
      <c r="D346" s="11"/>
      <c r="E346" s="19"/>
      <c r="F346" s="11"/>
      <c r="G346" s="11"/>
      <c r="H346" s="11"/>
      <c r="I346" s="2"/>
      <c r="J346" s="2"/>
      <c r="K346" s="2"/>
    </row>
    <row r="347" customFormat="false" ht="15" hidden="false" customHeight="false" outlineLevel="0" collapsed="false">
      <c r="A347" s="13"/>
      <c r="B347" s="11"/>
      <c r="C347" s="11"/>
      <c r="D347" s="11"/>
      <c r="E347" s="19"/>
      <c r="F347" s="11"/>
      <c r="G347" s="11"/>
      <c r="H347" s="11"/>
      <c r="I347" s="2"/>
      <c r="J347" s="2"/>
      <c r="K347" s="2"/>
    </row>
    <row r="348" customFormat="false" ht="15" hidden="false" customHeight="false" outlineLevel="0" collapsed="false">
      <c r="A348" s="13"/>
      <c r="B348" s="11"/>
      <c r="C348" s="11"/>
      <c r="D348" s="11"/>
      <c r="E348" s="19"/>
      <c r="F348" s="11"/>
      <c r="G348" s="11"/>
      <c r="H348" s="11"/>
      <c r="I348" s="2"/>
      <c r="J348" s="2"/>
      <c r="K348" s="2"/>
    </row>
    <row r="349" customFormat="false" ht="15" hidden="false" customHeight="false" outlineLevel="0" collapsed="false">
      <c r="A349" s="13"/>
      <c r="B349" s="11"/>
      <c r="C349" s="11"/>
      <c r="D349" s="11"/>
      <c r="E349" s="19"/>
      <c r="F349" s="11"/>
      <c r="G349" s="11"/>
      <c r="H349" s="11"/>
      <c r="I349" s="2"/>
      <c r="J349" s="2"/>
      <c r="K349" s="2"/>
    </row>
    <row r="350" customFormat="false" ht="15" hidden="false" customHeight="false" outlineLevel="0" collapsed="false">
      <c r="A350" s="13"/>
      <c r="B350" s="11"/>
      <c r="C350" s="11"/>
      <c r="D350" s="11"/>
      <c r="E350" s="19"/>
      <c r="F350" s="11"/>
      <c r="G350" s="11"/>
      <c r="H350" s="11"/>
      <c r="I350" s="2"/>
      <c r="J350" s="2"/>
      <c r="K350" s="2"/>
    </row>
    <row r="351" customFormat="false" ht="15" hidden="false" customHeight="false" outlineLevel="0" collapsed="false">
      <c r="A351" s="13"/>
      <c r="B351" s="11"/>
      <c r="C351" s="11"/>
      <c r="D351" s="11"/>
      <c r="E351" s="19"/>
      <c r="F351" s="11"/>
      <c r="G351" s="11"/>
      <c r="H351" s="11"/>
      <c r="I351" s="2"/>
      <c r="J351" s="2"/>
      <c r="K351" s="2"/>
    </row>
    <row r="352" customFormat="false" ht="15" hidden="false" customHeight="false" outlineLevel="0" collapsed="false">
      <c r="A352" s="13"/>
      <c r="B352" s="11"/>
      <c r="C352" s="11"/>
      <c r="D352" s="11"/>
      <c r="E352" s="19"/>
      <c r="F352" s="11"/>
      <c r="G352" s="11"/>
      <c r="H352" s="11"/>
      <c r="I352" s="2"/>
      <c r="J352" s="2"/>
      <c r="K352" s="2"/>
    </row>
    <row r="353" customFormat="false" ht="15" hidden="false" customHeight="false" outlineLevel="0" collapsed="false">
      <c r="A353" s="13"/>
      <c r="B353" s="11"/>
      <c r="C353" s="11"/>
      <c r="D353" s="11"/>
      <c r="E353" s="19"/>
      <c r="F353" s="11"/>
      <c r="G353" s="11"/>
      <c r="H353" s="11"/>
      <c r="I353" s="2"/>
      <c r="J353" s="2"/>
      <c r="K353" s="2"/>
    </row>
    <row r="354" customFormat="false" ht="15" hidden="false" customHeight="false" outlineLevel="0" collapsed="false">
      <c r="A354" s="13"/>
      <c r="B354" s="11"/>
      <c r="C354" s="11"/>
      <c r="D354" s="11"/>
      <c r="E354" s="19"/>
      <c r="F354" s="11"/>
      <c r="G354" s="11"/>
      <c r="H354" s="11"/>
      <c r="I354" s="2"/>
      <c r="J354" s="2"/>
      <c r="K354" s="2"/>
    </row>
    <row r="355" customFormat="false" ht="15" hidden="false" customHeight="false" outlineLevel="0" collapsed="false">
      <c r="A355" s="13"/>
      <c r="B355" s="11"/>
      <c r="C355" s="11"/>
      <c r="D355" s="11"/>
      <c r="E355" s="19"/>
      <c r="F355" s="11"/>
      <c r="G355" s="11"/>
      <c r="H355" s="11"/>
      <c r="I355" s="2"/>
      <c r="J355" s="2"/>
      <c r="K355" s="2"/>
    </row>
    <row r="356" customFormat="false" ht="15" hidden="false" customHeight="false" outlineLevel="0" collapsed="false">
      <c r="A356" s="13"/>
      <c r="B356" s="11"/>
      <c r="C356" s="11"/>
      <c r="D356" s="11"/>
      <c r="E356" s="19"/>
      <c r="F356" s="11"/>
      <c r="G356" s="11"/>
      <c r="H356" s="11"/>
      <c r="I356" s="2"/>
      <c r="J356" s="2"/>
      <c r="K356" s="2"/>
    </row>
    <row r="357" customFormat="false" ht="15" hidden="false" customHeight="false" outlineLevel="0" collapsed="false">
      <c r="A357" s="13"/>
      <c r="B357" s="11"/>
      <c r="C357" s="11"/>
      <c r="D357" s="11"/>
      <c r="E357" s="19"/>
      <c r="F357" s="11"/>
      <c r="G357" s="11"/>
      <c r="H357" s="11"/>
      <c r="I357" s="2"/>
      <c r="J357" s="2"/>
      <c r="K357" s="2"/>
    </row>
    <row r="358" customFormat="false" ht="15" hidden="false" customHeight="false" outlineLevel="0" collapsed="false">
      <c r="A358" s="13"/>
      <c r="B358" s="11"/>
      <c r="C358" s="11"/>
      <c r="D358" s="11"/>
      <c r="E358" s="19"/>
      <c r="F358" s="11"/>
      <c r="G358" s="11"/>
      <c r="H358" s="11"/>
      <c r="I358" s="2"/>
      <c r="J358" s="2"/>
      <c r="K358" s="2"/>
    </row>
    <row r="359" customFormat="false" ht="15" hidden="false" customHeight="false" outlineLevel="0" collapsed="false">
      <c r="A359" s="13"/>
      <c r="B359" s="11"/>
      <c r="C359" s="11"/>
      <c r="D359" s="11"/>
      <c r="E359" s="19"/>
      <c r="F359" s="11"/>
      <c r="G359" s="11"/>
      <c r="H359" s="11"/>
      <c r="I359" s="2"/>
      <c r="J359" s="2"/>
      <c r="K359" s="2"/>
    </row>
    <row r="360" customFormat="false" ht="15" hidden="false" customHeight="false" outlineLevel="0" collapsed="false">
      <c r="A360" s="13"/>
      <c r="B360" s="11"/>
      <c r="C360" s="11"/>
      <c r="D360" s="11"/>
      <c r="E360" s="19"/>
      <c r="F360" s="11"/>
      <c r="G360" s="11"/>
      <c r="H360" s="11"/>
      <c r="I360" s="2"/>
      <c r="J360" s="2"/>
      <c r="K360" s="2"/>
    </row>
    <row r="361" customFormat="false" ht="15" hidden="false" customHeight="false" outlineLevel="0" collapsed="false">
      <c r="A361" s="13"/>
      <c r="B361" s="11"/>
      <c r="C361" s="11"/>
      <c r="D361" s="11"/>
      <c r="E361" s="19"/>
      <c r="F361" s="11"/>
      <c r="G361" s="11"/>
      <c r="H361" s="11"/>
      <c r="I361" s="2"/>
      <c r="J361" s="2"/>
      <c r="K361" s="2"/>
    </row>
    <row r="362" customFormat="false" ht="15" hidden="false" customHeight="false" outlineLevel="0" collapsed="false">
      <c r="A362" s="13"/>
      <c r="B362" s="11"/>
      <c r="C362" s="11"/>
      <c r="D362" s="11"/>
      <c r="E362" s="19"/>
      <c r="F362" s="11"/>
      <c r="G362" s="11"/>
      <c r="H362" s="11"/>
      <c r="I362" s="2"/>
      <c r="J362" s="2"/>
      <c r="K362" s="2"/>
    </row>
    <row r="363" customFormat="false" ht="15" hidden="false" customHeight="false" outlineLevel="0" collapsed="false">
      <c r="A363" s="13"/>
      <c r="B363" s="11"/>
      <c r="C363" s="11"/>
      <c r="D363" s="11"/>
      <c r="E363" s="19"/>
      <c r="F363" s="11"/>
      <c r="G363" s="11"/>
      <c r="H363" s="11"/>
      <c r="I363" s="2"/>
      <c r="J363" s="2"/>
      <c r="K363" s="2"/>
    </row>
    <row r="364" customFormat="false" ht="15" hidden="false" customHeight="false" outlineLevel="0" collapsed="false">
      <c r="A364" s="13"/>
      <c r="B364" s="11"/>
      <c r="C364" s="11"/>
      <c r="D364" s="11"/>
      <c r="E364" s="19"/>
      <c r="F364" s="11"/>
      <c r="G364" s="11"/>
      <c r="H364" s="11"/>
      <c r="I364" s="2"/>
      <c r="J364" s="2"/>
      <c r="K364" s="2"/>
    </row>
    <row r="365" customFormat="false" ht="15" hidden="false" customHeight="false" outlineLevel="0" collapsed="false">
      <c r="A365" s="13"/>
      <c r="B365" s="11"/>
      <c r="C365" s="11"/>
      <c r="D365" s="11"/>
      <c r="E365" s="19"/>
      <c r="F365" s="11"/>
      <c r="G365" s="11"/>
      <c r="H365" s="11"/>
      <c r="I365" s="2"/>
      <c r="J365" s="2"/>
      <c r="K365" s="2"/>
    </row>
    <row r="366" customFormat="false" ht="15" hidden="false" customHeight="false" outlineLevel="0" collapsed="false">
      <c r="A366" s="13"/>
      <c r="B366" s="11"/>
      <c r="C366" s="11"/>
      <c r="D366" s="11"/>
      <c r="E366" s="19"/>
      <c r="F366" s="11"/>
      <c r="G366" s="11"/>
      <c r="H366" s="11"/>
      <c r="I366" s="2"/>
      <c r="J366" s="2"/>
      <c r="K366" s="2"/>
    </row>
    <row r="367" customFormat="false" ht="15" hidden="false" customHeight="false" outlineLevel="0" collapsed="false">
      <c r="A367" s="13"/>
      <c r="B367" s="11"/>
      <c r="C367" s="11"/>
      <c r="D367" s="11"/>
      <c r="E367" s="19"/>
      <c r="F367" s="11"/>
      <c r="G367" s="11"/>
      <c r="H367" s="11"/>
      <c r="I367" s="2"/>
      <c r="J367" s="2"/>
      <c r="K367" s="2"/>
    </row>
    <row r="368" customFormat="false" ht="15" hidden="false" customHeight="false" outlineLevel="0" collapsed="false">
      <c r="A368" s="13"/>
      <c r="B368" s="11"/>
      <c r="C368" s="11"/>
      <c r="D368" s="11"/>
      <c r="E368" s="19"/>
      <c r="F368" s="11"/>
      <c r="G368" s="11"/>
      <c r="H368" s="11"/>
      <c r="I368" s="2"/>
      <c r="J368" s="2"/>
      <c r="K368" s="2"/>
    </row>
    <row r="369" customFormat="false" ht="15" hidden="false" customHeight="false" outlineLevel="0" collapsed="false">
      <c r="A369" s="13"/>
      <c r="B369" s="11"/>
      <c r="C369" s="11"/>
      <c r="D369" s="11"/>
      <c r="E369" s="19"/>
      <c r="F369" s="11"/>
      <c r="G369" s="11"/>
      <c r="H369" s="11"/>
      <c r="I369" s="2"/>
      <c r="J369" s="2"/>
      <c r="K369" s="2"/>
    </row>
    <row r="370" customFormat="false" ht="15" hidden="false" customHeight="false" outlineLevel="0" collapsed="false">
      <c r="A370" s="13"/>
      <c r="B370" s="11"/>
      <c r="C370" s="11"/>
      <c r="D370" s="11"/>
      <c r="E370" s="19"/>
      <c r="F370" s="11"/>
      <c r="G370" s="11"/>
      <c r="H370" s="11"/>
      <c r="I370" s="2"/>
      <c r="J370" s="2"/>
      <c r="K370" s="2"/>
    </row>
    <row r="371" customFormat="false" ht="15" hidden="false" customHeight="false" outlineLevel="0" collapsed="false">
      <c r="A371" s="13"/>
      <c r="B371" s="11"/>
      <c r="C371" s="11"/>
      <c r="D371" s="11"/>
      <c r="E371" s="19"/>
      <c r="F371" s="11"/>
      <c r="G371" s="11"/>
      <c r="H371" s="11"/>
      <c r="I371" s="2"/>
      <c r="J371" s="2"/>
      <c r="K371" s="2"/>
    </row>
    <row r="372" customFormat="false" ht="15" hidden="false" customHeight="false" outlineLevel="0" collapsed="false">
      <c r="A372" s="13"/>
      <c r="B372" s="11"/>
      <c r="C372" s="11"/>
      <c r="D372" s="11"/>
      <c r="E372" s="19"/>
      <c r="F372" s="11"/>
      <c r="G372" s="11"/>
      <c r="H372" s="11"/>
      <c r="I372" s="2"/>
      <c r="J372" s="2"/>
      <c r="K372" s="2"/>
    </row>
    <row r="373" customFormat="false" ht="15" hidden="false" customHeight="false" outlineLevel="0" collapsed="false">
      <c r="A373" s="13"/>
      <c r="B373" s="11"/>
      <c r="C373" s="11"/>
      <c r="D373" s="11"/>
      <c r="E373" s="19"/>
      <c r="F373" s="11"/>
      <c r="G373" s="11"/>
      <c r="H373" s="11"/>
      <c r="I373" s="2"/>
      <c r="J373" s="2"/>
      <c r="K373" s="2"/>
    </row>
    <row r="374" customFormat="false" ht="15" hidden="false" customHeight="false" outlineLevel="0" collapsed="false">
      <c r="A374" s="13"/>
      <c r="B374" s="11"/>
      <c r="C374" s="11"/>
      <c r="D374" s="11"/>
      <c r="E374" s="19"/>
      <c r="F374" s="11"/>
      <c r="G374" s="11"/>
      <c r="H374" s="11"/>
      <c r="I374" s="2"/>
      <c r="J374" s="2"/>
      <c r="K374" s="2"/>
    </row>
    <row r="375" customFormat="false" ht="15" hidden="false" customHeight="false" outlineLevel="0" collapsed="false">
      <c r="A375" s="13"/>
      <c r="B375" s="11"/>
      <c r="C375" s="11"/>
      <c r="D375" s="11"/>
      <c r="E375" s="19"/>
      <c r="F375" s="11"/>
      <c r="G375" s="11"/>
      <c r="H375" s="11"/>
      <c r="I375" s="2"/>
      <c r="J375" s="2"/>
      <c r="K375" s="2"/>
    </row>
    <row r="376" customFormat="false" ht="15" hidden="false" customHeight="false" outlineLevel="0" collapsed="false">
      <c r="A376" s="13"/>
      <c r="B376" s="11"/>
      <c r="C376" s="11"/>
      <c r="D376" s="11"/>
      <c r="E376" s="19"/>
      <c r="F376" s="11"/>
      <c r="G376" s="11"/>
      <c r="H376" s="11"/>
      <c r="I376" s="2"/>
      <c r="J376" s="2"/>
      <c r="K376" s="2"/>
    </row>
    <row r="377" customFormat="false" ht="15" hidden="false" customHeight="false" outlineLevel="0" collapsed="false">
      <c r="A377" s="13"/>
      <c r="B377" s="11"/>
      <c r="C377" s="11"/>
      <c r="D377" s="11"/>
      <c r="E377" s="19"/>
      <c r="F377" s="11"/>
      <c r="G377" s="11"/>
      <c r="H377" s="11"/>
      <c r="I377" s="2"/>
      <c r="J377" s="2"/>
      <c r="K377" s="2"/>
    </row>
    <row r="378" customFormat="false" ht="15" hidden="false" customHeight="false" outlineLevel="0" collapsed="false">
      <c r="A378" s="13"/>
      <c r="B378" s="11"/>
      <c r="C378" s="11"/>
      <c r="D378" s="11"/>
      <c r="E378" s="19"/>
      <c r="F378" s="11"/>
      <c r="G378" s="11"/>
      <c r="H378" s="11"/>
      <c r="I378" s="2"/>
      <c r="J378" s="2"/>
      <c r="K378" s="2"/>
    </row>
    <row r="379" customFormat="false" ht="15" hidden="false" customHeight="false" outlineLevel="0" collapsed="false">
      <c r="A379" s="13"/>
      <c r="B379" s="11"/>
      <c r="C379" s="11"/>
      <c r="D379" s="11"/>
      <c r="E379" s="19"/>
      <c r="F379" s="11"/>
      <c r="G379" s="11"/>
      <c r="H379" s="11"/>
      <c r="I379" s="2"/>
      <c r="J379" s="2"/>
      <c r="K379" s="2"/>
    </row>
    <row r="380" customFormat="false" ht="15" hidden="false" customHeight="false" outlineLevel="0" collapsed="false">
      <c r="A380" s="13"/>
      <c r="B380" s="11"/>
      <c r="C380" s="11"/>
      <c r="D380" s="11"/>
      <c r="E380" s="19"/>
      <c r="F380" s="11"/>
      <c r="G380" s="11"/>
      <c r="H380" s="11"/>
      <c r="I380" s="2"/>
      <c r="J380" s="2"/>
      <c r="K380" s="2"/>
    </row>
    <row r="381" customFormat="false" ht="15" hidden="false" customHeight="false" outlineLevel="0" collapsed="false">
      <c r="A381" s="13"/>
      <c r="B381" s="11"/>
      <c r="C381" s="11"/>
      <c r="D381" s="11"/>
      <c r="E381" s="19"/>
      <c r="F381" s="11"/>
      <c r="G381" s="11"/>
      <c r="H381" s="11"/>
      <c r="I381" s="2"/>
      <c r="J381" s="2"/>
      <c r="K381" s="2"/>
    </row>
    <row r="382" customFormat="false" ht="15" hidden="false" customHeight="false" outlineLevel="0" collapsed="false">
      <c r="A382" s="13"/>
      <c r="B382" s="11"/>
      <c r="C382" s="11"/>
      <c r="D382" s="11"/>
      <c r="E382" s="19"/>
      <c r="F382" s="11"/>
      <c r="G382" s="11"/>
      <c r="H382" s="11"/>
      <c r="I382" s="2"/>
      <c r="J382" s="2"/>
      <c r="K382" s="2"/>
    </row>
    <row r="383" customFormat="false" ht="15" hidden="false" customHeight="false" outlineLevel="0" collapsed="false">
      <c r="A383" s="13"/>
      <c r="B383" s="11"/>
      <c r="C383" s="11"/>
      <c r="D383" s="11"/>
      <c r="E383" s="19"/>
      <c r="F383" s="11"/>
      <c r="G383" s="11"/>
      <c r="H383" s="11"/>
      <c r="I383" s="2"/>
      <c r="J383" s="2"/>
      <c r="K383" s="2"/>
    </row>
    <row r="384" customFormat="false" ht="15" hidden="false" customHeight="false" outlineLevel="0" collapsed="false">
      <c r="A384" s="13"/>
      <c r="B384" s="11"/>
      <c r="C384" s="11"/>
      <c r="D384" s="11"/>
      <c r="E384" s="19"/>
      <c r="F384" s="11"/>
      <c r="G384" s="11"/>
      <c r="H384" s="11"/>
      <c r="I384" s="2"/>
      <c r="J384" s="2"/>
      <c r="K384" s="2"/>
    </row>
    <row r="385" customFormat="false" ht="15" hidden="false" customHeight="false" outlineLevel="0" collapsed="false">
      <c r="A385" s="13"/>
      <c r="B385" s="11"/>
      <c r="C385" s="11"/>
      <c r="D385" s="11"/>
      <c r="E385" s="19"/>
      <c r="F385" s="11"/>
      <c r="G385" s="11"/>
      <c r="H385" s="11"/>
      <c r="I385" s="2"/>
      <c r="J385" s="2"/>
      <c r="K385" s="2"/>
    </row>
    <row r="386" customFormat="false" ht="15" hidden="false" customHeight="false" outlineLevel="0" collapsed="false">
      <c r="A386" s="13"/>
      <c r="B386" s="11"/>
      <c r="C386" s="11"/>
      <c r="D386" s="11"/>
      <c r="E386" s="19"/>
      <c r="F386" s="11"/>
      <c r="G386" s="11"/>
      <c r="H386" s="11"/>
      <c r="I386" s="2"/>
      <c r="J386" s="2"/>
      <c r="K386" s="2"/>
    </row>
    <row r="387" customFormat="false" ht="15" hidden="false" customHeight="false" outlineLevel="0" collapsed="false">
      <c r="A387" s="13"/>
      <c r="B387" s="11"/>
      <c r="C387" s="11"/>
      <c r="D387" s="11"/>
      <c r="E387" s="19"/>
      <c r="F387" s="11"/>
      <c r="G387" s="11"/>
      <c r="H387" s="11"/>
      <c r="I387" s="2"/>
      <c r="J387" s="2"/>
      <c r="K387" s="2"/>
    </row>
    <row r="388" customFormat="false" ht="15" hidden="false" customHeight="false" outlineLevel="0" collapsed="false">
      <c r="A388" s="13"/>
      <c r="B388" s="11"/>
      <c r="C388" s="11"/>
      <c r="D388" s="11"/>
      <c r="E388" s="19"/>
      <c r="F388" s="11"/>
      <c r="G388" s="11"/>
      <c r="H388" s="11"/>
      <c r="I388" s="2"/>
      <c r="J388" s="2"/>
      <c r="K388" s="2"/>
    </row>
    <row r="389" customFormat="false" ht="15" hidden="false" customHeight="false" outlineLevel="0" collapsed="false">
      <c r="A389" s="13"/>
      <c r="B389" s="11"/>
      <c r="C389" s="11"/>
      <c r="D389" s="11"/>
      <c r="E389" s="19"/>
      <c r="F389" s="11"/>
      <c r="G389" s="11"/>
      <c r="H389" s="11"/>
      <c r="I389" s="2"/>
      <c r="J389" s="2"/>
      <c r="K389" s="2"/>
    </row>
    <row r="390" customFormat="false" ht="15" hidden="false" customHeight="false" outlineLevel="0" collapsed="false">
      <c r="A390" s="13"/>
      <c r="B390" s="11"/>
      <c r="C390" s="11"/>
      <c r="D390" s="11"/>
      <c r="E390" s="19"/>
      <c r="F390" s="11"/>
      <c r="G390" s="11"/>
      <c r="H390" s="11"/>
      <c r="I390" s="2"/>
      <c r="J390" s="2"/>
      <c r="K390" s="2"/>
    </row>
    <row r="391" customFormat="false" ht="15" hidden="false" customHeight="false" outlineLevel="0" collapsed="false">
      <c r="A391" s="13"/>
      <c r="B391" s="11"/>
      <c r="C391" s="11"/>
      <c r="D391" s="11"/>
      <c r="E391" s="19"/>
      <c r="F391" s="11"/>
      <c r="G391" s="11"/>
      <c r="H391" s="11"/>
      <c r="I391" s="2"/>
      <c r="J391" s="2"/>
      <c r="K391" s="2"/>
    </row>
    <row r="392" customFormat="false" ht="15" hidden="false" customHeight="false" outlineLevel="0" collapsed="false">
      <c r="A392" s="13"/>
      <c r="B392" s="11"/>
      <c r="C392" s="11"/>
      <c r="D392" s="11"/>
      <c r="E392" s="19"/>
      <c r="F392" s="11"/>
      <c r="G392" s="11"/>
      <c r="H392" s="11"/>
      <c r="I392" s="2"/>
      <c r="J392" s="2"/>
      <c r="K392" s="2"/>
    </row>
    <row r="393" customFormat="false" ht="15" hidden="false" customHeight="false" outlineLevel="0" collapsed="false">
      <c r="A393" s="13"/>
      <c r="B393" s="11"/>
      <c r="C393" s="11"/>
      <c r="D393" s="11"/>
      <c r="E393" s="19"/>
      <c r="F393" s="11"/>
      <c r="G393" s="11"/>
      <c r="H393" s="11"/>
      <c r="I393" s="2"/>
      <c r="J393" s="2"/>
      <c r="K393" s="2"/>
    </row>
    <row r="394" customFormat="false" ht="15" hidden="false" customHeight="false" outlineLevel="0" collapsed="false">
      <c r="A394" s="13"/>
      <c r="B394" s="11"/>
      <c r="C394" s="11"/>
      <c r="D394" s="11"/>
      <c r="E394" s="19"/>
      <c r="F394" s="11"/>
      <c r="G394" s="11"/>
      <c r="H394" s="11"/>
      <c r="I394" s="2"/>
      <c r="J394" s="2"/>
      <c r="K394" s="2"/>
    </row>
    <row r="395" customFormat="false" ht="15" hidden="false" customHeight="false" outlineLevel="0" collapsed="false">
      <c r="A395" s="13"/>
      <c r="B395" s="11"/>
      <c r="C395" s="11"/>
      <c r="D395" s="11"/>
      <c r="E395" s="19"/>
      <c r="F395" s="11"/>
      <c r="G395" s="11"/>
      <c r="H395" s="11"/>
      <c r="I395" s="2"/>
      <c r="J395" s="2"/>
      <c r="K395" s="2"/>
    </row>
    <row r="396" customFormat="false" ht="15" hidden="false" customHeight="false" outlineLevel="0" collapsed="false">
      <c r="A396" s="13"/>
      <c r="B396" s="11"/>
      <c r="C396" s="11"/>
      <c r="D396" s="11"/>
      <c r="E396" s="19"/>
      <c r="F396" s="11"/>
      <c r="G396" s="11"/>
      <c r="H396" s="11"/>
      <c r="I396" s="2"/>
      <c r="J396" s="2"/>
      <c r="K396" s="2"/>
    </row>
    <row r="397" customFormat="false" ht="15" hidden="false" customHeight="false" outlineLevel="0" collapsed="false">
      <c r="A397" s="13"/>
      <c r="B397" s="11"/>
      <c r="C397" s="11"/>
      <c r="D397" s="11"/>
      <c r="E397" s="19"/>
      <c r="F397" s="11"/>
      <c r="G397" s="11"/>
      <c r="H397" s="11"/>
      <c r="I397" s="2"/>
      <c r="J397" s="2"/>
      <c r="K397" s="2"/>
    </row>
    <row r="398" customFormat="false" ht="15" hidden="false" customHeight="false" outlineLevel="0" collapsed="false">
      <c r="A398" s="13"/>
      <c r="B398" s="11"/>
      <c r="C398" s="11"/>
      <c r="D398" s="11"/>
      <c r="E398" s="19"/>
      <c r="F398" s="11"/>
      <c r="G398" s="11"/>
      <c r="H398" s="11"/>
      <c r="I398" s="2"/>
      <c r="J398" s="2"/>
      <c r="K398" s="2"/>
    </row>
    <row r="399" customFormat="false" ht="15" hidden="false" customHeight="false" outlineLevel="0" collapsed="false">
      <c r="A399" s="13"/>
      <c r="B399" s="11"/>
      <c r="C399" s="11"/>
      <c r="D399" s="11"/>
      <c r="E399" s="19"/>
      <c r="F399" s="11"/>
      <c r="G399" s="11"/>
      <c r="H399" s="11"/>
      <c r="I399" s="2"/>
      <c r="J399" s="2"/>
      <c r="K399" s="2"/>
    </row>
    <row r="400" customFormat="false" ht="15" hidden="false" customHeight="false" outlineLevel="0" collapsed="false">
      <c r="A400" s="13"/>
      <c r="B400" s="11"/>
      <c r="C400" s="11"/>
      <c r="D400" s="11"/>
      <c r="E400" s="19"/>
      <c r="F400" s="11"/>
      <c r="G400" s="11"/>
      <c r="H400" s="11"/>
      <c r="I400" s="2"/>
      <c r="J400" s="2"/>
      <c r="K400" s="2"/>
    </row>
    <row r="401" customFormat="false" ht="15" hidden="false" customHeight="false" outlineLevel="0" collapsed="false">
      <c r="A401" s="13"/>
      <c r="B401" s="11"/>
      <c r="C401" s="11"/>
      <c r="D401" s="11"/>
      <c r="E401" s="19"/>
      <c r="F401" s="11"/>
      <c r="G401" s="11"/>
      <c r="H401" s="11"/>
      <c r="I401" s="2"/>
      <c r="J401" s="2"/>
      <c r="K401" s="2"/>
    </row>
    <row r="402" customFormat="false" ht="15" hidden="false" customHeight="false" outlineLevel="0" collapsed="false">
      <c r="A402" s="13"/>
      <c r="B402" s="11"/>
      <c r="C402" s="11"/>
      <c r="D402" s="11"/>
      <c r="E402" s="19"/>
      <c r="F402" s="11"/>
      <c r="G402" s="11"/>
      <c r="H402" s="11"/>
      <c r="I402" s="2"/>
      <c r="J402" s="2"/>
      <c r="K402" s="2"/>
    </row>
    <row r="403" customFormat="false" ht="15" hidden="false" customHeight="false" outlineLevel="0" collapsed="false">
      <c r="A403" s="13"/>
      <c r="B403" s="11"/>
      <c r="C403" s="11"/>
      <c r="D403" s="11"/>
      <c r="E403" s="19"/>
      <c r="F403" s="11"/>
      <c r="G403" s="11"/>
      <c r="H403" s="11"/>
      <c r="I403" s="2"/>
      <c r="J403" s="2"/>
      <c r="K403" s="2"/>
    </row>
    <row r="404" customFormat="false" ht="15" hidden="false" customHeight="false" outlineLevel="0" collapsed="false">
      <c r="A404" s="13"/>
      <c r="B404" s="11"/>
      <c r="C404" s="11"/>
      <c r="D404" s="11"/>
      <c r="E404" s="19"/>
      <c r="F404" s="11"/>
      <c r="G404" s="11"/>
      <c r="H404" s="11"/>
      <c r="I404" s="2"/>
      <c r="J404" s="2"/>
      <c r="K404" s="2"/>
    </row>
    <row r="405" customFormat="false" ht="15" hidden="false" customHeight="false" outlineLevel="0" collapsed="false">
      <c r="A405" s="13"/>
      <c r="B405" s="11"/>
      <c r="C405" s="11"/>
      <c r="D405" s="11"/>
      <c r="E405" s="19"/>
      <c r="F405" s="11"/>
      <c r="G405" s="11"/>
      <c r="H405" s="11"/>
      <c r="I405" s="2"/>
      <c r="J405" s="2"/>
      <c r="K405" s="2"/>
    </row>
    <row r="406" customFormat="false" ht="15" hidden="false" customHeight="false" outlineLevel="0" collapsed="false">
      <c r="A406" s="13"/>
      <c r="B406" s="11"/>
      <c r="C406" s="11"/>
      <c r="D406" s="11"/>
      <c r="E406" s="19"/>
      <c r="F406" s="11"/>
      <c r="G406" s="11"/>
      <c r="H406" s="11"/>
      <c r="I406" s="2"/>
      <c r="J406" s="2"/>
      <c r="K406" s="2"/>
    </row>
    <row r="407" customFormat="false" ht="15" hidden="false" customHeight="false" outlineLevel="0" collapsed="false">
      <c r="A407" s="13"/>
      <c r="B407" s="11"/>
      <c r="C407" s="11"/>
      <c r="D407" s="11"/>
      <c r="E407" s="19"/>
      <c r="F407" s="11"/>
      <c r="G407" s="11"/>
      <c r="H407" s="11"/>
      <c r="I407" s="2"/>
      <c r="J407" s="2"/>
      <c r="K407" s="2"/>
    </row>
    <row r="408" customFormat="false" ht="15" hidden="false" customHeight="false" outlineLevel="0" collapsed="false">
      <c r="A408" s="13"/>
      <c r="B408" s="11"/>
      <c r="C408" s="11"/>
      <c r="D408" s="11"/>
      <c r="E408" s="19"/>
      <c r="F408" s="11"/>
      <c r="G408" s="11"/>
      <c r="H408" s="11"/>
      <c r="I408" s="2"/>
      <c r="J408" s="2"/>
      <c r="K408" s="2"/>
    </row>
    <row r="409" customFormat="false" ht="15" hidden="false" customHeight="false" outlineLevel="0" collapsed="false">
      <c r="A409" s="13"/>
      <c r="B409" s="11"/>
      <c r="C409" s="11"/>
      <c r="D409" s="11"/>
      <c r="E409" s="19"/>
      <c r="F409" s="11"/>
      <c r="G409" s="11"/>
      <c r="H409" s="11"/>
      <c r="I409" s="2"/>
      <c r="J409" s="2"/>
      <c r="K409" s="2"/>
    </row>
    <row r="410" customFormat="false" ht="15" hidden="false" customHeight="false" outlineLevel="0" collapsed="false">
      <c r="A410" s="13"/>
      <c r="B410" s="11"/>
      <c r="C410" s="11"/>
      <c r="D410" s="11"/>
      <c r="E410" s="19"/>
      <c r="F410" s="11"/>
      <c r="G410" s="11"/>
      <c r="H410" s="11"/>
      <c r="I410" s="2"/>
      <c r="J410" s="2"/>
      <c r="K410" s="2"/>
    </row>
    <row r="411" customFormat="false" ht="15" hidden="false" customHeight="false" outlineLevel="0" collapsed="false">
      <c r="A411" s="13"/>
      <c r="B411" s="11"/>
      <c r="C411" s="11"/>
      <c r="D411" s="11"/>
      <c r="E411" s="19"/>
      <c r="F411" s="11"/>
      <c r="G411" s="11"/>
      <c r="H411" s="11"/>
      <c r="I411" s="2"/>
      <c r="J411" s="2"/>
      <c r="K411" s="2"/>
    </row>
    <row r="412" customFormat="false" ht="15" hidden="false" customHeight="false" outlineLevel="0" collapsed="false">
      <c r="A412" s="13"/>
      <c r="B412" s="11"/>
      <c r="C412" s="11"/>
      <c r="D412" s="11"/>
      <c r="E412" s="19"/>
      <c r="F412" s="11"/>
      <c r="G412" s="11"/>
      <c r="H412" s="11"/>
      <c r="I412" s="2"/>
      <c r="J412" s="2"/>
      <c r="K412" s="2"/>
    </row>
    <row r="413" customFormat="false" ht="15" hidden="false" customHeight="false" outlineLevel="0" collapsed="false">
      <c r="A413" s="13"/>
      <c r="B413" s="11"/>
      <c r="C413" s="11"/>
      <c r="D413" s="11"/>
      <c r="E413" s="19"/>
      <c r="F413" s="11"/>
      <c r="G413" s="11"/>
      <c r="H413" s="11"/>
      <c r="I413" s="2"/>
      <c r="J413" s="2"/>
      <c r="K413" s="2"/>
    </row>
    <row r="414" customFormat="false" ht="15" hidden="false" customHeight="false" outlineLevel="0" collapsed="false">
      <c r="A414" s="13"/>
      <c r="B414" s="11"/>
      <c r="C414" s="11"/>
      <c r="D414" s="11"/>
      <c r="E414" s="19"/>
      <c r="F414" s="11"/>
      <c r="G414" s="11"/>
      <c r="H414" s="11"/>
      <c r="I414" s="2"/>
      <c r="J414" s="2"/>
      <c r="K414" s="2"/>
    </row>
    <row r="415" customFormat="false" ht="15" hidden="false" customHeight="false" outlineLevel="0" collapsed="false">
      <c r="A415" s="13"/>
      <c r="B415" s="11"/>
      <c r="C415" s="11"/>
      <c r="D415" s="11"/>
      <c r="E415" s="19"/>
      <c r="F415" s="11"/>
      <c r="G415" s="11"/>
      <c r="H415" s="11"/>
      <c r="I415" s="2"/>
      <c r="J415" s="2"/>
      <c r="K415" s="2"/>
    </row>
    <row r="416" customFormat="false" ht="15" hidden="false" customHeight="false" outlineLevel="0" collapsed="false">
      <c r="A416" s="13"/>
      <c r="B416" s="11"/>
      <c r="C416" s="11"/>
      <c r="D416" s="11"/>
      <c r="E416" s="19"/>
      <c r="F416" s="11"/>
      <c r="G416" s="11"/>
      <c r="H416" s="11"/>
      <c r="I416" s="2"/>
      <c r="J416" s="2"/>
      <c r="K416" s="2"/>
    </row>
    <row r="417" customFormat="false" ht="15" hidden="false" customHeight="false" outlineLevel="0" collapsed="false">
      <c r="A417" s="13"/>
      <c r="B417" s="11"/>
      <c r="C417" s="11"/>
      <c r="D417" s="11"/>
      <c r="E417" s="19"/>
      <c r="F417" s="11"/>
      <c r="G417" s="11"/>
      <c r="H417" s="11"/>
      <c r="I417" s="2"/>
      <c r="J417" s="2"/>
      <c r="K417" s="2"/>
    </row>
    <row r="418" customFormat="false" ht="15" hidden="false" customHeight="false" outlineLevel="0" collapsed="false">
      <c r="A418" s="13"/>
      <c r="B418" s="11"/>
      <c r="C418" s="11"/>
      <c r="D418" s="11"/>
      <c r="E418" s="19"/>
      <c r="F418" s="11"/>
      <c r="G418" s="11"/>
      <c r="H418" s="11"/>
      <c r="I418" s="2"/>
      <c r="J418" s="2"/>
      <c r="K418" s="2"/>
    </row>
    <row r="419" customFormat="false" ht="15" hidden="false" customHeight="false" outlineLevel="0" collapsed="false">
      <c r="A419" s="13"/>
      <c r="B419" s="11"/>
      <c r="C419" s="11"/>
      <c r="D419" s="11"/>
      <c r="E419" s="19"/>
      <c r="F419" s="11"/>
      <c r="G419" s="11"/>
      <c r="H419" s="11"/>
      <c r="I419" s="2"/>
      <c r="J419" s="2"/>
      <c r="K419" s="2"/>
    </row>
    <row r="420" customFormat="false" ht="15" hidden="false" customHeight="false" outlineLevel="0" collapsed="false">
      <c r="A420" s="13"/>
      <c r="B420" s="11"/>
      <c r="C420" s="11"/>
      <c r="D420" s="11"/>
      <c r="E420" s="19"/>
      <c r="F420" s="11"/>
      <c r="G420" s="11"/>
      <c r="H420" s="11"/>
      <c r="I420" s="2"/>
      <c r="J420" s="2"/>
      <c r="K420" s="2"/>
    </row>
    <row r="421" customFormat="false" ht="15" hidden="false" customHeight="false" outlineLevel="0" collapsed="false">
      <c r="A421" s="13"/>
      <c r="B421" s="11"/>
      <c r="C421" s="11"/>
      <c r="D421" s="11"/>
      <c r="E421" s="19"/>
      <c r="F421" s="11"/>
      <c r="G421" s="11"/>
      <c r="H421" s="11"/>
      <c r="I421" s="2"/>
      <c r="J421" s="2"/>
      <c r="K421" s="2"/>
    </row>
    <row r="422" customFormat="false" ht="15" hidden="false" customHeight="false" outlineLevel="0" collapsed="false">
      <c r="A422" s="13"/>
      <c r="B422" s="11"/>
      <c r="C422" s="11"/>
      <c r="D422" s="11"/>
      <c r="E422" s="19"/>
      <c r="F422" s="11"/>
      <c r="G422" s="11"/>
      <c r="H422" s="11"/>
      <c r="I422" s="2"/>
      <c r="J422" s="2"/>
      <c r="K422" s="2"/>
    </row>
    <row r="423" customFormat="false" ht="15" hidden="false" customHeight="false" outlineLevel="0" collapsed="false">
      <c r="A423" s="13"/>
      <c r="B423" s="11"/>
      <c r="C423" s="11"/>
      <c r="D423" s="11"/>
      <c r="E423" s="19"/>
      <c r="F423" s="11"/>
      <c r="G423" s="11"/>
      <c r="H423" s="11"/>
      <c r="I423" s="2"/>
      <c r="J423" s="2"/>
      <c r="K423" s="2"/>
    </row>
    <row r="424" customFormat="false" ht="15" hidden="false" customHeight="false" outlineLevel="0" collapsed="false">
      <c r="A424" s="13"/>
      <c r="B424" s="11"/>
      <c r="C424" s="11"/>
      <c r="D424" s="11"/>
      <c r="E424" s="19"/>
      <c r="F424" s="11"/>
      <c r="G424" s="11"/>
      <c r="H424" s="11"/>
      <c r="I424" s="2"/>
      <c r="J424" s="2"/>
      <c r="K424" s="2"/>
    </row>
    <row r="425" customFormat="false" ht="15" hidden="false" customHeight="false" outlineLevel="0" collapsed="false">
      <c r="A425" s="13"/>
      <c r="B425" s="11"/>
      <c r="C425" s="11"/>
      <c r="D425" s="11"/>
      <c r="E425" s="19"/>
      <c r="F425" s="11"/>
      <c r="G425" s="11"/>
      <c r="H425" s="11"/>
      <c r="I425" s="2"/>
      <c r="J425" s="2"/>
      <c r="K425" s="2"/>
    </row>
    <row r="426" customFormat="false" ht="15" hidden="false" customHeight="false" outlineLevel="0" collapsed="false">
      <c r="A426" s="13"/>
      <c r="B426" s="11"/>
      <c r="C426" s="11"/>
      <c r="D426" s="11"/>
      <c r="E426" s="19"/>
      <c r="F426" s="11"/>
      <c r="G426" s="11"/>
      <c r="H426" s="11"/>
      <c r="I426" s="2"/>
      <c r="J426" s="2"/>
      <c r="K426" s="2"/>
    </row>
    <row r="427" customFormat="false" ht="15" hidden="false" customHeight="false" outlineLevel="0" collapsed="false">
      <c r="A427" s="13"/>
      <c r="B427" s="11"/>
      <c r="C427" s="11"/>
      <c r="D427" s="11"/>
      <c r="E427" s="19"/>
      <c r="F427" s="11"/>
      <c r="G427" s="11"/>
      <c r="H427" s="11"/>
      <c r="I427" s="2"/>
      <c r="J427" s="2"/>
      <c r="K427" s="2"/>
    </row>
    <row r="428" customFormat="false" ht="15" hidden="false" customHeight="false" outlineLevel="0" collapsed="false">
      <c r="A428" s="13"/>
      <c r="B428" s="11"/>
      <c r="C428" s="11"/>
      <c r="D428" s="11"/>
      <c r="E428" s="19"/>
      <c r="F428" s="11"/>
      <c r="G428" s="11"/>
      <c r="H428" s="11"/>
      <c r="I428" s="2"/>
      <c r="J428" s="2"/>
      <c r="K428" s="2"/>
    </row>
    <row r="429" customFormat="false" ht="15" hidden="false" customHeight="false" outlineLevel="0" collapsed="false">
      <c r="A429" s="13"/>
      <c r="B429" s="11"/>
      <c r="C429" s="11"/>
      <c r="D429" s="11"/>
      <c r="E429" s="19"/>
      <c r="F429" s="11"/>
      <c r="G429" s="11"/>
      <c r="H429" s="11"/>
      <c r="I429" s="2"/>
      <c r="J429" s="2"/>
      <c r="K429" s="2"/>
    </row>
    <row r="430" customFormat="false" ht="15" hidden="false" customHeight="false" outlineLevel="0" collapsed="false">
      <c r="A430" s="13"/>
      <c r="B430" s="11"/>
      <c r="C430" s="11"/>
      <c r="D430" s="11"/>
      <c r="E430" s="19"/>
      <c r="F430" s="11"/>
      <c r="G430" s="11"/>
      <c r="H430" s="11"/>
      <c r="I430" s="2"/>
      <c r="J430" s="2"/>
      <c r="K430" s="2"/>
    </row>
    <row r="431" customFormat="false" ht="15" hidden="false" customHeight="false" outlineLevel="0" collapsed="false">
      <c r="A431" s="13"/>
      <c r="B431" s="11"/>
      <c r="C431" s="11"/>
      <c r="D431" s="11"/>
      <c r="E431" s="19"/>
      <c r="F431" s="11"/>
      <c r="G431" s="11"/>
      <c r="H431" s="11"/>
      <c r="I431" s="2"/>
      <c r="J431" s="2"/>
      <c r="K431" s="2"/>
    </row>
    <row r="432" customFormat="false" ht="15" hidden="false" customHeight="false" outlineLevel="0" collapsed="false">
      <c r="A432" s="13"/>
      <c r="B432" s="11"/>
      <c r="C432" s="11"/>
      <c r="D432" s="11"/>
      <c r="E432" s="19"/>
      <c r="F432" s="11"/>
      <c r="G432" s="11"/>
      <c r="H432" s="11"/>
      <c r="I432" s="2"/>
      <c r="J432" s="2"/>
      <c r="K432" s="2"/>
    </row>
    <row r="433" customFormat="false" ht="15" hidden="false" customHeight="false" outlineLevel="0" collapsed="false">
      <c r="A433" s="13"/>
      <c r="B433" s="11"/>
      <c r="C433" s="11"/>
      <c r="D433" s="11"/>
      <c r="E433" s="19"/>
      <c r="F433" s="11"/>
      <c r="G433" s="11"/>
      <c r="H433" s="11"/>
      <c r="I433" s="2"/>
      <c r="J433" s="2"/>
      <c r="K433" s="2"/>
    </row>
    <row r="434" customFormat="false" ht="15" hidden="false" customHeight="false" outlineLevel="0" collapsed="false">
      <c r="A434" s="13"/>
      <c r="B434" s="11"/>
      <c r="C434" s="11"/>
      <c r="D434" s="11"/>
      <c r="E434" s="19"/>
      <c r="F434" s="11"/>
      <c r="G434" s="11"/>
      <c r="H434" s="11"/>
      <c r="I434" s="2"/>
      <c r="J434" s="2"/>
      <c r="K434" s="2"/>
    </row>
    <row r="435" customFormat="false" ht="15" hidden="false" customHeight="false" outlineLevel="0" collapsed="false">
      <c r="A435" s="13"/>
      <c r="B435" s="11"/>
      <c r="C435" s="11"/>
      <c r="D435" s="11"/>
      <c r="E435" s="19"/>
      <c r="F435" s="11"/>
      <c r="G435" s="11"/>
      <c r="H435" s="11"/>
      <c r="I435" s="2"/>
      <c r="J435" s="2"/>
      <c r="K435" s="2"/>
    </row>
    <row r="436" customFormat="false" ht="15" hidden="false" customHeight="false" outlineLevel="0" collapsed="false">
      <c r="A436" s="13"/>
      <c r="B436" s="11"/>
      <c r="C436" s="11"/>
      <c r="D436" s="11"/>
      <c r="E436" s="19"/>
      <c r="F436" s="11"/>
      <c r="G436" s="11"/>
      <c r="H436" s="11"/>
      <c r="I436" s="2"/>
      <c r="J436" s="2"/>
      <c r="K436" s="2"/>
    </row>
    <row r="437" customFormat="false" ht="15" hidden="false" customHeight="false" outlineLevel="0" collapsed="false">
      <c r="A437" s="13"/>
      <c r="B437" s="11"/>
      <c r="C437" s="11"/>
      <c r="D437" s="11"/>
      <c r="E437" s="19"/>
      <c r="F437" s="11"/>
      <c r="G437" s="11"/>
      <c r="H437" s="11"/>
      <c r="I437" s="2"/>
      <c r="J437" s="2"/>
      <c r="K437" s="2"/>
    </row>
    <row r="438" customFormat="false" ht="15" hidden="false" customHeight="false" outlineLevel="0" collapsed="false">
      <c r="A438" s="13"/>
      <c r="B438" s="11"/>
      <c r="C438" s="11"/>
      <c r="D438" s="11"/>
      <c r="E438" s="19"/>
      <c r="F438" s="11"/>
      <c r="G438" s="11"/>
      <c r="H438" s="11"/>
      <c r="I438" s="2"/>
      <c r="J438" s="2"/>
      <c r="K438" s="2"/>
    </row>
    <row r="439" customFormat="false" ht="15" hidden="false" customHeight="false" outlineLevel="0" collapsed="false">
      <c r="A439" s="13"/>
      <c r="B439" s="11"/>
      <c r="C439" s="11"/>
      <c r="D439" s="11"/>
      <c r="E439" s="19"/>
      <c r="F439" s="11"/>
      <c r="G439" s="11"/>
      <c r="H439" s="11"/>
      <c r="I439" s="2"/>
      <c r="J439" s="2"/>
      <c r="K439" s="2"/>
    </row>
    <row r="440" customFormat="false" ht="15" hidden="false" customHeight="false" outlineLevel="0" collapsed="false">
      <c r="A440" s="13"/>
      <c r="B440" s="11"/>
      <c r="C440" s="11"/>
      <c r="D440" s="11"/>
      <c r="E440" s="19"/>
      <c r="F440" s="11"/>
      <c r="G440" s="11"/>
      <c r="H440" s="11"/>
      <c r="I440" s="2"/>
      <c r="J440" s="2"/>
      <c r="K440" s="2"/>
    </row>
    <row r="441" customFormat="false" ht="15" hidden="false" customHeight="false" outlineLevel="0" collapsed="false">
      <c r="A441" s="13"/>
      <c r="B441" s="11"/>
      <c r="C441" s="11"/>
      <c r="D441" s="11"/>
      <c r="E441" s="19"/>
      <c r="F441" s="11"/>
      <c r="G441" s="11"/>
      <c r="H441" s="11"/>
      <c r="I441" s="2"/>
      <c r="J441" s="2"/>
      <c r="K441" s="2"/>
    </row>
    <row r="442" customFormat="false" ht="15" hidden="false" customHeight="false" outlineLevel="0" collapsed="false">
      <c r="A442" s="13"/>
      <c r="B442" s="11"/>
      <c r="C442" s="11"/>
      <c r="D442" s="11"/>
      <c r="E442" s="19"/>
      <c r="F442" s="11"/>
      <c r="G442" s="11"/>
      <c r="H442" s="11"/>
      <c r="I442" s="2"/>
      <c r="J442" s="2"/>
      <c r="K442" s="2"/>
    </row>
    <row r="443" customFormat="false" ht="15" hidden="false" customHeight="false" outlineLevel="0" collapsed="false">
      <c r="A443" s="13"/>
      <c r="B443" s="11"/>
      <c r="C443" s="11"/>
      <c r="D443" s="11"/>
      <c r="E443" s="19"/>
      <c r="F443" s="11"/>
      <c r="G443" s="11"/>
      <c r="H443" s="11"/>
      <c r="I443" s="2"/>
      <c r="J443" s="2"/>
      <c r="K443" s="2"/>
    </row>
    <row r="444" customFormat="false" ht="15" hidden="false" customHeight="false" outlineLevel="0" collapsed="false">
      <c r="A444" s="13"/>
      <c r="B444" s="11"/>
      <c r="C444" s="11"/>
      <c r="D444" s="11"/>
      <c r="E444" s="19"/>
      <c r="F444" s="11"/>
      <c r="G444" s="11"/>
      <c r="H444" s="11"/>
      <c r="I444" s="2"/>
      <c r="J444" s="2"/>
      <c r="K444" s="2"/>
    </row>
    <row r="445" customFormat="false" ht="15" hidden="false" customHeight="false" outlineLevel="0" collapsed="false">
      <c r="A445" s="13"/>
      <c r="B445" s="11"/>
      <c r="C445" s="11"/>
      <c r="D445" s="11"/>
      <c r="E445" s="19"/>
      <c r="F445" s="11"/>
      <c r="G445" s="11"/>
      <c r="H445" s="11"/>
      <c r="I445" s="2"/>
      <c r="J445" s="2"/>
      <c r="K445" s="2"/>
    </row>
    <row r="446" customFormat="false" ht="15" hidden="false" customHeight="false" outlineLevel="0" collapsed="false">
      <c r="A446" s="13"/>
      <c r="B446" s="11"/>
      <c r="C446" s="11"/>
      <c r="D446" s="11"/>
      <c r="E446" s="19"/>
      <c r="F446" s="11"/>
      <c r="G446" s="11"/>
      <c r="H446" s="11"/>
      <c r="I446" s="2"/>
      <c r="J446" s="2"/>
      <c r="K446" s="2"/>
    </row>
    <row r="447" customFormat="false" ht="15" hidden="false" customHeight="false" outlineLevel="0" collapsed="false">
      <c r="A447" s="13"/>
      <c r="B447" s="11"/>
      <c r="C447" s="11"/>
      <c r="D447" s="11"/>
      <c r="E447" s="19"/>
      <c r="F447" s="11"/>
      <c r="G447" s="11"/>
      <c r="H447" s="11"/>
      <c r="I447" s="2"/>
      <c r="J447" s="2"/>
      <c r="K447" s="2"/>
    </row>
    <row r="448" customFormat="false" ht="15" hidden="false" customHeight="false" outlineLevel="0" collapsed="false">
      <c r="A448" s="13"/>
      <c r="B448" s="11"/>
      <c r="C448" s="11"/>
      <c r="D448" s="11"/>
      <c r="E448" s="19"/>
      <c r="F448" s="11"/>
      <c r="G448" s="11"/>
      <c r="H448" s="11"/>
      <c r="I448" s="2"/>
      <c r="J448" s="2"/>
      <c r="K448" s="2"/>
    </row>
    <row r="449" customFormat="false" ht="15" hidden="false" customHeight="false" outlineLevel="0" collapsed="false">
      <c r="A449" s="13"/>
      <c r="B449" s="11"/>
      <c r="C449" s="11"/>
      <c r="D449" s="11"/>
      <c r="E449" s="19"/>
      <c r="F449" s="11"/>
      <c r="G449" s="11"/>
      <c r="H449" s="11"/>
      <c r="I449" s="2"/>
      <c r="J449" s="2"/>
      <c r="K449" s="2"/>
    </row>
    <row r="450" customFormat="false" ht="15" hidden="false" customHeight="false" outlineLevel="0" collapsed="false">
      <c r="A450" s="13"/>
      <c r="B450" s="11"/>
      <c r="C450" s="11"/>
      <c r="D450" s="11"/>
      <c r="E450" s="19"/>
      <c r="F450" s="11"/>
      <c r="G450" s="11"/>
      <c r="H450" s="11"/>
      <c r="I450" s="2"/>
      <c r="J450" s="2"/>
      <c r="K450" s="2"/>
    </row>
    <row r="451" customFormat="false" ht="15" hidden="false" customHeight="false" outlineLevel="0" collapsed="false">
      <c r="A451" s="13"/>
      <c r="B451" s="11"/>
      <c r="C451" s="11"/>
      <c r="D451" s="11"/>
      <c r="E451" s="19"/>
      <c r="F451" s="11"/>
      <c r="G451" s="11"/>
      <c r="H451" s="11"/>
      <c r="I451" s="2"/>
      <c r="J451" s="2"/>
      <c r="K451" s="2"/>
    </row>
    <row r="452" customFormat="false" ht="15" hidden="false" customHeight="false" outlineLevel="0" collapsed="false">
      <c r="A452" s="13"/>
      <c r="B452" s="11"/>
      <c r="C452" s="11"/>
      <c r="D452" s="11"/>
      <c r="E452" s="19"/>
      <c r="F452" s="11"/>
      <c r="G452" s="11"/>
      <c r="H452" s="11"/>
      <c r="I452" s="2"/>
      <c r="J452" s="2"/>
      <c r="K452" s="2"/>
    </row>
    <row r="453" customFormat="false" ht="15" hidden="false" customHeight="false" outlineLevel="0" collapsed="false">
      <c r="A453" s="13"/>
      <c r="B453" s="11"/>
      <c r="C453" s="11"/>
      <c r="D453" s="11"/>
      <c r="E453" s="19"/>
      <c r="F453" s="11"/>
      <c r="G453" s="11"/>
      <c r="H453" s="11"/>
      <c r="I453" s="2"/>
      <c r="J453" s="2"/>
      <c r="K453" s="2"/>
    </row>
    <row r="454" customFormat="false" ht="15" hidden="false" customHeight="false" outlineLevel="0" collapsed="false">
      <c r="A454" s="13"/>
      <c r="B454" s="11"/>
      <c r="C454" s="11"/>
      <c r="D454" s="11"/>
      <c r="E454" s="19"/>
      <c r="F454" s="11"/>
      <c r="G454" s="11"/>
      <c r="H454" s="11"/>
      <c r="I454" s="2"/>
      <c r="J454" s="2"/>
      <c r="K454" s="2"/>
    </row>
    <row r="455" customFormat="false" ht="15" hidden="false" customHeight="false" outlineLevel="0" collapsed="false">
      <c r="A455" s="13"/>
      <c r="B455" s="11"/>
      <c r="C455" s="11"/>
      <c r="D455" s="11"/>
      <c r="E455" s="19"/>
      <c r="F455" s="11"/>
      <c r="G455" s="11"/>
      <c r="H455" s="11"/>
      <c r="I455" s="2"/>
      <c r="J455" s="2"/>
      <c r="K455" s="2"/>
    </row>
    <row r="456" customFormat="false" ht="15" hidden="false" customHeight="false" outlineLevel="0" collapsed="false">
      <c r="A456" s="13"/>
      <c r="B456" s="11"/>
      <c r="C456" s="11"/>
      <c r="D456" s="11"/>
      <c r="E456" s="19"/>
      <c r="F456" s="11"/>
      <c r="G456" s="11"/>
      <c r="H456" s="11"/>
      <c r="I456" s="2"/>
      <c r="J456" s="2"/>
      <c r="K456" s="2"/>
    </row>
    <row r="457" customFormat="false" ht="15" hidden="false" customHeight="false" outlineLevel="0" collapsed="false">
      <c r="A457" s="13"/>
      <c r="B457" s="11"/>
      <c r="C457" s="11"/>
      <c r="D457" s="11"/>
      <c r="E457" s="19"/>
      <c r="F457" s="11"/>
      <c r="G457" s="11"/>
      <c r="H457" s="11"/>
      <c r="I457" s="2"/>
      <c r="J457" s="2"/>
      <c r="K457" s="2"/>
    </row>
    <row r="458" customFormat="false" ht="15" hidden="false" customHeight="false" outlineLevel="0" collapsed="false">
      <c r="A458" s="13"/>
      <c r="B458" s="11"/>
      <c r="C458" s="11"/>
      <c r="D458" s="11"/>
      <c r="E458" s="19"/>
      <c r="F458" s="11"/>
      <c r="G458" s="11"/>
      <c r="H458" s="11"/>
      <c r="I458" s="2"/>
      <c r="J458" s="2"/>
      <c r="K458" s="2"/>
    </row>
    <row r="459" customFormat="false" ht="15" hidden="false" customHeight="false" outlineLevel="0" collapsed="false">
      <c r="A459" s="13"/>
      <c r="B459" s="11"/>
      <c r="C459" s="11"/>
      <c r="D459" s="11"/>
      <c r="E459" s="19"/>
      <c r="F459" s="11"/>
      <c r="G459" s="11"/>
      <c r="H459" s="11"/>
      <c r="I459" s="2"/>
      <c r="J459" s="2"/>
      <c r="K459" s="2"/>
    </row>
    <row r="460" customFormat="false" ht="15" hidden="false" customHeight="false" outlineLevel="0" collapsed="false">
      <c r="A460" s="13"/>
      <c r="B460" s="11"/>
      <c r="C460" s="11"/>
      <c r="D460" s="11"/>
      <c r="E460" s="19"/>
      <c r="F460" s="11"/>
      <c r="G460" s="11"/>
      <c r="H460" s="11"/>
      <c r="I460" s="2"/>
      <c r="J460" s="2"/>
      <c r="K460" s="2"/>
    </row>
    <row r="461" customFormat="false" ht="15" hidden="false" customHeight="false" outlineLevel="0" collapsed="false">
      <c r="A461" s="13"/>
      <c r="B461" s="11"/>
      <c r="C461" s="11"/>
      <c r="D461" s="11"/>
      <c r="E461" s="19"/>
      <c r="F461" s="11"/>
      <c r="G461" s="11"/>
      <c r="H461" s="11"/>
      <c r="I461" s="2"/>
      <c r="J461" s="2"/>
      <c r="K461" s="2"/>
    </row>
    <row r="462" customFormat="false" ht="15" hidden="false" customHeight="false" outlineLevel="0" collapsed="false">
      <c r="A462" s="13"/>
      <c r="B462" s="11"/>
      <c r="C462" s="11"/>
      <c r="D462" s="11"/>
      <c r="E462" s="19"/>
      <c r="F462" s="11"/>
      <c r="G462" s="11"/>
      <c r="H462" s="11"/>
      <c r="I462" s="2"/>
      <c r="J462" s="2"/>
      <c r="K462" s="2"/>
    </row>
    <row r="463" customFormat="false" ht="15" hidden="false" customHeight="false" outlineLevel="0" collapsed="false">
      <c r="A463" s="13"/>
      <c r="B463" s="11"/>
      <c r="C463" s="11"/>
      <c r="D463" s="11"/>
      <c r="E463" s="19"/>
      <c r="F463" s="11"/>
      <c r="G463" s="11"/>
      <c r="H463" s="11"/>
      <c r="I463" s="2"/>
      <c r="J463" s="2"/>
      <c r="K463" s="2"/>
    </row>
    <row r="464" customFormat="false" ht="15" hidden="false" customHeight="false" outlineLevel="0" collapsed="false">
      <c r="A464" s="13"/>
      <c r="B464" s="11"/>
      <c r="C464" s="11"/>
      <c r="D464" s="11"/>
      <c r="E464" s="19"/>
      <c r="F464" s="11"/>
      <c r="G464" s="11"/>
      <c r="H464" s="11"/>
      <c r="I464" s="2"/>
      <c r="J464" s="2"/>
      <c r="K464" s="2"/>
    </row>
    <row r="465" customFormat="false" ht="15" hidden="false" customHeight="false" outlineLevel="0" collapsed="false">
      <c r="A465" s="13"/>
      <c r="B465" s="11"/>
      <c r="C465" s="11"/>
      <c r="D465" s="11"/>
      <c r="E465" s="19"/>
      <c r="F465" s="11"/>
      <c r="G465" s="11"/>
      <c r="H465" s="11"/>
      <c r="I465" s="2"/>
      <c r="J465" s="2"/>
      <c r="K465" s="2"/>
    </row>
    <row r="466" customFormat="false" ht="15" hidden="false" customHeight="false" outlineLevel="0" collapsed="false">
      <c r="A466" s="13"/>
      <c r="B466" s="11"/>
      <c r="C466" s="11"/>
      <c r="D466" s="11"/>
      <c r="E466" s="19"/>
      <c r="F466" s="11"/>
      <c r="G466" s="11"/>
      <c r="H466" s="11"/>
      <c r="I466" s="2"/>
      <c r="J466" s="2"/>
      <c r="K466" s="2"/>
    </row>
    <row r="467" customFormat="false" ht="15" hidden="false" customHeight="false" outlineLevel="0" collapsed="false">
      <c r="A467" s="13"/>
      <c r="B467" s="11"/>
      <c r="C467" s="11"/>
      <c r="D467" s="11"/>
      <c r="E467" s="19"/>
      <c r="F467" s="11"/>
      <c r="G467" s="11"/>
      <c r="H467" s="11"/>
      <c r="I467" s="2"/>
      <c r="J467" s="2"/>
      <c r="K467" s="2"/>
    </row>
    <row r="468" customFormat="false" ht="15" hidden="false" customHeight="false" outlineLevel="0" collapsed="false">
      <c r="A468" s="13"/>
      <c r="B468" s="11"/>
      <c r="C468" s="11"/>
      <c r="D468" s="11"/>
      <c r="E468" s="19"/>
      <c r="F468" s="11"/>
      <c r="G468" s="11"/>
      <c r="H468" s="11"/>
      <c r="I468" s="2"/>
      <c r="J468" s="2"/>
      <c r="K468" s="2"/>
    </row>
    <row r="469" customFormat="false" ht="15" hidden="false" customHeight="false" outlineLevel="0" collapsed="false">
      <c r="A469" s="13"/>
      <c r="B469" s="11"/>
      <c r="C469" s="11"/>
      <c r="D469" s="11"/>
      <c r="E469" s="19"/>
      <c r="F469" s="11"/>
      <c r="G469" s="11"/>
      <c r="H469" s="11"/>
      <c r="I469" s="2"/>
      <c r="J469" s="2"/>
      <c r="K469" s="2"/>
    </row>
    <row r="470" customFormat="false" ht="15" hidden="false" customHeight="false" outlineLevel="0" collapsed="false">
      <c r="A470" s="13"/>
      <c r="B470" s="11"/>
      <c r="C470" s="11"/>
      <c r="D470" s="11"/>
      <c r="E470" s="19"/>
      <c r="F470" s="11"/>
      <c r="G470" s="11"/>
      <c r="H470" s="11"/>
      <c r="I470" s="2"/>
      <c r="J470" s="2"/>
      <c r="K470" s="2"/>
    </row>
    <row r="471" customFormat="false" ht="15" hidden="false" customHeight="false" outlineLevel="0" collapsed="false">
      <c r="A471" s="13"/>
      <c r="B471" s="11"/>
      <c r="C471" s="11"/>
      <c r="D471" s="11"/>
      <c r="E471" s="19"/>
      <c r="F471" s="11"/>
      <c r="G471" s="11"/>
      <c r="H471" s="11"/>
      <c r="I471" s="2"/>
      <c r="J471" s="2"/>
      <c r="K471" s="2"/>
    </row>
    <row r="472" customFormat="false" ht="15" hidden="false" customHeight="false" outlineLevel="0" collapsed="false">
      <c r="A472" s="13"/>
      <c r="B472" s="11"/>
      <c r="C472" s="11"/>
      <c r="D472" s="11"/>
      <c r="E472" s="19"/>
      <c r="F472" s="11"/>
      <c r="G472" s="11"/>
      <c r="H472" s="11"/>
      <c r="I472" s="2"/>
      <c r="J472" s="2"/>
      <c r="K472" s="2"/>
    </row>
    <row r="473" customFormat="false" ht="15" hidden="false" customHeight="false" outlineLevel="0" collapsed="false">
      <c r="A473" s="13"/>
      <c r="B473" s="11"/>
      <c r="C473" s="11"/>
      <c r="D473" s="11"/>
      <c r="E473" s="19"/>
      <c r="F473" s="11"/>
      <c r="G473" s="11"/>
      <c r="H473" s="11"/>
      <c r="I473" s="2"/>
      <c r="J473" s="2"/>
      <c r="K473" s="2"/>
    </row>
    <row r="474" customFormat="false" ht="15" hidden="false" customHeight="false" outlineLevel="0" collapsed="false">
      <c r="A474" s="13"/>
      <c r="B474" s="11"/>
      <c r="C474" s="11"/>
      <c r="D474" s="11"/>
      <c r="E474" s="19"/>
      <c r="F474" s="11"/>
      <c r="G474" s="11"/>
      <c r="H474" s="11"/>
      <c r="I474" s="2"/>
      <c r="J474" s="2"/>
      <c r="K474" s="2"/>
    </row>
    <row r="475" customFormat="false" ht="15" hidden="false" customHeight="false" outlineLevel="0" collapsed="false">
      <c r="A475" s="13"/>
      <c r="B475" s="11"/>
      <c r="C475" s="11"/>
      <c r="D475" s="11"/>
      <c r="E475" s="19"/>
      <c r="F475" s="11"/>
      <c r="G475" s="11"/>
      <c r="H475" s="11"/>
      <c r="I475" s="2"/>
      <c r="J475" s="2"/>
      <c r="K475" s="2"/>
    </row>
    <row r="476" customFormat="false" ht="15" hidden="false" customHeight="false" outlineLevel="0" collapsed="false">
      <c r="A476" s="13"/>
      <c r="B476" s="11"/>
      <c r="C476" s="11"/>
      <c r="D476" s="11"/>
      <c r="E476" s="19"/>
      <c r="F476" s="11"/>
      <c r="G476" s="11"/>
      <c r="H476" s="11"/>
      <c r="I476" s="2"/>
      <c r="J476" s="2"/>
      <c r="K476" s="2"/>
    </row>
    <row r="477" customFormat="false" ht="15" hidden="false" customHeight="false" outlineLevel="0" collapsed="false">
      <c r="A477" s="13"/>
      <c r="B477" s="11"/>
      <c r="C477" s="11"/>
      <c r="D477" s="11"/>
      <c r="E477" s="19"/>
      <c r="F477" s="11"/>
      <c r="G477" s="11"/>
      <c r="H477" s="11"/>
      <c r="I477" s="2"/>
      <c r="J477" s="2"/>
      <c r="K477" s="2"/>
    </row>
    <row r="478" customFormat="false" ht="15" hidden="false" customHeight="false" outlineLevel="0" collapsed="false">
      <c r="A478" s="13"/>
      <c r="B478" s="11"/>
      <c r="C478" s="11"/>
      <c r="D478" s="11"/>
      <c r="E478" s="19"/>
      <c r="F478" s="11"/>
      <c r="G478" s="11"/>
      <c r="H478" s="11"/>
      <c r="I478" s="2"/>
      <c r="J478" s="2"/>
      <c r="K478" s="2"/>
    </row>
    <row r="479" customFormat="false" ht="15" hidden="false" customHeight="false" outlineLevel="0" collapsed="false">
      <c r="A479" s="13"/>
      <c r="B479" s="11"/>
      <c r="C479" s="11"/>
      <c r="D479" s="11"/>
      <c r="E479" s="19"/>
      <c r="F479" s="11"/>
      <c r="G479" s="11"/>
      <c r="H479" s="11"/>
      <c r="I479" s="2"/>
      <c r="J479" s="2"/>
      <c r="K479" s="2"/>
    </row>
    <row r="480" customFormat="false" ht="15" hidden="false" customHeight="false" outlineLevel="0" collapsed="false">
      <c r="A480" s="13"/>
      <c r="B480" s="11"/>
      <c r="C480" s="11"/>
      <c r="D480" s="11"/>
      <c r="E480" s="19"/>
      <c r="F480" s="11"/>
      <c r="G480" s="11"/>
      <c r="H480" s="11"/>
      <c r="I480" s="2"/>
      <c r="J480" s="2"/>
      <c r="K480" s="2"/>
    </row>
    <row r="481" customFormat="false" ht="15" hidden="false" customHeight="false" outlineLevel="0" collapsed="false">
      <c r="A481" s="13"/>
      <c r="B481" s="11"/>
      <c r="C481" s="11"/>
      <c r="D481" s="11"/>
      <c r="E481" s="19"/>
      <c r="F481" s="11"/>
      <c r="G481" s="11"/>
      <c r="H481" s="11"/>
      <c r="I481" s="2"/>
      <c r="J481" s="2"/>
      <c r="K481" s="2"/>
    </row>
    <row r="482" customFormat="false" ht="15" hidden="false" customHeight="false" outlineLevel="0" collapsed="false">
      <c r="A482" s="13"/>
      <c r="B482" s="11"/>
      <c r="C482" s="11"/>
      <c r="D482" s="11"/>
      <c r="E482" s="19"/>
      <c r="F482" s="11"/>
      <c r="G482" s="11"/>
      <c r="H482" s="11"/>
      <c r="I482" s="2"/>
      <c r="J482" s="2"/>
      <c r="K482" s="2"/>
    </row>
    <row r="483" customFormat="false" ht="15" hidden="false" customHeight="false" outlineLevel="0" collapsed="false">
      <c r="A483" s="13"/>
      <c r="B483" s="11"/>
      <c r="C483" s="11"/>
      <c r="D483" s="11"/>
      <c r="E483" s="19"/>
      <c r="F483" s="11"/>
      <c r="G483" s="11"/>
      <c r="H483" s="11"/>
      <c r="I483" s="2"/>
      <c r="J483" s="2"/>
      <c r="K483" s="2"/>
    </row>
    <row r="484" customFormat="false" ht="15" hidden="false" customHeight="false" outlineLevel="0" collapsed="false">
      <c r="A484" s="13"/>
      <c r="B484" s="11"/>
      <c r="C484" s="11"/>
      <c r="D484" s="11"/>
      <c r="E484" s="19"/>
      <c r="F484" s="11"/>
      <c r="G484" s="11"/>
      <c r="H484" s="11"/>
      <c r="I484" s="2"/>
      <c r="J484" s="2"/>
      <c r="K484" s="2"/>
    </row>
    <row r="485" customFormat="false" ht="15" hidden="false" customHeight="false" outlineLevel="0" collapsed="false">
      <c r="A485" s="13"/>
      <c r="B485" s="11"/>
      <c r="C485" s="11"/>
      <c r="D485" s="11"/>
      <c r="E485" s="19"/>
      <c r="F485" s="11"/>
      <c r="G485" s="11"/>
      <c r="H485" s="11"/>
      <c r="I485" s="2"/>
      <c r="J485" s="2"/>
      <c r="K485" s="2"/>
    </row>
    <row r="486" customFormat="false" ht="15" hidden="false" customHeight="false" outlineLevel="0" collapsed="false">
      <c r="A486" s="13"/>
      <c r="B486" s="11"/>
      <c r="C486" s="11"/>
      <c r="D486" s="11"/>
      <c r="E486" s="19"/>
      <c r="F486" s="11"/>
      <c r="G486" s="11"/>
      <c r="H486" s="11"/>
      <c r="I486" s="2"/>
      <c r="J486" s="2"/>
      <c r="K486" s="2"/>
    </row>
    <row r="487" customFormat="false" ht="15" hidden="false" customHeight="false" outlineLevel="0" collapsed="false">
      <c r="A487" s="13"/>
      <c r="B487" s="11"/>
      <c r="C487" s="11"/>
      <c r="D487" s="11"/>
      <c r="E487" s="19"/>
      <c r="F487" s="11"/>
      <c r="G487" s="11"/>
      <c r="H487" s="11"/>
      <c r="I487" s="2"/>
      <c r="J487" s="2"/>
      <c r="K487" s="2"/>
    </row>
    <row r="488" customFormat="false" ht="15" hidden="false" customHeight="false" outlineLevel="0" collapsed="false">
      <c r="A488" s="13"/>
      <c r="B488" s="11"/>
      <c r="C488" s="11"/>
      <c r="D488" s="11"/>
      <c r="E488" s="19"/>
      <c r="F488" s="11"/>
      <c r="G488" s="11"/>
      <c r="H488" s="11"/>
      <c r="I488" s="2"/>
      <c r="J488" s="2"/>
      <c r="K488" s="2"/>
    </row>
    <row r="489" customFormat="false" ht="15" hidden="false" customHeight="false" outlineLevel="0" collapsed="false">
      <c r="A489" s="13"/>
      <c r="B489" s="11"/>
      <c r="C489" s="11"/>
      <c r="D489" s="11"/>
      <c r="E489" s="19"/>
      <c r="F489" s="11"/>
      <c r="G489" s="11"/>
      <c r="H489" s="11"/>
      <c r="I489" s="2"/>
      <c r="J489" s="2"/>
      <c r="K489" s="2"/>
    </row>
    <row r="490" customFormat="false" ht="15" hidden="false" customHeight="false" outlineLevel="0" collapsed="false">
      <c r="A490" s="13"/>
      <c r="B490" s="11"/>
      <c r="C490" s="11"/>
      <c r="D490" s="11"/>
      <c r="E490" s="19"/>
      <c r="F490" s="11"/>
      <c r="G490" s="11"/>
      <c r="H490" s="11"/>
      <c r="I490" s="2"/>
      <c r="J490" s="2"/>
      <c r="K490" s="2"/>
    </row>
    <row r="491" customFormat="false" ht="15" hidden="false" customHeight="false" outlineLevel="0" collapsed="false">
      <c r="A491" s="13"/>
      <c r="B491" s="11"/>
      <c r="C491" s="11"/>
      <c r="D491" s="11"/>
      <c r="E491" s="19"/>
      <c r="F491" s="11"/>
      <c r="G491" s="11"/>
      <c r="H491" s="11"/>
      <c r="I491" s="2"/>
      <c r="J491" s="2"/>
      <c r="K491" s="2"/>
    </row>
    <row r="492" customFormat="false" ht="15" hidden="false" customHeight="false" outlineLevel="0" collapsed="false">
      <c r="A492" s="13"/>
      <c r="B492" s="11"/>
      <c r="C492" s="11"/>
      <c r="D492" s="11"/>
      <c r="E492" s="19"/>
      <c r="F492" s="11"/>
      <c r="G492" s="11"/>
      <c r="H492" s="11"/>
      <c r="I492" s="2"/>
      <c r="J492" s="2"/>
      <c r="K492" s="2"/>
    </row>
    <row r="493" customFormat="false" ht="15" hidden="false" customHeight="false" outlineLevel="0" collapsed="false">
      <c r="A493" s="13"/>
      <c r="B493" s="11"/>
      <c r="C493" s="11"/>
      <c r="D493" s="11"/>
      <c r="E493" s="19"/>
      <c r="F493" s="11"/>
      <c r="G493" s="11"/>
      <c r="H493" s="11"/>
      <c r="I493" s="2"/>
      <c r="J493" s="2"/>
      <c r="K493" s="2"/>
    </row>
    <row r="494" customFormat="false" ht="15" hidden="false" customHeight="false" outlineLevel="0" collapsed="false">
      <c r="A494" s="13"/>
      <c r="B494" s="11"/>
      <c r="C494" s="11"/>
      <c r="D494" s="11"/>
      <c r="E494" s="19"/>
      <c r="F494" s="11"/>
      <c r="G494" s="11"/>
      <c r="H494" s="11"/>
      <c r="I494" s="2"/>
      <c r="J494" s="2"/>
      <c r="K494" s="2"/>
    </row>
    <row r="495" customFormat="false" ht="15" hidden="false" customHeight="false" outlineLevel="0" collapsed="false">
      <c r="A495" s="13"/>
      <c r="B495" s="11"/>
      <c r="C495" s="11"/>
      <c r="D495" s="11"/>
      <c r="E495" s="19"/>
      <c r="F495" s="11"/>
      <c r="G495" s="11"/>
      <c r="H495" s="11"/>
      <c r="I495" s="2"/>
      <c r="J495" s="2"/>
      <c r="K495" s="2"/>
    </row>
    <row r="496" customFormat="false" ht="15" hidden="false" customHeight="false" outlineLevel="0" collapsed="false">
      <c r="A496" s="13"/>
      <c r="B496" s="11"/>
      <c r="C496" s="11"/>
      <c r="D496" s="11"/>
      <c r="E496" s="19"/>
      <c r="F496" s="11"/>
      <c r="G496" s="11"/>
      <c r="H496" s="11"/>
      <c r="I496" s="2"/>
      <c r="J496" s="2"/>
      <c r="K496" s="2"/>
    </row>
    <row r="497" customFormat="false" ht="15" hidden="false" customHeight="false" outlineLevel="0" collapsed="false">
      <c r="A497" s="13"/>
      <c r="B497" s="11"/>
      <c r="C497" s="11"/>
      <c r="D497" s="11"/>
      <c r="E497" s="19"/>
      <c r="F497" s="11"/>
      <c r="G497" s="11"/>
      <c r="H497" s="11"/>
      <c r="I497" s="2"/>
      <c r="J497" s="2"/>
      <c r="K497" s="2"/>
    </row>
    <row r="498" customFormat="false" ht="15" hidden="false" customHeight="false" outlineLevel="0" collapsed="false">
      <c r="A498" s="13"/>
      <c r="B498" s="11"/>
      <c r="C498" s="11"/>
      <c r="D498" s="11"/>
      <c r="E498" s="19"/>
      <c r="F498" s="11"/>
      <c r="G498" s="11"/>
      <c r="H498" s="11"/>
      <c r="I498" s="2"/>
      <c r="J498" s="2"/>
      <c r="K498" s="2"/>
    </row>
    <row r="499" customFormat="false" ht="15" hidden="false" customHeight="false" outlineLevel="0" collapsed="false">
      <c r="A499" s="13"/>
      <c r="B499" s="11"/>
      <c r="C499" s="11"/>
      <c r="D499" s="11"/>
      <c r="E499" s="19"/>
      <c r="F499" s="11"/>
      <c r="G499" s="11"/>
      <c r="H499" s="11"/>
      <c r="I499" s="2"/>
      <c r="J499" s="2"/>
      <c r="K499" s="2"/>
    </row>
    <row r="500" customFormat="false" ht="15" hidden="false" customHeight="false" outlineLevel="0" collapsed="false">
      <c r="A500" s="13"/>
      <c r="B500" s="11"/>
      <c r="C500" s="11"/>
      <c r="D500" s="11"/>
      <c r="E500" s="19"/>
      <c r="F500" s="11"/>
      <c r="G500" s="11"/>
      <c r="H500" s="11"/>
      <c r="I500" s="2"/>
      <c r="J500" s="2"/>
      <c r="K500" s="2"/>
    </row>
    <row r="501" customFormat="false" ht="15" hidden="false" customHeight="false" outlineLevel="0" collapsed="false">
      <c r="A501" s="13"/>
      <c r="B501" s="11"/>
      <c r="C501" s="11"/>
      <c r="D501" s="11"/>
      <c r="E501" s="19"/>
      <c r="F501" s="11"/>
      <c r="G501" s="11"/>
      <c r="H501" s="11"/>
      <c r="I501" s="2"/>
      <c r="J501" s="2"/>
      <c r="K501" s="2"/>
    </row>
    <row r="502" customFormat="false" ht="15" hidden="false" customHeight="false" outlineLevel="0" collapsed="false">
      <c r="A502" s="13"/>
      <c r="B502" s="11"/>
      <c r="C502" s="11"/>
      <c r="D502" s="11"/>
      <c r="E502" s="19"/>
      <c r="F502" s="11"/>
      <c r="G502" s="11"/>
      <c r="H502" s="11"/>
      <c r="I502" s="2"/>
      <c r="J502" s="2"/>
      <c r="K502" s="2"/>
    </row>
    <row r="503" customFormat="false" ht="15" hidden="false" customHeight="false" outlineLevel="0" collapsed="false">
      <c r="A503" s="13"/>
      <c r="B503" s="11"/>
      <c r="C503" s="11"/>
      <c r="D503" s="11"/>
      <c r="E503" s="19"/>
      <c r="F503" s="11"/>
      <c r="G503" s="11"/>
      <c r="H503" s="11"/>
      <c r="I503" s="2"/>
      <c r="J503" s="2"/>
      <c r="K503" s="2"/>
    </row>
    <row r="504" customFormat="false" ht="15" hidden="false" customHeight="false" outlineLevel="0" collapsed="false">
      <c r="A504" s="13"/>
      <c r="B504" s="11"/>
      <c r="C504" s="11"/>
      <c r="D504" s="11"/>
      <c r="E504" s="19"/>
      <c r="F504" s="11"/>
      <c r="G504" s="11"/>
      <c r="H504" s="11"/>
      <c r="I504" s="2"/>
      <c r="J504" s="2"/>
      <c r="K50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5" min="14" style="0" width="11"/>
    <col collapsed="false" customWidth="true" hidden="false" outlineLevel="0" max="16" min="16" style="0" width="24"/>
  </cols>
  <sheetData>
    <row r="1" customFormat="false" ht="17.35" hidden="false" customHeight="false" outlineLevel="0" collapsed="false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31.5" hidden="false" customHeight="true" outlineLevel="0" collapsed="false">
      <c r="A4" s="6" t="s">
        <v>307</v>
      </c>
      <c r="B4" s="6" t="s">
        <v>225</v>
      </c>
      <c r="C4" s="6" t="s">
        <v>191</v>
      </c>
      <c r="D4" s="6" t="s">
        <v>308</v>
      </c>
      <c r="E4" s="6" t="s">
        <v>309</v>
      </c>
      <c r="F4" s="6" t="s">
        <v>310</v>
      </c>
      <c r="G4" s="6" t="s">
        <v>311</v>
      </c>
      <c r="H4" s="6" t="s">
        <v>312</v>
      </c>
      <c r="I4" s="6" t="s">
        <v>313</v>
      </c>
      <c r="J4" s="6" t="s">
        <v>314</v>
      </c>
      <c r="K4" s="6" t="s">
        <v>315</v>
      </c>
      <c r="L4" s="6" t="s">
        <v>316</v>
      </c>
      <c r="M4" s="6" t="s">
        <v>317</v>
      </c>
      <c r="N4" s="6" t="s">
        <v>318</v>
      </c>
      <c r="O4" s="6" t="s">
        <v>319</v>
      </c>
      <c r="P4" s="6" t="s">
        <v>148</v>
      </c>
    </row>
    <row r="5" customFormat="false" ht="15" hidden="false" customHeight="false" outlineLevel="0" collapsed="false">
      <c r="A5" s="11" t="s">
        <v>320</v>
      </c>
      <c r="B5" s="11" t="s">
        <v>177</v>
      </c>
      <c r="C5" s="17" t="str">
        <f aca="false">IF(B5="","",IFERROR(INDEX(Cadastro!$B$5:$B$304,MATCH(B5,Cadastro!$A$5:$A$304,0)),"ID não encontrado"))</f>
        <v>Gráfica Baixada EPP</v>
      </c>
      <c r="D5" s="11" t="s">
        <v>246</v>
      </c>
      <c r="E5" s="11" t="s">
        <v>321</v>
      </c>
      <c r="F5" s="13" t="n">
        <v>46351</v>
      </c>
      <c r="G5" s="14" t="n">
        <f aca="false">IF(F5="","",WORKDAY(F5,5))</f>
        <v>46358</v>
      </c>
      <c r="H5" s="11" t="s">
        <v>64</v>
      </c>
      <c r="I5" s="11" t="s">
        <v>322</v>
      </c>
      <c r="J5" s="13" t="n">
        <v>46365</v>
      </c>
      <c r="K5" s="11" t="s">
        <v>72</v>
      </c>
      <c r="L5" s="11"/>
      <c r="M5" s="11" t="s">
        <v>322</v>
      </c>
      <c r="N5" s="13"/>
      <c r="O5" s="13"/>
      <c r="P5" s="11" t="s">
        <v>156</v>
      </c>
    </row>
    <row r="6" customFormat="false" ht="15" hidden="false" customHeight="false" outlineLevel="0" collapsed="false">
      <c r="A6" s="11"/>
      <c r="B6" s="11"/>
      <c r="C6" s="17" t="str">
        <f aca="false">IF(B6="","",IFERROR(INDEX(Cadastro!$B$5:$B$304,MATCH(B6,Cadastro!$A$5:$A$304,0)),"ID não encontrado"))</f>
        <v/>
      </c>
      <c r="D6" s="11"/>
      <c r="E6" s="11"/>
      <c r="F6" s="13"/>
      <c r="G6" s="14" t="str">
        <f aca="false">IF(F6="","",WORKDAY(F6,5))</f>
        <v/>
      </c>
      <c r="H6" s="11"/>
      <c r="I6" s="11"/>
      <c r="J6" s="13"/>
      <c r="K6" s="11"/>
      <c r="L6" s="11"/>
      <c r="M6" s="11"/>
      <c r="N6" s="13"/>
      <c r="O6" s="13"/>
      <c r="P6" s="11"/>
    </row>
    <row r="7" customFormat="false" ht="15" hidden="false" customHeight="false" outlineLevel="0" collapsed="false">
      <c r="A7" s="11"/>
      <c r="B7" s="11"/>
      <c r="C7" s="17" t="str">
        <f aca="false">IF(B7="","",IFERROR(INDEX(Cadastro!$B$5:$B$304,MATCH(B7,Cadastro!$A$5:$A$304,0)),"ID não encontrado"))</f>
        <v/>
      </c>
      <c r="D7" s="11"/>
      <c r="E7" s="11"/>
      <c r="F7" s="13"/>
      <c r="G7" s="14" t="str">
        <f aca="false">IF(F7="","",WORKDAY(F7,5))</f>
        <v/>
      </c>
      <c r="H7" s="11"/>
      <c r="I7" s="11"/>
      <c r="J7" s="13"/>
      <c r="K7" s="11"/>
      <c r="L7" s="11"/>
      <c r="M7" s="11"/>
      <c r="N7" s="13"/>
      <c r="O7" s="13"/>
      <c r="P7" s="11"/>
    </row>
    <row r="8" customFormat="false" ht="15" hidden="false" customHeight="false" outlineLevel="0" collapsed="false">
      <c r="A8" s="11"/>
      <c r="B8" s="11"/>
      <c r="C8" s="17" t="str">
        <f aca="false">IF(B8="","",IFERROR(INDEX(Cadastro!$B$5:$B$304,MATCH(B8,Cadastro!$A$5:$A$304,0)),"ID não encontrado"))</f>
        <v/>
      </c>
      <c r="D8" s="11"/>
      <c r="E8" s="11"/>
      <c r="F8" s="13"/>
      <c r="G8" s="14" t="str">
        <f aca="false">IF(F8="","",WORKDAY(F8,5))</f>
        <v/>
      </c>
      <c r="H8" s="11"/>
      <c r="I8" s="11"/>
      <c r="J8" s="13"/>
      <c r="K8" s="11"/>
      <c r="L8" s="11"/>
      <c r="M8" s="11"/>
      <c r="N8" s="13"/>
      <c r="O8" s="13"/>
      <c r="P8" s="11"/>
    </row>
    <row r="9" customFormat="false" ht="15" hidden="false" customHeight="false" outlineLevel="0" collapsed="false">
      <c r="A9" s="11"/>
      <c r="B9" s="11"/>
      <c r="C9" s="17" t="str">
        <f aca="false">IF(B9="","",IFERROR(INDEX(Cadastro!$B$5:$B$304,MATCH(B9,Cadastro!$A$5:$A$304,0)),"ID não encontrado"))</f>
        <v/>
      </c>
      <c r="D9" s="11"/>
      <c r="E9" s="11"/>
      <c r="F9" s="13"/>
      <c r="G9" s="14" t="str">
        <f aca="false">IF(F9="","",WORKDAY(F9,5))</f>
        <v/>
      </c>
      <c r="H9" s="11"/>
      <c r="I9" s="11"/>
      <c r="J9" s="13"/>
      <c r="K9" s="11"/>
      <c r="L9" s="11"/>
      <c r="M9" s="11"/>
      <c r="N9" s="13"/>
      <c r="O9" s="13"/>
      <c r="P9" s="11"/>
    </row>
    <row r="10" customFormat="false" ht="15" hidden="false" customHeight="false" outlineLevel="0" collapsed="false">
      <c r="A10" s="11"/>
      <c r="B10" s="11"/>
      <c r="C10" s="17" t="str">
        <f aca="false">IF(B10="","",IFERROR(INDEX(Cadastro!$B$5:$B$304,MATCH(B10,Cadastro!$A$5:$A$304,0)),"ID não encontrado"))</f>
        <v/>
      </c>
      <c r="D10" s="11"/>
      <c r="E10" s="11"/>
      <c r="F10" s="13"/>
      <c r="G10" s="14" t="str">
        <f aca="false">IF(F10="","",WORKDAY(F10,5))</f>
        <v/>
      </c>
      <c r="H10" s="11"/>
      <c r="I10" s="11"/>
      <c r="J10" s="13"/>
      <c r="K10" s="11"/>
      <c r="L10" s="11"/>
      <c r="M10" s="11"/>
      <c r="N10" s="13"/>
      <c r="O10" s="13"/>
      <c r="P10" s="11"/>
    </row>
    <row r="11" customFormat="false" ht="15" hidden="false" customHeight="false" outlineLevel="0" collapsed="false">
      <c r="A11" s="11"/>
      <c r="B11" s="11"/>
      <c r="C11" s="17" t="str">
        <f aca="false">IF(B11="","",IFERROR(INDEX(Cadastro!$B$5:$B$304,MATCH(B11,Cadastro!$A$5:$A$304,0)),"ID não encontrado"))</f>
        <v/>
      </c>
      <c r="D11" s="11"/>
      <c r="E11" s="11"/>
      <c r="F11" s="13"/>
      <c r="G11" s="14" t="str">
        <f aca="false">IF(F11="","",WORKDAY(F11,5))</f>
        <v/>
      </c>
      <c r="H11" s="11"/>
      <c r="I11" s="11"/>
      <c r="J11" s="13"/>
      <c r="K11" s="11"/>
      <c r="L11" s="11"/>
      <c r="M11" s="11"/>
      <c r="N11" s="13"/>
      <c r="O11" s="13"/>
      <c r="P11" s="11"/>
    </row>
    <row r="12" customFormat="false" ht="15" hidden="false" customHeight="false" outlineLevel="0" collapsed="false">
      <c r="A12" s="11"/>
      <c r="B12" s="11"/>
      <c r="C12" s="17" t="str">
        <f aca="false">IF(B12="","",IFERROR(INDEX(Cadastro!$B$5:$B$304,MATCH(B12,Cadastro!$A$5:$A$304,0)),"ID não encontrado"))</f>
        <v/>
      </c>
      <c r="D12" s="11"/>
      <c r="E12" s="11"/>
      <c r="F12" s="13"/>
      <c r="G12" s="14" t="str">
        <f aca="false">IF(F12="","",WORKDAY(F12,5))</f>
        <v/>
      </c>
      <c r="H12" s="11"/>
      <c r="I12" s="11"/>
      <c r="J12" s="13"/>
      <c r="K12" s="11"/>
      <c r="L12" s="11"/>
      <c r="M12" s="11"/>
      <c r="N12" s="13"/>
      <c r="O12" s="13"/>
      <c r="P12" s="11"/>
    </row>
    <row r="13" customFormat="false" ht="15" hidden="false" customHeight="false" outlineLevel="0" collapsed="false">
      <c r="A13" s="11"/>
      <c r="B13" s="11"/>
      <c r="C13" s="17" t="str">
        <f aca="false">IF(B13="","",IFERROR(INDEX(Cadastro!$B$5:$B$304,MATCH(B13,Cadastro!$A$5:$A$304,0)),"ID não encontrado"))</f>
        <v/>
      </c>
      <c r="D13" s="11"/>
      <c r="E13" s="11"/>
      <c r="F13" s="13"/>
      <c r="G13" s="14" t="str">
        <f aca="false">IF(F13="","",WORKDAY(F13,5))</f>
        <v/>
      </c>
      <c r="H13" s="11"/>
      <c r="I13" s="11"/>
      <c r="J13" s="13"/>
      <c r="K13" s="11"/>
      <c r="L13" s="11"/>
      <c r="M13" s="11"/>
      <c r="N13" s="13"/>
      <c r="O13" s="13"/>
      <c r="P13" s="11"/>
    </row>
    <row r="14" customFormat="false" ht="15" hidden="false" customHeight="false" outlineLevel="0" collapsed="false">
      <c r="A14" s="11"/>
      <c r="B14" s="11"/>
      <c r="C14" s="17" t="str">
        <f aca="false">IF(B14="","",IFERROR(INDEX(Cadastro!$B$5:$B$304,MATCH(B14,Cadastro!$A$5:$A$304,0)),"ID não encontrado"))</f>
        <v/>
      </c>
      <c r="D14" s="11"/>
      <c r="E14" s="11"/>
      <c r="F14" s="13"/>
      <c r="G14" s="14" t="str">
        <f aca="false">IF(F14="","",WORKDAY(F14,5))</f>
        <v/>
      </c>
      <c r="H14" s="11"/>
      <c r="I14" s="11"/>
      <c r="J14" s="13"/>
      <c r="K14" s="11"/>
      <c r="L14" s="11"/>
      <c r="M14" s="11"/>
      <c r="N14" s="13"/>
      <c r="O14" s="13"/>
      <c r="P14" s="11"/>
    </row>
    <row r="15" customFormat="false" ht="15" hidden="false" customHeight="false" outlineLevel="0" collapsed="false">
      <c r="A15" s="11"/>
      <c r="B15" s="11"/>
      <c r="C15" s="17" t="str">
        <f aca="false">IF(B15="","",IFERROR(INDEX(Cadastro!$B$5:$B$304,MATCH(B15,Cadastro!$A$5:$A$304,0)),"ID não encontrado"))</f>
        <v/>
      </c>
      <c r="D15" s="11"/>
      <c r="E15" s="11"/>
      <c r="F15" s="13"/>
      <c r="G15" s="14" t="str">
        <f aca="false">IF(F15="","",WORKDAY(F15,5))</f>
        <v/>
      </c>
      <c r="H15" s="11"/>
      <c r="I15" s="11"/>
      <c r="J15" s="13"/>
      <c r="K15" s="11"/>
      <c r="L15" s="11"/>
      <c r="M15" s="11"/>
      <c r="N15" s="13"/>
      <c r="O15" s="13"/>
      <c r="P15" s="11"/>
    </row>
    <row r="16" customFormat="false" ht="15" hidden="false" customHeight="false" outlineLevel="0" collapsed="false">
      <c r="A16" s="11"/>
      <c r="B16" s="11"/>
      <c r="C16" s="17" t="str">
        <f aca="false">IF(B16="","",IFERROR(INDEX(Cadastro!$B$5:$B$304,MATCH(B16,Cadastro!$A$5:$A$304,0)),"ID não encontrado"))</f>
        <v/>
      </c>
      <c r="D16" s="11"/>
      <c r="E16" s="11"/>
      <c r="F16" s="13"/>
      <c r="G16" s="14" t="str">
        <f aca="false">IF(F16="","",WORKDAY(F16,5))</f>
        <v/>
      </c>
      <c r="H16" s="11"/>
      <c r="I16" s="11"/>
      <c r="J16" s="13"/>
      <c r="K16" s="11"/>
      <c r="L16" s="11"/>
      <c r="M16" s="11"/>
      <c r="N16" s="13"/>
      <c r="O16" s="13"/>
      <c r="P16" s="11"/>
    </row>
    <row r="17" customFormat="false" ht="15" hidden="false" customHeight="false" outlineLevel="0" collapsed="false">
      <c r="A17" s="11"/>
      <c r="B17" s="11"/>
      <c r="C17" s="17" t="str">
        <f aca="false">IF(B17="","",IFERROR(INDEX(Cadastro!$B$5:$B$304,MATCH(B17,Cadastro!$A$5:$A$304,0)),"ID não encontrado"))</f>
        <v/>
      </c>
      <c r="D17" s="11"/>
      <c r="E17" s="11"/>
      <c r="F17" s="13"/>
      <c r="G17" s="14" t="str">
        <f aca="false">IF(F17="","",WORKDAY(F17,5))</f>
        <v/>
      </c>
      <c r="H17" s="11"/>
      <c r="I17" s="11"/>
      <c r="J17" s="13"/>
      <c r="K17" s="11"/>
      <c r="L17" s="11"/>
      <c r="M17" s="11"/>
      <c r="N17" s="13"/>
      <c r="O17" s="13"/>
      <c r="P17" s="11"/>
    </row>
    <row r="18" customFormat="false" ht="15" hidden="false" customHeight="false" outlineLevel="0" collapsed="false">
      <c r="A18" s="11"/>
      <c r="B18" s="11"/>
      <c r="C18" s="17" t="str">
        <f aca="false">IF(B18="","",IFERROR(INDEX(Cadastro!$B$5:$B$304,MATCH(B18,Cadastro!$A$5:$A$304,0)),"ID não encontrado"))</f>
        <v/>
      </c>
      <c r="D18" s="11"/>
      <c r="E18" s="11"/>
      <c r="F18" s="13"/>
      <c r="G18" s="14" t="str">
        <f aca="false">IF(F18="","",WORKDAY(F18,5))</f>
        <v/>
      </c>
      <c r="H18" s="11"/>
      <c r="I18" s="11"/>
      <c r="J18" s="13"/>
      <c r="K18" s="11"/>
      <c r="L18" s="11"/>
      <c r="M18" s="11"/>
      <c r="N18" s="13"/>
      <c r="O18" s="13"/>
      <c r="P18" s="11"/>
    </row>
    <row r="19" customFormat="false" ht="15" hidden="false" customHeight="false" outlineLevel="0" collapsed="false">
      <c r="A19" s="11"/>
      <c r="B19" s="11"/>
      <c r="C19" s="17" t="str">
        <f aca="false">IF(B19="","",IFERROR(INDEX(Cadastro!$B$5:$B$304,MATCH(B19,Cadastro!$A$5:$A$304,0)),"ID não encontrado"))</f>
        <v/>
      </c>
      <c r="D19" s="11"/>
      <c r="E19" s="11"/>
      <c r="F19" s="13"/>
      <c r="G19" s="14" t="str">
        <f aca="false">IF(F19="","",WORKDAY(F19,5))</f>
        <v/>
      </c>
      <c r="H19" s="11"/>
      <c r="I19" s="11"/>
      <c r="J19" s="13"/>
      <c r="K19" s="11"/>
      <c r="L19" s="11"/>
      <c r="M19" s="11"/>
      <c r="N19" s="13"/>
      <c r="O19" s="13"/>
      <c r="P19" s="11"/>
    </row>
    <row r="20" customFormat="false" ht="15" hidden="false" customHeight="false" outlineLevel="0" collapsed="false">
      <c r="A20" s="11"/>
      <c r="B20" s="11"/>
      <c r="C20" s="17" t="str">
        <f aca="false">IF(B20="","",IFERROR(INDEX(Cadastro!$B$5:$B$304,MATCH(B20,Cadastro!$A$5:$A$304,0)),"ID não encontrado"))</f>
        <v/>
      </c>
      <c r="D20" s="11"/>
      <c r="E20" s="11"/>
      <c r="F20" s="13"/>
      <c r="G20" s="14" t="str">
        <f aca="false">IF(F20="","",WORKDAY(F20,5))</f>
        <v/>
      </c>
      <c r="H20" s="11"/>
      <c r="I20" s="11"/>
      <c r="J20" s="13"/>
      <c r="K20" s="11"/>
      <c r="L20" s="11"/>
      <c r="M20" s="11"/>
      <c r="N20" s="13"/>
      <c r="O20" s="13"/>
      <c r="P20" s="11"/>
    </row>
    <row r="21" customFormat="false" ht="15" hidden="false" customHeight="false" outlineLevel="0" collapsed="false">
      <c r="A21" s="11"/>
      <c r="B21" s="11"/>
      <c r="C21" s="17" t="str">
        <f aca="false">IF(B21="","",IFERROR(INDEX(Cadastro!$B$5:$B$304,MATCH(B21,Cadastro!$A$5:$A$304,0)),"ID não encontrado"))</f>
        <v/>
      </c>
      <c r="D21" s="11"/>
      <c r="E21" s="11"/>
      <c r="F21" s="13"/>
      <c r="G21" s="14" t="str">
        <f aca="false">IF(F21="","",WORKDAY(F21,5))</f>
        <v/>
      </c>
      <c r="H21" s="11"/>
      <c r="I21" s="11"/>
      <c r="J21" s="13"/>
      <c r="K21" s="11"/>
      <c r="L21" s="11"/>
      <c r="M21" s="11"/>
      <c r="N21" s="13"/>
      <c r="O21" s="13"/>
      <c r="P21" s="11"/>
    </row>
    <row r="22" customFormat="false" ht="15" hidden="false" customHeight="false" outlineLevel="0" collapsed="false">
      <c r="A22" s="11"/>
      <c r="B22" s="11"/>
      <c r="C22" s="17" t="str">
        <f aca="false">IF(B22="","",IFERROR(INDEX(Cadastro!$B$5:$B$304,MATCH(B22,Cadastro!$A$5:$A$304,0)),"ID não encontrado"))</f>
        <v/>
      </c>
      <c r="D22" s="11"/>
      <c r="E22" s="11"/>
      <c r="F22" s="13"/>
      <c r="G22" s="14" t="str">
        <f aca="false">IF(F22="","",WORKDAY(F22,5))</f>
        <v/>
      </c>
      <c r="H22" s="11"/>
      <c r="I22" s="11"/>
      <c r="J22" s="13"/>
      <c r="K22" s="11"/>
      <c r="L22" s="11"/>
      <c r="M22" s="11"/>
      <c r="N22" s="13"/>
      <c r="O22" s="13"/>
      <c r="P22" s="11"/>
    </row>
    <row r="23" customFormat="false" ht="15" hidden="false" customHeight="false" outlineLevel="0" collapsed="false">
      <c r="A23" s="11"/>
      <c r="B23" s="11"/>
      <c r="C23" s="17" t="str">
        <f aca="false">IF(B23="","",IFERROR(INDEX(Cadastro!$B$5:$B$304,MATCH(B23,Cadastro!$A$5:$A$304,0)),"ID não encontrado"))</f>
        <v/>
      </c>
      <c r="D23" s="11"/>
      <c r="E23" s="11"/>
      <c r="F23" s="13"/>
      <c r="G23" s="14" t="str">
        <f aca="false">IF(F23="","",WORKDAY(F23,5))</f>
        <v/>
      </c>
      <c r="H23" s="11"/>
      <c r="I23" s="11"/>
      <c r="J23" s="13"/>
      <c r="K23" s="11"/>
      <c r="L23" s="11"/>
      <c r="M23" s="11"/>
      <c r="N23" s="13"/>
      <c r="O23" s="13"/>
      <c r="P23" s="11"/>
    </row>
    <row r="24" customFormat="false" ht="15" hidden="false" customHeight="false" outlineLevel="0" collapsed="false">
      <c r="A24" s="11"/>
      <c r="B24" s="11"/>
      <c r="C24" s="17" t="str">
        <f aca="false">IF(B24="","",IFERROR(INDEX(Cadastro!$B$5:$B$304,MATCH(B24,Cadastro!$A$5:$A$304,0)),"ID não encontrado"))</f>
        <v/>
      </c>
      <c r="D24" s="11"/>
      <c r="E24" s="11"/>
      <c r="F24" s="13"/>
      <c r="G24" s="14" t="str">
        <f aca="false">IF(F24="","",WORKDAY(F24,5))</f>
        <v/>
      </c>
      <c r="H24" s="11"/>
      <c r="I24" s="11"/>
      <c r="J24" s="13"/>
      <c r="K24" s="11"/>
      <c r="L24" s="11"/>
      <c r="M24" s="11"/>
      <c r="N24" s="13"/>
      <c r="O24" s="13"/>
      <c r="P24" s="11"/>
    </row>
    <row r="25" customFormat="false" ht="15" hidden="false" customHeight="false" outlineLevel="0" collapsed="false">
      <c r="A25" s="11"/>
      <c r="B25" s="11"/>
      <c r="C25" s="17" t="str">
        <f aca="false">IF(B25="","",IFERROR(INDEX(Cadastro!$B$5:$B$304,MATCH(B25,Cadastro!$A$5:$A$304,0)),"ID não encontrado"))</f>
        <v/>
      </c>
      <c r="D25" s="11"/>
      <c r="E25" s="11"/>
      <c r="F25" s="13"/>
      <c r="G25" s="14" t="str">
        <f aca="false">IF(F25="","",WORKDAY(F25,5))</f>
        <v/>
      </c>
      <c r="H25" s="11"/>
      <c r="I25" s="11"/>
      <c r="J25" s="13"/>
      <c r="K25" s="11"/>
      <c r="L25" s="11"/>
      <c r="M25" s="11"/>
      <c r="N25" s="13"/>
      <c r="O25" s="13"/>
      <c r="P25" s="11"/>
    </row>
    <row r="26" customFormat="false" ht="15" hidden="false" customHeight="false" outlineLevel="0" collapsed="false">
      <c r="A26" s="11"/>
      <c r="B26" s="11"/>
      <c r="C26" s="17" t="str">
        <f aca="false">IF(B26="","",IFERROR(INDEX(Cadastro!$B$5:$B$304,MATCH(B26,Cadastro!$A$5:$A$304,0)),"ID não encontrado"))</f>
        <v/>
      </c>
      <c r="D26" s="11"/>
      <c r="E26" s="11"/>
      <c r="F26" s="13"/>
      <c r="G26" s="14" t="str">
        <f aca="false">IF(F26="","",WORKDAY(F26,5))</f>
        <v/>
      </c>
      <c r="H26" s="11"/>
      <c r="I26" s="11"/>
      <c r="J26" s="13"/>
      <c r="K26" s="11"/>
      <c r="L26" s="11"/>
      <c r="M26" s="11"/>
      <c r="N26" s="13"/>
      <c r="O26" s="13"/>
      <c r="P26" s="11"/>
    </row>
    <row r="27" customFormat="false" ht="15" hidden="false" customHeight="false" outlineLevel="0" collapsed="false">
      <c r="A27" s="11"/>
      <c r="B27" s="11"/>
      <c r="C27" s="17" t="str">
        <f aca="false">IF(B27="","",IFERROR(INDEX(Cadastro!$B$5:$B$304,MATCH(B27,Cadastro!$A$5:$A$304,0)),"ID não encontrado"))</f>
        <v/>
      </c>
      <c r="D27" s="11"/>
      <c r="E27" s="11"/>
      <c r="F27" s="13"/>
      <c r="G27" s="14" t="str">
        <f aca="false">IF(F27="","",WORKDAY(F27,5))</f>
        <v/>
      </c>
      <c r="H27" s="11"/>
      <c r="I27" s="11"/>
      <c r="J27" s="13"/>
      <c r="K27" s="11"/>
      <c r="L27" s="11"/>
      <c r="M27" s="11"/>
      <c r="N27" s="13"/>
      <c r="O27" s="13"/>
      <c r="P27" s="11"/>
    </row>
    <row r="28" customFormat="false" ht="15" hidden="false" customHeight="false" outlineLevel="0" collapsed="false">
      <c r="A28" s="11"/>
      <c r="B28" s="11"/>
      <c r="C28" s="17" t="str">
        <f aca="false">IF(B28="","",IFERROR(INDEX(Cadastro!$B$5:$B$304,MATCH(B28,Cadastro!$A$5:$A$304,0)),"ID não encontrado"))</f>
        <v/>
      </c>
      <c r="D28" s="11"/>
      <c r="E28" s="11"/>
      <c r="F28" s="13"/>
      <c r="G28" s="14" t="str">
        <f aca="false">IF(F28="","",WORKDAY(F28,5))</f>
        <v/>
      </c>
      <c r="H28" s="11"/>
      <c r="I28" s="11"/>
      <c r="J28" s="13"/>
      <c r="K28" s="11"/>
      <c r="L28" s="11"/>
      <c r="M28" s="11"/>
      <c r="N28" s="13"/>
      <c r="O28" s="13"/>
      <c r="P28" s="11"/>
    </row>
    <row r="29" customFormat="false" ht="15" hidden="false" customHeight="false" outlineLevel="0" collapsed="false">
      <c r="A29" s="11"/>
      <c r="B29" s="11"/>
      <c r="C29" s="17" t="str">
        <f aca="false">IF(B29="","",IFERROR(INDEX(Cadastro!$B$5:$B$304,MATCH(B29,Cadastro!$A$5:$A$304,0)),"ID não encontrado"))</f>
        <v/>
      </c>
      <c r="D29" s="11"/>
      <c r="E29" s="11"/>
      <c r="F29" s="13"/>
      <c r="G29" s="14" t="str">
        <f aca="false">IF(F29="","",WORKDAY(F29,5))</f>
        <v/>
      </c>
      <c r="H29" s="11"/>
      <c r="I29" s="11"/>
      <c r="J29" s="13"/>
      <c r="K29" s="11"/>
      <c r="L29" s="11"/>
      <c r="M29" s="11"/>
      <c r="N29" s="13"/>
      <c r="O29" s="13"/>
      <c r="P29" s="11"/>
    </row>
    <row r="30" customFormat="false" ht="15" hidden="false" customHeight="false" outlineLevel="0" collapsed="false">
      <c r="A30" s="11"/>
      <c r="B30" s="11"/>
      <c r="C30" s="17" t="str">
        <f aca="false">IF(B30="","",IFERROR(INDEX(Cadastro!$B$5:$B$304,MATCH(B30,Cadastro!$A$5:$A$304,0)),"ID não encontrado"))</f>
        <v/>
      </c>
      <c r="D30" s="11"/>
      <c r="E30" s="11"/>
      <c r="F30" s="13"/>
      <c r="G30" s="14" t="str">
        <f aca="false">IF(F30="","",WORKDAY(F30,5))</f>
        <v/>
      </c>
      <c r="H30" s="11"/>
      <c r="I30" s="11"/>
      <c r="J30" s="13"/>
      <c r="K30" s="11"/>
      <c r="L30" s="11"/>
      <c r="M30" s="11"/>
      <c r="N30" s="13"/>
      <c r="O30" s="13"/>
      <c r="P30" s="11"/>
    </row>
    <row r="31" customFormat="false" ht="15" hidden="false" customHeight="false" outlineLevel="0" collapsed="false">
      <c r="A31" s="11"/>
      <c r="B31" s="11"/>
      <c r="C31" s="17" t="str">
        <f aca="false">IF(B31="","",IFERROR(INDEX(Cadastro!$B$5:$B$304,MATCH(B31,Cadastro!$A$5:$A$304,0)),"ID não encontrado"))</f>
        <v/>
      </c>
      <c r="D31" s="11"/>
      <c r="E31" s="11"/>
      <c r="F31" s="13"/>
      <c r="G31" s="14" t="str">
        <f aca="false">IF(F31="","",WORKDAY(F31,5))</f>
        <v/>
      </c>
      <c r="H31" s="11"/>
      <c r="I31" s="11"/>
      <c r="J31" s="13"/>
      <c r="K31" s="11"/>
      <c r="L31" s="11"/>
      <c r="M31" s="11"/>
      <c r="N31" s="13"/>
      <c r="O31" s="13"/>
      <c r="P31" s="11"/>
    </row>
    <row r="32" customFormat="false" ht="15" hidden="false" customHeight="false" outlineLevel="0" collapsed="false">
      <c r="A32" s="11"/>
      <c r="B32" s="11"/>
      <c r="C32" s="17" t="str">
        <f aca="false">IF(B32="","",IFERROR(INDEX(Cadastro!$B$5:$B$304,MATCH(B32,Cadastro!$A$5:$A$304,0)),"ID não encontrado"))</f>
        <v/>
      </c>
      <c r="D32" s="11"/>
      <c r="E32" s="11"/>
      <c r="F32" s="13"/>
      <c r="G32" s="14" t="str">
        <f aca="false">IF(F32="","",WORKDAY(F32,5))</f>
        <v/>
      </c>
      <c r="H32" s="11"/>
      <c r="I32" s="11"/>
      <c r="J32" s="13"/>
      <c r="K32" s="11"/>
      <c r="L32" s="11"/>
      <c r="M32" s="11"/>
      <c r="N32" s="13"/>
      <c r="O32" s="13"/>
      <c r="P32" s="11"/>
    </row>
    <row r="33" customFormat="false" ht="15" hidden="false" customHeight="false" outlineLevel="0" collapsed="false">
      <c r="A33" s="11"/>
      <c r="B33" s="11"/>
      <c r="C33" s="17" t="str">
        <f aca="false">IF(B33="","",IFERROR(INDEX(Cadastro!$B$5:$B$304,MATCH(B33,Cadastro!$A$5:$A$304,0)),"ID não encontrado"))</f>
        <v/>
      </c>
      <c r="D33" s="11"/>
      <c r="E33" s="11"/>
      <c r="F33" s="13"/>
      <c r="G33" s="14" t="str">
        <f aca="false">IF(F33="","",WORKDAY(F33,5))</f>
        <v/>
      </c>
      <c r="H33" s="11"/>
      <c r="I33" s="11"/>
      <c r="J33" s="13"/>
      <c r="K33" s="11"/>
      <c r="L33" s="11"/>
      <c r="M33" s="11"/>
      <c r="N33" s="13"/>
      <c r="O33" s="13"/>
      <c r="P33" s="11"/>
    </row>
    <row r="34" customFormat="false" ht="15" hidden="false" customHeight="false" outlineLevel="0" collapsed="false">
      <c r="A34" s="11"/>
      <c r="B34" s="11"/>
      <c r="C34" s="17" t="str">
        <f aca="false">IF(B34="","",IFERROR(INDEX(Cadastro!$B$5:$B$304,MATCH(B34,Cadastro!$A$5:$A$304,0)),"ID não encontrado"))</f>
        <v/>
      </c>
      <c r="D34" s="11"/>
      <c r="E34" s="11"/>
      <c r="F34" s="13"/>
      <c r="G34" s="14" t="str">
        <f aca="false">IF(F34="","",WORKDAY(F34,5))</f>
        <v/>
      </c>
      <c r="H34" s="11"/>
      <c r="I34" s="11"/>
      <c r="J34" s="13"/>
      <c r="K34" s="11"/>
      <c r="L34" s="11"/>
      <c r="M34" s="11"/>
      <c r="N34" s="13"/>
      <c r="O34" s="13"/>
      <c r="P34" s="11"/>
    </row>
    <row r="35" customFormat="false" ht="15" hidden="false" customHeight="false" outlineLevel="0" collapsed="false">
      <c r="A35" s="11"/>
      <c r="B35" s="11"/>
      <c r="C35" s="17" t="str">
        <f aca="false">IF(B35="","",IFERROR(INDEX(Cadastro!$B$5:$B$304,MATCH(B35,Cadastro!$A$5:$A$304,0)),"ID não encontrado"))</f>
        <v/>
      </c>
      <c r="D35" s="11"/>
      <c r="E35" s="11"/>
      <c r="F35" s="13"/>
      <c r="G35" s="14" t="str">
        <f aca="false">IF(F35="","",WORKDAY(F35,5))</f>
        <v/>
      </c>
      <c r="H35" s="11"/>
      <c r="I35" s="11"/>
      <c r="J35" s="13"/>
      <c r="K35" s="11"/>
      <c r="L35" s="11"/>
      <c r="M35" s="11"/>
      <c r="N35" s="13"/>
      <c r="O35" s="13"/>
      <c r="P35" s="11"/>
    </row>
    <row r="36" customFormat="false" ht="15" hidden="false" customHeight="false" outlineLevel="0" collapsed="false">
      <c r="A36" s="11"/>
      <c r="B36" s="11"/>
      <c r="C36" s="17" t="str">
        <f aca="false">IF(B36="","",IFERROR(INDEX(Cadastro!$B$5:$B$304,MATCH(B36,Cadastro!$A$5:$A$304,0)),"ID não encontrado"))</f>
        <v/>
      </c>
      <c r="D36" s="11"/>
      <c r="E36" s="11"/>
      <c r="F36" s="13"/>
      <c r="G36" s="14" t="str">
        <f aca="false">IF(F36="","",WORKDAY(F36,5))</f>
        <v/>
      </c>
      <c r="H36" s="11"/>
      <c r="I36" s="11"/>
      <c r="J36" s="13"/>
      <c r="K36" s="11"/>
      <c r="L36" s="11"/>
      <c r="M36" s="11"/>
      <c r="N36" s="13"/>
      <c r="O36" s="13"/>
      <c r="P36" s="11"/>
    </row>
    <row r="37" customFormat="false" ht="15" hidden="false" customHeight="false" outlineLevel="0" collapsed="false">
      <c r="A37" s="11"/>
      <c r="B37" s="11"/>
      <c r="C37" s="17" t="str">
        <f aca="false">IF(B37="","",IFERROR(INDEX(Cadastro!$B$5:$B$304,MATCH(B37,Cadastro!$A$5:$A$304,0)),"ID não encontrado"))</f>
        <v/>
      </c>
      <c r="D37" s="11"/>
      <c r="E37" s="11"/>
      <c r="F37" s="13"/>
      <c r="G37" s="14" t="str">
        <f aca="false">IF(F37="","",WORKDAY(F37,5))</f>
        <v/>
      </c>
      <c r="H37" s="11"/>
      <c r="I37" s="11"/>
      <c r="J37" s="13"/>
      <c r="K37" s="11"/>
      <c r="L37" s="11"/>
      <c r="M37" s="11"/>
      <c r="N37" s="13"/>
      <c r="O37" s="13"/>
      <c r="P37" s="11"/>
    </row>
    <row r="38" customFormat="false" ht="15" hidden="false" customHeight="false" outlineLevel="0" collapsed="false">
      <c r="A38" s="11"/>
      <c r="B38" s="11"/>
      <c r="C38" s="17" t="str">
        <f aca="false">IF(B38="","",IFERROR(INDEX(Cadastro!$B$5:$B$304,MATCH(B38,Cadastro!$A$5:$A$304,0)),"ID não encontrado"))</f>
        <v/>
      </c>
      <c r="D38" s="11"/>
      <c r="E38" s="11"/>
      <c r="F38" s="13"/>
      <c r="G38" s="14" t="str">
        <f aca="false">IF(F38="","",WORKDAY(F38,5))</f>
        <v/>
      </c>
      <c r="H38" s="11"/>
      <c r="I38" s="11"/>
      <c r="J38" s="13"/>
      <c r="K38" s="11"/>
      <c r="L38" s="11"/>
      <c r="M38" s="11"/>
      <c r="N38" s="13"/>
      <c r="O38" s="13"/>
      <c r="P38" s="11"/>
    </row>
    <row r="39" customFormat="false" ht="15" hidden="false" customHeight="false" outlineLevel="0" collapsed="false">
      <c r="A39" s="11"/>
      <c r="B39" s="11"/>
      <c r="C39" s="17" t="str">
        <f aca="false">IF(B39="","",IFERROR(INDEX(Cadastro!$B$5:$B$304,MATCH(B39,Cadastro!$A$5:$A$304,0)),"ID não encontrado"))</f>
        <v/>
      </c>
      <c r="D39" s="11"/>
      <c r="E39" s="11"/>
      <c r="F39" s="13"/>
      <c r="G39" s="14" t="str">
        <f aca="false">IF(F39="","",WORKDAY(F39,5))</f>
        <v/>
      </c>
      <c r="H39" s="11"/>
      <c r="I39" s="11"/>
      <c r="J39" s="13"/>
      <c r="K39" s="11"/>
      <c r="L39" s="11"/>
      <c r="M39" s="11"/>
      <c r="N39" s="13"/>
      <c r="O39" s="13"/>
      <c r="P39" s="11"/>
    </row>
    <row r="40" customFormat="false" ht="15" hidden="false" customHeight="false" outlineLevel="0" collapsed="false">
      <c r="A40" s="11"/>
      <c r="B40" s="11"/>
      <c r="C40" s="17" t="str">
        <f aca="false">IF(B40="","",IFERROR(INDEX(Cadastro!$B$5:$B$304,MATCH(B40,Cadastro!$A$5:$A$304,0)),"ID não encontrado"))</f>
        <v/>
      </c>
      <c r="D40" s="11"/>
      <c r="E40" s="11"/>
      <c r="F40" s="13"/>
      <c r="G40" s="14" t="str">
        <f aca="false">IF(F40="","",WORKDAY(F40,5))</f>
        <v/>
      </c>
      <c r="H40" s="11"/>
      <c r="I40" s="11"/>
      <c r="J40" s="13"/>
      <c r="K40" s="11"/>
      <c r="L40" s="11"/>
      <c r="M40" s="11"/>
      <c r="N40" s="13"/>
      <c r="O40" s="13"/>
      <c r="P40" s="11"/>
    </row>
    <row r="41" customFormat="false" ht="15" hidden="false" customHeight="false" outlineLevel="0" collapsed="false">
      <c r="A41" s="11"/>
      <c r="B41" s="11"/>
      <c r="C41" s="17" t="str">
        <f aca="false">IF(B41="","",IFERROR(INDEX(Cadastro!$B$5:$B$304,MATCH(B41,Cadastro!$A$5:$A$304,0)),"ID não encontrado"))</f>
        <v/>
      </c>
      <c r="D41" s="11"/>
      <c r="E41" s="11"/>
      <c r="F41" s="13"/>
      <c r="G41" s="14" t="str">
        <f aca="false">IF(F41="","",WORKDAY(F41,5))</f>
        <v/>
      </c>
      <c r="H41" s="11"/>
      <c r="I41" s="11"/>
      <c r="J41" s="13"/>
      <c r="K41" s="11"/>
      <c r="L41" s="11"/>
      <c r="M41" s="11"/>
      <c r="N41" s="13"/>
      <c r="O41" s="13"/>
      <c r="P41" s="11"/>
    </row>
    <row r="42" customFormat="false" ht="15" hidden="false" customHeight="false" outlineLevel="0" collapsed="false">
      <c r="A42" s="11"/>
      <c r="B42" s="11"/>
      <c r="C42" s="17" t="str">
        <f aca="false">IF(B42="","",IFERROR(INDEX(Cadastro!$B$5:$B$304,MATCH(B42,Cadastro!$A$5:$A$304,0)),"ID não encontrado"))</f>
        <v/>
      </c>
      <c r="D42" s="11"/>
      <c r="E42" s="11"/>
      <c r="F42" s="13"/>
      <c r="G42" s="14" t="str">
        <f aca="false">IF(F42="","",WORKDAY(F42,5))</f>
        <v/>
      </c>
      <c r="H42" s="11"/>
      <c r="I42" s="11"/>
      <c r="J42" s="13"/>
      <c r="K42" s="11"/>
      <c r="L42" s="11"/>
      <c r="M42" s="11"/>
      <c r="N42" s="13"/>
      <c r="O42" s="13"/>
      <c r="P42" s="11"/>
    </row>
    <row r="43" customFormat="false" ht="15" hidden="false" customHeight="false" outlineLevel="0" collapsed="false">
      <c r="A43" s="11"/>
      <c r="B43" s="11"/>
      <c r="C43" s="17" t="str">
        <f aca="false">IF(B43="","",IFERROR(INDEX(Cadastro!$B$5:$B$304,MATCH(B43,Cadastro!$A$5:$A$304,0)),"ID não encontrado"))</f>
        <v/>
      </c>
      <c r="D43" s="11"/>
      <c r="E43" s="11"/>
      <c r="F43" s="13"/>
      <c r="G43" s="14" t="str">
        <f aca="false">IF(F43="","",WORKDAY(F43,5))</f>
        <v/>
      </c>
      <c r="H43" s="11"/>
      <c r="I43" s="11"/>
      <c r="J43" s="13"/>
      <c r="K43" s="11"/>
      <c r="L43" s="11"/>
      <c r="M43" s="11"/>
      <c r="N43" s="13"/>
      <c r="O43" s="13"/>
      <c r="P43" s="11"/>
    </row>
    <row r="44" customFormat="false" ht="15" hidden="false" customHeight="false" outlineLevel="0" collapsed="false">
      <c r="A44" s="11"/>
      <c r="B44" s="11"/>
      <c r="C44" s="17" t="str">
        <f aca="false">IF(B44="","",IFERROR(INDEX(Cadastro!$B$5:$B$304,MATCH(B44,Cadastro!$A$5:$A$304,0)),"ID não encontrado"))</f>
        <v/>
      </c>
      <c r="D44" s="11"/>
      <c r="E44" s="11"/>
      <c r="F44" s="13"/>
      <c r="G44" s="14" t="str">
        <f aca="false">IF(F44="","",WORKDAY(F44,5))</f>
        <v/>
      </c>
      <c r="H44" s="11"/>
      <c r="I44" s="11"/>
      <c r="J44" s="13"/>
      <c r="K44" s="11"/>
      <c r="L44" s="11"/>
      <c r="M44" s="11"/>
      <c r="N44" s="13"/>
      <c r="O44" s="13"/>
      <c r="P44" s="11"/>
    </row>
    <row r="45" customFormat="false" ht="15" hidden="false" customHeight="false" outlineLevel="0" collapsed="false">
      <c r="A45" s="11"/>
      <c r="B45" s="11"/>
      <c r="C45" s="17" t="str">
        <f aca="false">IF(B45="","",IFERROR(INDEX(Cadastro!$B$5:$B$304,MATCH(B45,Cadastro!$A$5:$A$304,0)),"ID não encontrado"))</f>
        <v/>
      </c>
      <c r="D45" s="11"/>
      <c r="E45" s="11"/>
      <c r="F45" s="13"/>
      <c r="G45" s="14" t="str">
        <f aca="false">IF(F45="","",WORKDAY(F45,5))</f>
        <v/>
      </c>
      <c r="H45" s="11"/>
      <c r="I45" s="11"/>
      <c r="J45" s="13"/>
      <c r="K45" s="11"/>
      <c r="L45" s="11"/>
      <c r="M45" s="11"/>
      <c r="N45" s="13"/>
      <c r="O45" s="13"/>
      <c r="P45" s="11"/>
    </row>
    <row r="46" customFormat="false" ht="15" hidden="false" customHeight="false" outlineLevel="0" collapsed="false">
      <c r="A46" s="11"/>
      <c r="B46" s="11"/>
      <c r="C46" s="17" t="str">
        <f aca="false">IF(B46="","",IFERROR(INDEX(Cadastro!$B$5:$B$304,MATCH(B46,Cadastro!$A$5:$A$304,0)),"ID não encontrado"))</f>
        <v/>
      </c>
      <c r="D46" s="11"/>
      <c r="E46" s="11"/>
      <c r="F46" s="13"/>
      <c r="G46" s="14" t="str">
        <f aca="false">IF(F46="","",WORKDAY(F46,5))</f>
        <v/>
      </c>
      <c r="H46" s="11"/>
      <c r="I46" s="11"/>
      <c r="J46" s="13"/>
      <c r="K46" s="11"/>
      <c r="L46" s="11"/>
      <c r="M46" s="11"/>
      <c r="N46" s="13"/>
      <c r="O46" s="13"/>
      <c r="P46" s="11"/>
    </row>
    <row r="47" customFormat="false" ht="15" hidden="false" customHeight="false" outlineLevel="0" collapsed="false">
      <c r="A47" s="11"/>
      <c r="B47" s="11"/>
      <c r="C47" s="17" t="str">
        <f aca="false">IF(B47="","",IFERROR(INDEX(Cadastro!$B$5:$B$304,MATCH(B47,Cadastro!$A$5:$A$304,0)),"ID não encontrado"))</f>
        <v/>
      </c>
      <c r="D47" s="11"/>
      <c r="E47" s="11"/>
      <c r="F47" s="13"/>
      <c r="G47" s="14" t="str">
        <f aca="false">IF(F47="","",WORKDAY(F47,5))</f>
        <v/>
      </c>
      <c r="H47" s="11"/>
      <c r="I47" s="11"/>
      <c r="J47" s="13"/>
      <c r="K47" s="11"/>
      <c r="L47" s="11"/>
      <c r="M47" s="11"/>
      <c r="N47" s="13"/>
      <c r="O47" s="13"/>
      <c r="P47" s="11"/>
    </row>
    <row r="48" customFormat="false" ht="15" hidden="false" customHeight="false" outlineLevel="0" collapsed="false">
      <c r="A48" s="11"/>
      <c r="B48" s="11"/>
      <c r="C48" s="17" t="str">
        <f aca="false">IF(B48="","",IFERROR(INDEX(Cadastro!$B$5:$B$304,MATCH(B48,Cadastro!$A$5:$A$304,0)),"ID não encontrado"))</f>
        <v/>
      </c>
      <c r="D48" s="11"/>
      <c r="E48" s="11"/>
      <c r="F48" s="13"/>
      <c r="G48" s="14" t="str">
        <f aca="false">IF(F48="","",WORKDAY(F48,5))</f>
        <v/>
      </c>
      <c r="H48" s="11"/>
      <c r="I48" s="11"/>
      <c r="J48" s="13"/>
      <c r="K48" s="11"/>
      <c r="L48" s="11"/>
      <c r="M48" s="11"/>
      <c r="N48" s="13"/>
      <c r="O48" s="13"/>
      <c r="P48" s="11"/>
    </row>
    <row r="49" customFormat="false" ht="15" hidden="false" customHeight="false" outlineLevel="0" collapsed="false">
      <c r="A49" s="11"/>
      <c r="B49" s="11"/>
      <c r="C49" s="17" t="str">
        <f aca="false">IF(B49="","",IFERROR(INDEX(Cadastro!$B$5:$B$304,MATCH(B49,Cadastro!$A$5:$A$304,0)),"ID não encontrado"))</f>
        <v/>
      </c>
      <c r="D49" s="11"/>
      <c r="E49" s="11"/>
      <c r="F49" s="13"/>
      <c r="G49" s="14" t="str">
        <f aca="false">IF(F49="","",WORKDAY(F49,5))</f>
        <v/>
      </c>
      <c r="H49" s="11"/>
      <c r="I49" s="11"/>
      <c r="J49" s="13"/>
      <c r="K49" s="11"/>
      <c r="L49" s="11"/>
      <c r="M49" s="11"/>
      <c r="N49" s="13"/>
      <c r="O49" s="13"/>
      <c r="P49" s="11"/>
    </row>
    <row r="50" customFormat="false" ht="15" hidden="false" customHeight="false" outlineLevel="0" collapsed="false">
      <c r="A50" s="11"/>
      <c r="B50" s="11"/>
      <c r="C50" s="17" t="str">
        <f aca="false">IF(B50="","",IFERROR(INDEX(Cadastro!$B$5:$B$304,MATCH(B50,Cadastro!$A$5:$A$304,0)),"ID não encontrado"))</f>
        <v/>
      </c>
      <c r="D50" s="11"/>
      <c r="E50" s="11"/>
      <c r="F50" s="13"/>
      <c r="G50" s="14" t="str">
        <f aca="false">IF(F50="","",WORKDAY(F50,5))</f>
        <v/>
      </c>
      <c r="H50" s="11"/>
      <c r="I50" s="11"/>
      <c r="J50" s="13"/>
      <c r="K50" s="11"/>
      <c r="L50" s="11"/>
      <c r="M50" s="11"/>
      <c r="N50" s="13"/>
      <c r="O50" s="13"/>
      <c r="P50" s="11"/>
    </row>
    <row r="51" customFormat="false" ht="15" hidden="false" customHeight="false" outlineLevel="0" collapsed="false">
      <c r="A51" s="11"/>
      <c r="B51" s="11"/>
      <c r="C51" s="17" t="str">
        <f aca="false">IF(B51="","",IFERROR(INDEX(Cadastro!$B$5:$B$304,MATCH(B51,Cadastro!$A$5:$A$304,0)),"ID não encontrado"))</f>
        <v/>
      </c>
      <c r="D51" s="11"/>
      <c r="E51" s="11"/>
      <c r="F51" s="13"/>
      <c r="G51" s="14" t="str">
        <f aca="false">IF(F51="","",WORKDAY(F51,5))</f>
        <v/>
      </c>
      <c r="H51" s="11"/>
      <c r="I51" s="11"/>
      <c r="J51" s="13"/>
      <c r="K51" s="11"/>
      <c r="L51" s="11"/>
      <c r="M51" s="11"/>
      <c r="N51" s="13"/>
      <c r="O51" s="13"/>
      <c r="P51" s="11"/>
    </row>
    <row r="52" customFormat="false" ht="15" hidden="false" customHeight="false" outlineLevel="0" collapsed="false">
      <c r="A52" s="11"/>
      <c r="B52" s="11"/>
      <c r="C52" s="17" t="str">
        <f aca="false">IF(B52="","",IFERROR(INDEX(Cadastro!$B$5:$B$304,MATCH(B52,Cadastro!$A$5:$A$304,0)),"ID não encontrado"))</f>
        <v/>
      </c>
      <c r="D52" s="11"/>
      <c r="E52" s="11"/>
      <c r="F52" s="13"/>
      <c r="G52" s="14" t="str">
        <f aca="false">IF(F52="","",WORKDAY(F52,5))</f>
        <v/>
      </c>
      <c r="H52" s="11"/>
      <c r="I52" s="11"/>
      <c r="J52" s="13"/>
      <c r="K52" s="11"/>
      <c r="L52" s="11"/>
      <c r="M52" s="11"/>
      <c r="N52" s="13"/>
      <c r="O52" s="13"/>
      <c r="P52" s="11"/>
    </row>
    <row r="53" customFormat="false" ht="15" hidden="false" customHeight="false" outlineLevel="0" collapsed="false">
      <c r="A53" s="11"/>
      <c r="B53" s="11"/>
      <c r="C53" s="17" t="str">
        <f aca="false">IF(B53="","",IFERROR(INDEX(Cadastro!$B$5:$B$304,MATCH(B53,Cadastro!$A$5:$A$304,0)),"ID não encontrado"))</f>
        <v/>
      </c>
      <c r="D53" s="11"/>
      <c r="E53" s="11"/>
      <c r="F53" s="13"/>
      <c r="G53" s="14" t="str">
        <f aca="false">IF(F53="","",WORKDAY(F53,5))</f>
        <v/>
      </c>
      <c r="H53" s="11"/>
      <c r="I53" s="11"/>
      <c r="J53" s="13"/>
      <c r="K53" s="11"/>
      <c r="L53" s="11"/>
      <c r="M53" s="11"/>
      <c r="N53" s="13"/>
      <c r="O53" s="13"/>
      <c r="P53" s="11"/>
    </row>
    <row r="54" customFormat="false" ht="15" hidden="false" customHeight="false" outlineLevel="0" collapsed="false">
      <c r="A54" s="11"/>
      <c r="B54" s="11"/>
      <c r="C54" s="17" t="str">
        <f aca="false">IF(B54="","",IFERROR(INDEX(Cadastro!$B$5:$B$304,MATCH(B54,Cadastro!$A$5:$A$304,0)),"ID não encontrado"))</f>
        <v/>
      </c>
      <c r="D54" s="11"/>
      <c r="E54" s="11"/>
      <c r="F54" s="13"/>
      <c r="G54" s="14" t="str">
        <f aca="false">IF(F54="","",WORKDAY(F54,5))</f>
        <v/>
      </c>
      <c r="H54" s="11"/>
      <c r="I54" s="11"/>
      <c r="J54" s="13"/>
      <c r="K54" s="11"/>
      <c r="L54" s="11"/>
      <c r="M54" s="11"/>
      <c r="N54" s="13"/>
      <c r="O54" s="13"/>
      <c r="P54" s="11"/>
    </row>
    <row r="55" customFormat="false" ht="15" hidden="false" customHeight="false" outlineLevel="0" collapsed="false">
      <c r="A55" s="11"/>
      <c r="B55" s="11"/>
      <c r="C55" s="17" t="str">
        <f aca="false">IF(B55="","",IFERROR(INDEX(Cadastro!$B$5:$B$304,MATCH(B55,Cadastro!$A$5:$A$304,0)),"ID não encontrado"))</f>
        <v/>
      </c>
      <c r="D55" s="11"/>
      <c r="E55" s="11"/>
      <c r="F55" s="13"/>
      <c r="G55" s="14" t="str">
        <f aca="false">IF(F55="","",WORKDAY(F55,5))</f>
        <v/>
      </c>
      <c r="H55" s="11"/>
      <c r="I55" s="11"/>
      <c r="J55" s="13"/>
      <c r="K55" s="11"/>
      <c r="L55" s="11"/>
      <c r="M55" s="11"/>
      <c r="N55" s="13"/>
      <c r="O55" s="13"/>
      <c r="P55" s="11"/>
    </row>
    <row r="56" customFormat="false" ht="15" hidden="false" customHeight="false" outlineLevel="0" collapsed="false">
      <c r="A56" s="11"/>
      <c r="B56" s="11"/>
      <c r="C56" s="17" t="str">
        <f aca="false">IF(B56="","",IFERROR(INDEX(Cadastro!$B$5:$B$304,MATCH(B56,Cadastro!$A$5:$A$304,0)),"ID não encontrado"))</f>
        <v/>
      </c>
      <c r="D56" s="11"/>
      <c r="E56" s="11"/>
      <c r="F56" s="13"/>
      <c r="G56" s="14" t="str">
        <f aca="false">IF(F56="","",WORKDAY(F56,5))</f>
        <v/>
      </c>
      <c r="H56" s="11"/>
      <c r="I56" s="11"/>
      <c r="J56" s="13"/>
      <c r="K56" s="11"/>
      <c r="L56" s="11"/>
      <c r="M56" s="11"/>
      <c r="N56" s="13"/>
      <c r="O56" s="13"/>
      <c r="P56" s="11"/>
    </row>
    <row r="57" customFormat="false" ht="15" hidden="false" customHeight="false" outlineLevel="0" collapsed="false">
      <c r="A57" s="11"/>
      <c r="B57" s="11"/>
      <c r="C57" s="17" t="str">
        <f aca="false">IF(B57="","",IFERROR(INDEX(Cadastro!$B$5:$B$304,MATCH(B57,Cadastro!$A$5:$A$304,0)),"ID não encontrado"))</f>
        <v/>
      </c>
      <c r="D57" s="11"/>
      <c r="E57" s="11"/>
      <c r="F57" s="13"/>
      <c r="G57" s="14" t="str">
        <f aca="false">IF(F57="","",WORKDAY(F57,5))</f>
        <v/>
      </c>
      <c r="H57" s="11"/>
      <c r="I57" s="11"/>
      <c r="J57" s="13"/>
      <c r="K57" s="11"/>
      <c r="L57" s="11"/>
      <c r="M57" s="11"/>
      <c r="N57" s="13"/>
      <c r="O57" s="13"/>
      <c r="P57" s="11"/>
    </row>
    <row r="58" customFormat="false" ht="15" hidden="false" customHeight="false" outlineLevel="0" collapsed="false">
      <c r="A58" s="11"/>
      <c r="B58" s="11"/>
      <c r="C58" s="17" t="str">
        <f aca="false">IF(B58="","",IFERROR(INDEX(Cadastro!$B$5:$B$304,MATCH(B58,Cadastro!$A$5:$A$304,0)),"ID não encontrado"))</f>
        <v/>
      </c>
      <c r="D58" s="11"/>
      <c r="E58" s="11"/>
      <c r="F58" s="13"/>
      <c r="G58" s="14" t="str">
        <f aca="false">IF(F58="","",WORKDAY(F58,5))</f>
        <v/>
      </c>
      <c r="H58" s="11"/>
      <c r="I58" s="11"/>
      <c r="J58" s="13"/>
      <c r="K58" s="11"/>
      <c r="L58" s="11"/>
      <c r="M58" s="11"/>
      <c r="N58" s="13"/>
      <c r="O58" s="13"/>
      <c r="P58" s="11"/>
    </row>
    <row r="59" customFormat="false" ht="15" hidden="false" customHeight="false" outlineLevel="0" collapsed="false">
      <c r="A59" s="11"/>
      <c r="B59" s="11"/>
      <c r="C59" s="17" t="str">
        <f aca="false">IF(B59="","",IFERROR(INDEX(Cadastro!$B$5:$B$304,MATCH(B59,Cadastro!$A$5:$A$304,0)),"ID não encontrado"))</f>
        <v/>
      </c>
      <c r="D59" s="11"/>
      <c r="E59" s="11"/>
      <c r="F59" s="13"/>
      <c r="G59" s="14" t="str">
        <f aca="false">IF(F59="","",WORKDAY(F59,5))</f>
        <v/>
      </c>
      <c r="H59" s="11"/>
      <c r="I59" s="11"/>
      <c r="J59" s="13"/>
      <c r="K59" s="11"/>
      <c r="L59" s="11"/>
      <c r="M59" s="11"/>
      <c r="N59" s="13"/>
      <c r="O59" s="13"/>
      <c r="P59" s="11"/>
    </row>
    <row r="60" customFormat="false" ht="15" hidden="false" customHeight="false" outlineLevel="0" collapsed="false">
      <c r="A60" s="11"/>
      <c r="B60" s="11"/>
      <c r="C60" s="17" t="str">
        <f aca="false">IF(B60="","",IFERROR(INDEX(Cadastro!$B$5:$B$304,MATCH(B60,Cadastro!$A$5:$A$304,0)),"ID não encontrado"))</f>
        <v/>
      </c>
      <c r="D60" s="11"/>
      <c r="E60" s="11"/>
      <c r="F60" s="13"/>
      <c r="G60" s="14" t="str">
        <f aca="false">IF(F60="","",WORKDAY(F60,5))</f>
        <v/>
      </c>
      <c r="H60" s="11"/>
      <c r="I60" s="11"/>
      <c r="J60" s="13"/>
      <c r="K60" s="11"/>
      <c r="L60" s="11"/>
      <c r="M60" s="11"/>
      <c r="N60" s="13"/>
      <c r="O60" s="13"/>
      <c r="P60" s="11"/>
    </row>
    <row r="61" customFormat="false" ht="15" hidden="false" customHeight="false" outlineLevel="0" collapsed="false">
      <c r="A61" s="11"/>
      <c r="B61" s="11"/>
      <c r="C61" s="17" t="str">
        <f aca="false">IF(B61="","",IFERROR(INDEX(Cadastro!$B$5:$B$304,MATCH(B61,Cadastro!$A$5:$A$304,0)),"ID não encontrado"))</f>
        <v/>
      </c>
      <c r="D61" s="11"/>
      <c r="E61" s="11"/>
      <c r="F61" s="13"/>
      <c r="G61" s="14" t="str">
        <f aca="false">IF(F61="","",WORKDAY(F61,5))</f>
        <v/>
      </c>
      <c r="H61" s="11"/>
      <c r="I61" s="11"/>
      <c r="J61" s="13"/>
      <c r="K61" s="11"/>
      <c r="L61" s="11"/>
      <c r="M61" s="11"/>
      <c r="N61" s="13"/>
      <c r="O61" s="13"/>
      <c r="P61" s="11"/>
    </row>
    <row r="62" customFormat="false" ht="15" hidden="false" customHeight="false" outlineLevel="0" collapsed="false">
      <c r="A62" s="11"/>
      <c r="B62" s="11"/>
      <c r="C62" s="17" t="str">
        <f aca="false">IF(B62="","",IFERROR(INDEX(Cadastro!$B$5:$B$304,MATCH(B62,Cadastro!$A$5:$A$304,0)),"ID não encontrado"))</f>
        <v/>
      </c>
      <c r="D62" s="11"/>
      <c r="E62" s="11"/>
      <c r="F62" s="13"/>
      <c r="G62" s="14" t="str">
        <f aca="false">IF(F62="","",WORKDAY(F62,5))</f>
        <v/>
      </c>
      <c r="H62" s="11"/>
      <c r="I62" s="11"/>
      <c r="J62" s="13"/>
      <c r="K62" s="11"/>
      <c r="L62" s="11"/>
      <c r="M62" s="11"/>
      <c r="N62" s="13"/>
      <c r="O62" s="13"/>
      <c r="P62" s="11"/>
    </row>
    <row r="63" customFormat="false" ht="15" hidden="false" customHeight="false" outlineLevel="0" collapsed="false">
      <c r="A63" s="11"/>
      <c r="B63" s="11"/>
      <c r="C63" s="17" t="str">
        <f aca="false">IF(B63="","",IFERROR(INDEX(Cadastro!$B$5:$B$304,MATCH(B63,Cadastro!$A$5:$A$304,0)),"ID não encontrado"))</f>
        <v/>
      </c>
      <c r="D63" s="11"/>
      <c r="E63" s="11"/>
      <c r="F63" s="13"/>
      <c r="G63" s="14" t="str">
        <f aca="false">IF(F63="","",WORKDAY(F63,5))</f>
        <v/>
      </c>
      <c r="H63" s="11"/>
      <c r="I63" s="11"/>
      <c r="J63" s="13"/>
      <c r="K63" s="11"/>
      <c r="L63" s="11"/>
      <c r="M63" s="11"/>
      <c r="N63" s="13"/>
      <c r="O63" s="13"/>
      <c r="P63" s="11"/>
    </row>
    <row r="64" customFormat="false" ht="15" hidden="false" customHeight="false" outlineLevel="0" collapsed="false">
      <c r="A64" s="11"/>
      <c r="B64" s="11"/>
      <c r="C64" s="17" t="str">
        <f aca="false">IF(B64="","",IFERROR(INDEX(Cadastro!$B$5:$B$304,MATCH(B64,Cadastro!$A$5:$A$304,0)),"ID não encontrado"))</f>
        <v/>
      </c>
      <c r="D64" s="11"/>
      <c r="E64" s="11"/>
      <c r="F64" s="13"/>
      <c r="G64" s="14" t="str">
        <f aca="false">IF(F64="","",WORKDAY(F64,5))</f>
        <v/>
      </c>
      <c r="H64" s="11"/>
      <c r="I64" s="11"/>
      <c r="J64" s="13"/>
      <c r="K64" s="11"/>
      <c r="L64" s="11"/>
      <c r="M64" s="11"/>
      <c r="N64" s="13"/>
      <c r="O64" s="13"/>
      <c r="P64" s="11"/>
    </row>
    <row r="65" customFormat="false" ht="15" hidden="false" customHeight="false" outlineLevel="0" collapsed="false">
      <c r="A65" s="11"/>
      <c r="B65" s="11"/>
      <c r="C65" s="17" t="str">
        <f aca="false">IF(B65="","",IFERROR(INDEX(Cadastro!$B$5:$B$304,MATCH(B65,Cadastro!$A$5:$A$304,0)),"ID não encontrado"))</f>
        <v/>
      </c>
      <c r="D65" s="11"/>
      <c r="E65" s="11"/>
      <c r="F65" s="13"/>
      <c r="G65" s="14" t="str">
        <f aca="false">IF(F65="","",WORKDAY(F65,5))</f>
        <v/>
      </c>
      <c r="H65" s="11"/>
      <c r="I65" s="11"/>
      <c r="J65" s="13"/>
      <c r="K65" s="11"/>
      <c r="L65" s="11"/>
      <c r="M65" s="11"/>
      <c r="N65" s="13"/>
      <c r="O65" s="13"/>
      <c r="P65" s="11"/>
    </row>
    <row r="66" customFormat="false" ht="15" hidden="false" customHeight="false" outlineLevel="0" collapsed="false">
      <c r="A66" s="11"/>
      <c r="B66" s="11"/>
      <c r="C66" s="17" t="str">
        <f aca="false">IF(B66="","",IFERROR(INDEX(Cadastro!$B$5:$B$304,MATCH(B66,Cadastro!$A$5:$A$304,0)),"ID não encontrado"))</f>
        <v/>
      </c>
      <c r="D66" s="11"/>
      <c r="E66" s="11"/>
      <c r="F66" s="13"/>
      <c r="G66" s="14" t="str">
        <f aca="false">IF(F66="","",WORKDAY(F66,5))</f>
        <v/>
      </c>
      <c r="H66" s="11"/>
      <c r="I66" s="11"/>
      <c r="J66" s="13"/>
      <c r="K66" s="11"/>
      <c r="L66" s="11"/>
      <c r="M66" s="11"/>
      <c r="N66" s="13"/>
      <c r="O66" s="13"/>
      <c r="P66" s="11"/>
    </row>
    <row r="67" customFormat="false" ht="15" hidden="false" customHeight="false" outlineLevel="0" collapsed="false">
      <c r="A67" s="11"/>
      <c r="B67" s="11"/>
      <c r="C67" s="17" t="str">
        <f aca="false">IF(B67="","",IFERROR(INDEX(Cadastro!$B$5:$B$304,MATCH(B67,Cadastro!$A$5:$A$304,0)),"ID não encontrado"))</f>
        <v/>
      </c>
      <c r="D67" s="11"/>
      <c r="E67" s="11"/>
      <c r="F67" s="13"/>
      <c r="G67" s="14" t="str">
        <f aca="false">IF(F67="","",WORKDAY(F67,5))</f>
        <v/>
      </c>
      <c r="H67" s="11"/>
      <c r="I67" s="11"/>
      <c r="J67" s="13"/>
      <c r="K67" s="11"/>
      <c r="L67" s="11"/>
      <c r="M67" s="11"/>
      <c r="N67" s="13"/>
      <c r="O67" s="13"/>
      <c r="P67" s="11"/>
    </row>
    <row r="68" customFormat="false" ht="15" hidden="false" customHeight="false" outlineLevel="0" collapsed="false">
      <c r="A68" s="11"/>
      <c r="B68" s="11"/>
      <c r="C68" s="17" t="str">
        <f aca="false">IF(B68="","",IFERROR(INDEX(Cadastro!$B$5:$B$304,MATCH(B68,Cadastro!$A$5:$A$304,0)),"ID não encontrado"))</f>
        <v/>
      </c>
      <c r="D68" s="11"/>
      <c r="E68" s="11"/>
      <c r="F68" s="13"/>
      <c r="G68" s="14" t="str">
        <f aca="false">IF(F68="","",WORKDAY(F68,5))</f>
        <v/>
      </c>
      <c r="H68" s="11"/>
      <c r="I68" s="11"/>
      <c r="J68" s="13"/>
      <c r="K68" s="11"/>
      <c r="L68" s="11"/>
      <c r="M68" s="11"/>
      <c r="N68" s="13"/>
      <c r="O68" s="13"/>
      <c r="P68" s="11"/>
    </row>
    <row r="69" customFormat="false" ht="15" hidden="false" customHeight="false" outlineLevel="0" collapsed="false">
      <c r="A69" s="11"/>
      <c r="B69" s="11"/>
      <c r="C69" s="17" t="str">
        <f aca="false">IF(B69="","",IFERROR(INDEX(Cadastro!$B$5:$B$304,MATCH(B69,Cadastro!$A$5:$A$304,0)),"ID não encontrado"))</f>
        <v/>
      </c>
      <c r="D69" s="11"/>
      <c r="E69" s="11"/>
      <c r="F69" s="13"/>
      <c r="G69" s="14" t="str">
        <f aca="false">IF(F69="","",WORKDAY(F69,5))</f>
        <v/>
      </c>
      <c r="H69" s="11"/>
      <c r="I69" s="11"/>
      <c r="J69" s="13"/>
      <c r="K69" s="11"/>
      <c r="L69" s="11"/>
      <c r="M69" s="11"/>
      <c r="N69" s="13"/>
      <c r="O69" s="13"/>
      <c r="P69" s="11"/>
    </row>
    <row r="70" customFormat="false" ht="15" hidden="false" customHeight="false" outlineLevel="0" collapsed="false">
      <c r="A70" s="11"/>
      <c r="B70" s="11"/>
      <c r="C70" s="17" t="str">
        <f aca="false">IF(B70="","",IFERROR(INDEX(Cadastro!$B$5:$B$304,MATCH(B70,Cadastro!$A$5:$A$304,0)),"ID não encontrado"))</f>
        <v/>
      </c>
      <c r="D70" s="11"/>
      <c r="E70" s="11"/>
      <c r="F70" s="13"/>
      <c r="G70" s="14" t="str">
        <f aca="false">IF(F70="","",WORKDAY(F70,5))</f>
        <v/>
      </c>
      <c r="H70" s="11"/>
      <c r="I70" s="11"/>
      <c r="J70" s="13"/>
      <c r="K70" s="11"/>
      <c r="L70" s="11"/>
      <c r="M70" s="11"/>
      <c r="N70" s="13"/>
      <c r="O70" s="13"/>
      <c r="P70" s="11"/>
    </row>
    <row r="71" customFormat="false" ht="15" hidden="false" customHeight="false" outlineLevel="0" collapsed="false">
      <c r="A71" s="11"/>
      <c r="B71" s="11"/>
      <c r="C71" s="17" t="str">
        <f aca="false">IF(B71="","",IFERROR(INDEX(Cadastro!$B$5:$B$304,MATCH(B71,Cadastro!$A$5:$A$304,0)),"ID não encontrado"))</f>
        <v/>
      </c>
      <c r="D71" s="11"/>
      <c r="E71" s="11"/>
      <c r="F71" s="13"/>
      <c r="G71" s="14" t="str">
        <f aca="false">IF(F71="","",WORKDAY(F71,5))</f>
        <v/>
      </c>
      <c r="H71" s="11"/>
      <c r="I71" s="11"/>
      <c r="J71" s="13"/>
      <c r="K71" s="11"/>
      <c r="L71" s="11"/>
      <c r="M71" s="11"/>
      <c r="N71" s="13"/>
      <c r="O71" s="13"/>
      <c r="P71" s="11"/>
    </row>
    <row r="72" customFormat="false" ht="15" hidden="false" customHeight="false" outlineLevel="0" collapsed="false">
      <c r="A72" s="11"/>
      <c r="B72" s="11"/>
      <c r="C72" s="17" t="str">
        <f aca="false">IF(B72="","",IFERROR(INDEX(Cadastro!$B$5:$B$304,MATCH(B72,Cadastro!$A$5:$A$304,0)),"ID não encontrado"))</f>
        <v/>
      </c>
      <c r="D72" s="11"/>
      <c r="E72" s="11"/>
      <c r="F72" s="13"/>
      <c r="G72" s="14" t="str">
        <f aca="false">IF(F72="","",WORKDAY(F72,5))</f>
        <v/>
      </c>
      <c r="H72" s="11"/>
      <c r="I72" s="11"/>
      <c r="J72" s="13"/>
      <c r="K72" s="11"/>
      <c r="L72" s="11"/>
      <c r="M72" s="11"/>
      <c r="N72" s="13"/>
      <c r="O72" s="13"/>
      <c r="P72" s="11"/>
    </row>
    <row r="73" customFormat="false" ht="15" hidden="false" customHeight="false" outlineLevel="0" collapsed="false">
      <c r="A73" s="11"/>
      <c r="B73" s="11"/>
      <c r="C73" s="17" t="str">
        <f aca="false">IF(B73="","",IFERROR(INDEX(Cadastro!$B$5:$B$304,MATCH(B73,Cadastro!$A$5:$A$304,0)),"ID não encontrado"))</f>
        <v/>
      </c>
      <c r="D73" s="11"/>
      <c r="E73" s="11"/>
      <c r="F73" s="13"/>
      <c r="G73" s="14" t="str">
        <f aca="false">IF(F73="","",WORKDAY(F73,5))</f>
        <v/>
      </c>
      <c r="H73" s="11"/>
      <c r="I73" s="11"/>
      <c r="J73" s="13"/>
      <c r="K73" s="11"/>
      <c r="L73" s="11"/>
      <c r="M73" s="11"/>
      <c r="N73" s="13"/>
      <c r="O73" s="13"/>
      <c r="P73" s="11"/>
    </row>
    <row r="74" customFormat="false" ht="15" hidden="false" customHeight="false" outlineLevel="0" collapsed="false">
      <c r="A74" s="11"/>
      <c r="B74" s="11"/>
      <c r="C74" s="17" t="str">
        <f aca="false">IF(B74="","",IFERROR(INDEX(Cadastro!$B$5:$B$304,MATCH(B74,Cadastro!$A$5:$A$304,0)),"ID não encontrado"))</f>
        <v/>
      </c>
      <c r="D74" s="11"/>
      <c r="E74" s="11"/>
      <c r="F74" s="13"/>
      <c r="G74" s="14" t="str">
        <f aca="false">IF(F74="","",WORKDAY(F74,5))</f>
        <v/>
      </c>
      <c r="H74" s="11"/>
      <c r="I74" s="11"/>
      <c r="J74" s="13"/>
      <c r="K74" s="11"/>
      <c r="L74" s="11"/>
      <c r="M74" s="11"/>
      <c r="N74" s="13"/>
      <c r="O74" s="13"/>
      <c r="P74" s="11"/>
    </row>
    <row r="75" customFormat="false" ht="15" hidden="false" customHeight="false" outlineLevel="0" collapsed="false">
      <c r="A75" s="11"/>
      <c r="B75" s="11"/>
      <c r="C75" s="17" t="str">
        <f aca="false">IF(B75="","",IFERROR(INDEX(Cadastro!$B$5:$B$304,MATCH(B75,Cadastro!$A$5:$A$304,0)),"ID não encontrado"))</f>
        <v/>
      </c>
      <c r="D75" s="11"/>
      <c r="E75" s="11"/>
      <c r="F75" s="13"/>
      <c r="G75" s="14" t="str">
        <f aca="false">IF(F75="","",WORKDAY(F75,5))</f>
        <v/>
      </c>
      <c r="H75" s="11"/>
      <c r="I75" s="11"/>
      <c r="J75" s="13"/>
      <c r="K75" s="11"/>
      <c r="L75" s="11"/>
      <c r="M75" s="11"/>
      <c r="N75" s="13"/>
      <c r="O75" s="13"/>
      <c r="P75" s="11"/>
    </row>
    <row r="76" customFormat="false" ht="15" hidden="false" customHeight="false" outlineLevel="0" collapsed="false">
      <c r="A76" s="11"/>
      <c r="B76" s="11"/>
      <c r="C76" s="17" t="str">
        <f aca="false">IF(B76="","",IFERROR(INDEX(Cadastro!$B$5:$B$304,MATCH(B76,Cadastro!$A$5:$A$304,0)),"ID não encontrado"))</f>
        <v/>
      </c>
      <c r="D76" s="11"/>
      <c r="E76" s="11"/>
      <c r="F76" s="13"/>
      <c r="G76" s="14" t="str">
        <f aca="false">IF(F76="","",WORKDAY(F76,5))</f>
        <v/>
      </c>
      <c r="H76" s="11"/>
      <c r="I76" s="11"/>
      <c r="J76" s="13"/>
      <c r="K76" s="11"/>
      <c r="L76" s="11"/>
      <c r="M76" s="11"/>
      <c r="N76" s="13"/>
      <c r="O76" s="13"/>
      <c r="P76" s="11"/>
    </row>
    <row r="77" customFormat="false" ht="15" hidden="false" customHeight="false" outlineLevel="0" collapsed="false">
      <c r="A77" s="11"/>
      <c r="B77" s="11"/>
      <c r="C77" s="17" t="str">
        <f aca="false">IF(B77="","",IFERROR(INDEX(Cadastro!$B$5:$B$304,MATCH(B77,Cadastro!$A$5:$A$304,0)),"ID não encontrado"))</f>
        <v/>
      </c>
      <c r="D77" s="11"/>
      <c r="E77" s="11"/>
      <c r="F77" s="13"/>
      <c r="G77" s="14" t="str">
        <f aca="false">IF(F77="","",WORKDAY(F77,5))</f>
        <v/>
      </c>
      <c r="H77" s="11"/>
      <c r="I77" s="11"/>
      <c r="J77" s="13"/>
      <c r="K77" s="11"/>
      <c r="L77" s="11"/>
      <c r="M77" s="11"/>
      <c r="N77" s="13"/>
      <c r="O77" s="13"/>
      <c r="P77" s="11"/>
    </row>
    <row r="78" customFormat="false" ht="15" hidden="false" customHeight="false" outlineLevel="0" collapsed="false">
      <c r="A78" s="11"/>
      <c r="B78" s="11"/>
      <c r="C78" s="17" t="str">
        <f aca="false">IF(B78="","",IFERROR(INDEX(Cadastro!$B$5:$B$304,MATCH(B78,Cadastro!$A$5:$A$304,0)),"ID não encontrado"))</f>
        <v/>
      </c>
      <c r="D78" s="11"/>
      <c r="E78" s="11"/>
      <c r="F78" s="13"/>
      <c r="G78" s="14" t="str">
        <f aca="false">IF(F78="","",WORKDAY(F78,5))</f>
        <v/>
      </c>
      <c r="H78" s="11"/>
      <c r="I78" s="11"/>
      <c r="J78" s="13"/>
      <c r="K78" s="11"/>
      <c r="L78" s="11"/>
      <c r="M78" s="11"/>
      <c r="N78" s="13"/>
      <c r="O78" s="13"/>
      <c r="P78" s="11"/>
    </row>
    <row r="79" customFormat="false" ht="15" hidden="false" customHeight="false" outlineLevel="0" collapsed="false">
      <c r="A79" s="11"/>
      <c r="B79" s="11"/>
      <c r="C79" s="17" t="str">
        <f aca="false">IF(B79="","",IFERROR(INDEX(Cadastro!$B$5:$B$304,MATCH(B79,Cadastro!$A$5:$A$304,0)),"ID não encontrado"))</f>
        <v/>
      </c>
      <c r="D79" s="11"/>
      <c r="E79" s="11"/>
      <c r="F79" s="13"/>
      <c r="G79" s="14" t="str">
        <f aca="false">IF(F79="","",WORKDAY(F79,5))</f>
        <v/>
      </c>
      <c r="H79" s="11"/>
      <c r="I79" s="11"/>
      <c r="J79" s="13"/>
      <c r="K79" s="11"/>
      <c r="L79" s="11"/>
      <c r="M79" s="11"/>
      <c r="N79" s="13"/>
      <c r="O79" s="13"/>
      <c r="P79" s="11"/>
    </row>
    <row r="80" customFormat="false" ht="15" hidden="false" customHeight="false" outlineLevel="0" collapsed="false">
      <c r="A80" s="11"/>
      <c r="B80" s="11"/>
      <c r="C80" s="17" t="str">
        <f aca="false">IF(B80="","",IFERROR(INDEX(Cadastro!$B$5:$B$304,MATCH(B80,Cadastro!$A$5:$A$304,0)),"ID não encontrado"))</f>
        <v/>
      </c>
      <c r="D80" s="11"/>
      <c r="E80" s="11"/>
      <c r="F80" s="13"/>
      <c r="G80" s="14" t="str">
        <f aca="false">IF(F80="","",WORKDAY(F80,5))</f>
        <v/>
      </c>
      <c r="H80" s="11"/>
      <c r="I80" s="11"/>
      <c r="J80" s="13"/>
      <c r="K80" s="11"/>
      <c r="L80" s="11"/>
      <c r="M80" s="11"/>
      <c r="N80" s="13"/>
      <c r="O80" s="13"/>
      <c r="P80" s="11"/>
    </row>
    <row r="81" customFormat="false" ht="15" hidden="false" customHeight="false" outlineLevel="0" collapsed="false">
      <c r="A81" s="11"/>
      <c r="B81" s="11"/>
      <c r="C81" s="17" t="str">
        <f aca="false">IF(B81="","",IFERROR(INDEX(Cadastro!$B$5:$B$304,MATCH(B81,Cadastro!$A$5:$A$304,0)),"ID não encontrado"))</f>
        <v/>
      </c>
      <c r="D81" s="11"/>
      <c r="E81" s="11"/>
      <c r="F81" s="13"/>
      <c r="G81" s="14" t="str">
        <f aca="false">IF(F81="","",WORKDAY(F81,5))</f>
        <v/>
      </c>
      <c r="H81" s="11"/>
      <c r="I81" s="11"/>
      <c r="J81" s="13"/>
      <c r="K81" s="11"/>
      <c r="L81" s="11"/>
      <c r="M81" s="11"/>
      <c r="N81" s="13"/>
      <c r="O81" s="13"/>
      <c r="P81" s="11"/>
    </row>
    <row r="82" customFormat="false" ht="15" hidden="false" customHeight="false" outlineLevel="0" collapsed="false">
      <c r="A82" s="11"/>
      <c r="B82" s="11"/>
      <c r="C82" s="17" t="str">
        <f aca="false">IF(B82="","",IFERROR(INDEX(Cadastro!$B$5:$B$304,MATCH(B82,Cadastro!$A$5:$A$304,0)),"ID não encontrado"))</f>
        <v/>
      </c>
      <c r="D82" s="11"/>
      <c r="E82" s="11"/>
      <c r="F82" s="13"/>
      <c r="G82" s="14" t="str">
        <f aca="false">IF(F82="","",WORKDAY(F82,5))</f>
        <v/>
      </c>
      <c r="H82" s="11"/>
      <c r="I82" s="11"/>
      <c r="J82" s="13"/>
      <c r="K82" s="11"/>
      <c r="L82" s="11"/>
      <c r="M82" s="11"/>
      <c r="N82" s="13"/>
      <c r="O82" s="13"/>
      <c r="P82" s="11"/>
    </row>
    <row r="83" customFormat="false" ht="15" hidden="false" customHeight="false" outlineLevel="0" collapsed="false">
      <c r="A83" s="11"/>
      <c r="B83" s="11"/>
      <c r="C83" s="17" t="str">
        <f aca="false">IF(B83="","",IFERROR(INDEX(Cadastro!$B$5:$B$304,MATCH(B83,Cadastro!$A$5:$A$304,0)),"ID não encontrado"))</f>
        <v/>
      </c>
      <c r="D83" s="11"/>
      <c r="E83" s="11"/>
      <c r="F83" s="13"/>
      <c r="G83" s="14" t="str">
        <f aca="false">IF(F83="","",WORKDAY(F83,5))</f>
        <v/>
      </c>
      <c r="H83" s="11"/>
      <c r="I83" s="11"/>
      <c r="J83" s="13"/>
      <c r="K83" s="11"/>
      <c r="L83" s="11"/>
      <c r="M83" s="11"/>
      <c r="N83" s="13"/>
      <c r="O83" s="13"/>
      <c r="P83" s="11"/>
    </row>
    <row r="84" customFormat="false" ht="15" hidden="false" customHeight="false" outlineLevel="0" collapsed="false">
      <c r="A84" s="11"/>
      <c r="B84" s="11"/>
      <c r="C84" s="17" t="str">
        <f aca="false">IF(B84="","",IFERROR(INDEX(Cadastro!$B$5:$B$304,MATCH(B84,Cadastro!$A$5:$A$304,0)),"ID não encontrado"))</f>
        <v/>
      </c>
      <c r="D84" s="11"/>
      <c r="E84" s="11"/>
      <c r="F84" s="13"/>
      <c r="G84" s="14" t="str">
        <f aca="false">IF(F84="","",WORKDAY(F84,5))</f>
        <v/>
      </c>
      <c r="H84" s="11"/>
      <c r="I84" s="11"/>
      <c r="J84" s="13"/>
      <c r="K84" s="11"/>
      <c r="L84" s="11"/>
      <c r="M84" s="11"/>
      <c r="N84" s="13"/>
      <c r="O84" s="13"/>
      <c r="P84" s="11"/>
    </row>
    <row r="85" customFormat="false" ht="15" hidden="false" customHeight="false" outlineLevel="0" collapsed="false">
      <c r="A85" s="11"/>
      <c r="B85" s="11"/>
      <c r="C85" s="17" t="str">
        <f aca="false">IF(B85="","",IFERROR(INDEX(Cadastro!$B$5:$B$304,MATCH(B85,Cadastro!$A$5:$A$304,0)),"ID não encontrado"))</f>
        <v/>
      </c>
      <c r="D85" s="11"/>
      <c r="E85" s="11"/>
      <c r="F85" s="13"/>
      <c r="G85" s="14" t="str">
        <f aca="false">IF(F85="","",WORKDAY(F85,5))</f>
        <v/>
      </c>
      <c r="H85" s="11"/>
      <c r="I85" s="11"/>
      <c r="J85" s="13"/>
      <c r="K85" s="11"/>
      <c r="L85" s="11"/>
      <c r="M85" s="11"/>
      <c r="N85" s="13"/>
      <c r="O85" s="13"/>
      <c r="P85" s="11"/>
    </row>
    <row r="86" customFormat="false" ht="15" hidden="false" customHeight="false" outlineLevel="0" collapsed="false">
      <c r="A86" s="11"/>
      <c r="B86" s="11"/>
      <c r="C86" s="17" t="str">
        <f aca="false">IF(B86="","",IFERROR(INDEX(Cadastro!$B$5:$B$304,MATCH(B86,Cadastro!$A$5:$A$304,0)),"ID não encontrado"))</f>
        <v/>
      </c>
      <c r="D86" s="11"/>
      <c r="E86" s="11"/>
      <c r="F86" s="13"/>
      <c r="G86" s="14" t="str">
        <f aca="false">IF(F86="","",WORKDAY(F86,5))</f>
        <v/>
      </c>
      <c r="H86" s="11"/>
      <c r="I86" s="11"/>
      <c r="J86" s="13"/>
      <c r="K86" s="11"/>
      <c r="L86" s="11"/>
      <c r="M86" s="11"/>
      <c r="N86" s="13"/>
      <c r="O86" s="13"/>
      <c r="P86" s="11"/>
    </row>
    <row r="87" customFormat="false" ht="15" hidden="false" customHeight="false" outlineLevel="0" collapsed="false">
      <c r="A87" s="11"/>
      <c r="B87" s="11"/>
      <c r="C87" s="17" t="str">
        <f aca="false">IF(B87="","",IFERROR(INDEX(Cadastro!$B$5:$B$304,MATCH(B87,Cadastro!$A$5:$A$304,0)),"ID não encontrado"))</f>
        <v/>
      </c>
      <c r="D87" s="11"/>
      <c r="E87" s="11"/>
      <c r="F87" s="13"/>
      <c r="G87" s="14" t="str">
        <f aca="false">IF(F87="","",WORKDAY(F87,5))</f>
        <v/>
      </c>
      <c r="H87" s="11"/>
      <c r="I87" s="11"/>
      <c r="J87" s="13"/>
      <c r="K87" s="11"/>
      <c r="L87" s="11"/>
      <c r="M87" s="11"/>
      <c r="N87" s="13"/>
      <c r="O87" s="13"/>
      <c r="P87" s="11"/>
    </row>
    <row r="88" customFormat="false" ht="15" hidden="false" customHeight="false" outlineLevel="0" collapsed="false">
      <c r="A88" s="11"/>
      <c r="B88" s="11"/>
      <c r="C88" s="17" t="str">
        <f aca="false">IF(B88="","",IFERROR(INDEX(Cadastro!$B$5:$B$304,MATCH(B88,Cadastro!$A$5:$A$304,0)),"ID não encontrado"))</f>
        <v/>
      </c>
      <c r="D88" s="11"/>
      <c r="E88" s="11"/>
      <c r="F88" s="13"/>
      <c r="G88" s="14" t="str">
        <f aca="false">IF(F88="","",WORKDAY(F88,5))</f>
        <v/>
      </c>
      <c r="H88" s="11"/>
      <c r="I88" s="11"/>
      <c r="J88" s="13"/>
      <c r="K88" s="11"/>
      <c r="L88" s="11"/>
      <c r="M88" s="11"/>
      <c r="N88" s="13"/>
      <c r="O88" s="13"/>
      <c r="P88" s="11"/>
    </row>
    <row r="89" customFormat="false" ht="15" hidden="false" customHeight="false" outlineLevel="0" collapsed="false">
      <c r="A89" s="11"/>
      <c r="B89" s="11"/>
      <c r="C89" s="17" t="str">
        <f aca="false">IF(B89="","",IFERROR(INDEX(Cadastro!$B$5:$B$304,MATCH(B89,Cadastro!$A$5:$A$304,0)),"ID não encontrado"))</f>
        <v/>
      </c>
      <c r="D89" s="11"/>
      <c r="E89" s="11"/>
      <c r="F89" s="13"/>
      <c r="G89" s="14" t="str">
        <f aca="false">IF(F89="","",WORKDAY(F89,5))</f>
        <v/>
      </c>
      <c r="H89" s="11"/>
      <c r="I89" s="11"/>
      <c r="J89" s="13"/>
      <c r="K89" s="11"/>
      <c r="L89" s="11"/>
      <c r="M89" s="11"/>
      <c r="N89" s="13"/>
      <c r="O89" s="13"/>
      <c r="P89" s="11"/>
    </row>
    <row r="90" customFormat="false" ht="15" hidden="false" customHeight="false" outlineLevel="0" collapsed="false">
      <c r="A90" s="11"/>
      <c r="B90" s="11"/>
      <c r="C90" s="17" t="str">
        <f aca="false">IF(B90="","",IFERROR(INDEX(Cadastro!$B$5:$B$304,MATCH(B90,Cadastro!$A$5:$A$304,0)),"ID não encontrado"))</f>
        <v/>
      </c>
      <c r="D90" s="11"/>
      <c r="E90" s="11"/>
      <c r="F90" s="13"/>
      <c r="G90" s="14" t="str">
        <f aca="false">IF(F90="","",WORKDAY(F90,5))</f>
        <v/>
      </c>
      <c r="H90" s="11"/>
      <c r="I90" s="11"/>
      <c r="J90" s="13"/>
      <c r="K90" s="11"/>
      <c r="L90" s="11"/>
      <c r="M90" s="11"/>
      <c r="N90" s="13"/>
      <c r="O90" s="13"/>
      <c r="P90" s="11"/>
    </row>
    <row r="91" customFormat="false" ht="15" hidden="false" customHeight="false" outlineLevel="0" collapsed="false">
      <c r="A91" s="11"/>
      <c r="B91" s="11"/>
      <c r="C91" s="17" t="str">
        <f aca="false">IF(B91="","",IFERROR(INDEX(Cadastro!$B$5:$B$304,MATCH(B91,Cadastro!$A$5:$A$304,0)),"ID não encontrado"))</f>
        <v/>
      </c>
      <c r="D91" s="11"/>
      <c r="E91" s="11"/>
      <c r="F91" s="13"/>
      <c r="G91" s="14" t="str">
        <f aca="false">IF(F91="","",WORKDAY(F91,5))</f>
        <v/>
      </c>
      <c r="H91" s="11"/>
      <c r="I91" s="11"/>
      <c r="J91" s="13"/>
      <c r="K91" s="11"/>
      <c r="L91" s="11"/>
      <c r="M91" s="11"/>
      <c r="N91" s="13"/>
      <c r="O91" s="13"/>
      <c r="P91" s="11"/>
    </row>
    <row r="92" customFormat="false" ht="15" hidden="false" customHeight="false" outlineLevel="0" collapsed="false">
      <c r="A92" s="11"/>
      <c r="B92" s="11"/>
      <c r="C92" s="17" t="str">
        <f aca="false">IF(B92="","",IFERROR(INDEX(Cadastro!$B$5:$B$304,MATCH(B92,Cadastro!$A$5:$A$304,0)),"ID não encontrado"))</f>
        <v/>
      </c>
      <c r="D92" s="11"/>
      <c r="E92" s="11"/>
      <c r="F92" s="13"/>
      <c r="G92" s="14" t="str">
        <f aca="false">IF(F92="","",WORKDAY(F92,5))</f>
        <v/>
      </c>
      <c r="H92" s="11"/>
      <c r="I92" s="11"/>
      <c r="J92" s="13"/>
      <c r="K92" s="11"/>
      <c r="L92" s="11"/>
      <c r="M92" s="11"/>
      <c r="N92" s="13"/>
      <c r="O92" s="13"/>
      <c r="P92" s="11"/>
    </row>
    <row r="93" customFormat="false" ht="15" hidden="false" customHeight="false" outlineLevel="0" collapsed="false">
      <c r="A93" s="11"/>
      <c r="B93" s="11"/>
      <c r="C93" s="17" t="str">
        <f aca="false">IF(B93="","",IFERROR(INDEX(Cadastro!$B$5:$B$304,MATCH(B93,Cadastro!$A$5:$A$304,0)),"ID não encontrado"))</f>
        <v/>
      </c>
      <c r="D93" s="11"/>
      <c r="E93" s="11"/>
      <c r="F93" s="13"/>
      <c r="G93" s="14" t="str">
        <f aca="false">IF(F93="","",WORKDAY(F93,5))</f>
        <v/>
      </c>
      <c r="H93" s="11"/>
      <c r="I93" s="11"/>
      <c r="J93" s="13"/>
      <c r="K93" s="11"/>
      <c r="L93" s="11"/>
      <c r="M93" s="11"/>
      <c r="N93" s="13"/>
      <c r="O93" s="13"/>
      <c r="P93" s="11"/>
    </row>
    <row r="94" customFormat="false" ht="15" hidden="false" customHeight="false" outlineLevel="0" collapsed="false">
      <c r="A94" s="11"/>
      <c r="B94" s="11"/>
      <c r="C94" s="17" t="str">
        <f aca="false">IF(B94="","",IFERROR(INDEX(Cadastro!$B$5:$B$304,MATCH(B94,Cadastro!$A$5:$A$304,0)),"ID não encontrado"))</f>
        <v/>
      </c>
      <c r="D94" s="11"/>
      <c r="E94" s="11"/>
      <c r="F94" s="13"/>
      <c r="G94" s="14" t="str">
        <f aca="false">IF(F94="","",WORKDAY(F94,5))</f>
        <v/>
      </c>
      <c r="H94" s="11"/>
      <c r="I94" s="11"/>
      <c r="J94" s="13"/>
      <c r="K94" s="11"/>
      <c r="L94" s="11"/>
      <c r="M94" s="11"/>
      <c r="N94" s="13"/>
      <c r="O94" s="13"/>
      <c r="P94" s="11"/>
    </row>
    <row r="95" customFormat="false" ht="15" hidden="false" customHeight="false" outlineLevel="0" collapsed="false">
      <c r="A95" s="11"/>
      <c r="B95" s="11"/>
      <c r="C95" s="17" t="str">
        <f aca="false">IF(B95="","",IFERROR(INDEX(Cadastro!$B$5:$B$304,MATCH(B95,Cadastro!$A$5:$A$304,0)),"ID não encontrado"))</f>
        <v/>
      </c>
      <c r="D95" s="11"/>
      <c r="E95" s="11"/>
      <c r="F95" s="13"/>
      <c r="G95" s="14" t="str">
        <f aca="false">IF(F95="","",WORKDAY(F95,5))</f>
        <v/>
      </c>
      <c r="H95" s="11"/>
      <c r="I95" s="11"/>
      <c r="J95" s="13"/>
      <c r="K95" s="11"/>
      <c r="L95" s="11"/>
      <c r="M95" s="11"/>
      <c r="N95" s="13"/>
      <c r="O95" s="13"/>
      <c r="P95" s="11"/>
    </row>
    <row r="96" customFormat="false" ht="15" hidden="false" customHeight="false" outlineLevel="0" collapsed="false">
      <c r="A96" s="11"/>
      <c r="B96" s="11"/>
      <c r="C96" s="17" t="str">
        <f aca="false">IF(B96="","",IFERROR(INDEX(Cadastro!$B$5:$B$304,MATCH(B96,Cadastro!$A$5:$A$304,0)),"ID não encontrado"))</f>
        <v/>
      </c>
      <c r="D96" s="11"/>
      <c r="E96" s="11"/>
      <c r="F96" s="13"/>
      <c r="G96" s="14" t="str">
        <f aca="false">IF(F96="","",WORKDAY(F96,5))</f>
        <v/>
      </c>
      <c r="H96" s="11"/>
      <c r="I96" s="11"/>
      <c r="J96" s="13"/>
      <c r="K96" s="11"/>
      <c r="L96" s="11"/>
      <c r="M96" s="11"/>
      <c r="N96" s="13"/>
      <c r="O96" s="13"/>
      <c r="P96" s="11"/>
    </row>
    <row r="97" customFormat="false" ht="15" hidden="false" customHeight="false" outlineLevel="0" collapsed="false">
      <c r="A97" s="11"/>
      <c r="B97" s="11"/>
      <c r="C97" s="17" t="str">
        <f aca="false">IF(B97="","",IFERROR(INDEX(Cadastro!$B$5:$B$304,MATCH(B97,Cadastro!$A$5:$A$304,0)),"ID não encontrado"))</f>
        <v/>
      </c>
      <c r="D97" s="11"/>
      <c r="E97" s="11"/>
      <c r="F97" s="13"/>
      <c r="G97" s="14" t="str">
        <f aca="false">IF(F97="","",WORKDAY(F97,5))</f>
        <v/>
      </c>
      <c r="H97" s="11"/>
      <c r="I97" s="11"/>
      <c r="J97" s="13"/>
      <c r="K97" s="11"/>
      <c r="L97" s="11"/>
      <c r="M97" s="11"/>
      <c r="N97" s="13"/>
      <c r="O97" s="13"/>
      <c r="P97" s="11"/>
    </row>
    <row r="98" customFormat="false" ht="15" hidden="false" customHeight="false" outlineLevel="0" collapsed="false">
      <c r="A98" s="11"/>
      <c r="B98" s="11"/>
      <c r="C98" s="17" t="str">
        <f aca="false">IF(B98="","",IFERROR(INDEX(Cadastro!$B$5:$B$304,MATCH(B98,Cadastro!$A$5:$A$304,0)),"ID não encontrado"))</f>
        <v/>
      </c>
      <c r="D98" s="11"/>
      <c r="E98" s="11"/>
      <c r="F98" s="13"/>
      <c r="G98" s="14" t="str">
        <f aca="false">IF(F98="","",WORKDAY(F98,5))</f>
        <v/>
      </c>
      <c r="H98" s="11"/>
      <c r="I98" s="11"/>
      <c r="J98" s="13"/>
      <c r="K98" s="11"/>
      <c r="L98" s="11"/>
      <c r="M98" s="11"/>
      <c r="N98" s="13"/>
      <c r="O98" s="13"/>
      <c r="P98" s="11"/>
    </row>
    <row r="99" customFormat="false" ht="15" hidden="false" customHeight="false" outlineLevel="0" collapsed="false">
      <c r="A99" s="11"/>
      <c r="B99" s="11"/>
      <c r="C99" s="17" t="str">
        <f aca="false">IF(B99="","",IFERROR(INDEX(Cadastro!$B$5:$B$304,MATCH(B99,Cadastro!$A$5:$A$304,0)),"ID não encontrado"))</f>
        <v/>
      </c>
      <c r="D99" s="11"/>
      <c r="E99" s="11"/>
      <c r="F99" s="13"/>
      <c r="G99" s="14" t="str">
        <f aca="false">IF(F99="","",WORKDAY(F99,5))</f>
        <v/>
      </c>
      <c r="H99" s="11"/>
      <c r="I99" s="11"/>
      <c r="J99" s="13"/>
      <c r="K99" s="11"/>
      <c r="L99" s="11"/>
      <c r="M99" s="11"/>
      <c r="N99" s="13"/>
      <c r="O99" s="13"/>
      <c r="P99" s="11"/>
    </row>
    <row r="100" customFormat="false" ht="15" hidden="false" customHeight="false" outlineLevel="0" collapsed="false">
      <c r="A100" s="11"/>
      <c r="B100" s="11"/>
      <c r="C100" s="17" t="str">
        <f aca="false">IF(B100="","",IFERROR(INDEX(Cadastro!$B$5:$B$304,MATCH(B100,Cadastro!$A$5:$A$304,0)),"ID não encontrado"))</f>
        <v/>
      </c>
      <c r="D100" s="11"/>
      <c r="E100" s="11"/>
      <c r="F100" s="13"/>
      <c r="G100" s="14" t="str">
        <f aca="false">IF(F100="","",WORKDAY(F100,5))</f>
        <v/>
      </c>
      <c r="H100" s="11"/>
      <c r="I100" s="11"/>
      <c r="J100" s="13"/>
      <c r="K100" s="11"/>
      <c r="L100" s="11"/>
      <c r="M100" s="11"/>
      <c r="N100" s="13"/>
      <c r="O100" s="13"/>
      <c r="P100" s="11"/>
    </row>
    <row r="101" customFormat="false" ht="15" hidden="false" customHeight="false" outlineLevel="0" collapsed="false">
      <c r="A101" s="11"/>
      <c r="B101" s="11"/>
      <c r="C101" s="17" t="str">
        <f aca="false">IF(B101="","",IFERROR(INDEX(Cadastro!$B$5:$B$304,MATCH(B101,Cadastro!$A$5:$A$304,0)),"ID não encontrado"))</f>
        <v/>
      </c>
      <c r="D101" s="11"/>
      <c r="E101" s="11"/>
      <c r="F101" s="13"/>
      <c r="G101" s="14" t="str">
        <f aca="false">IF(F101="","",WORKDAY(F101,5))</f>
        <v/>
      </c>
      <c r="H101" s="11"/>
      <c r="I101" s="11"/>
      <c r="J101" s="13"/>
      <c r="K101" s="11"/>
      <c r="L101" s="11"/>
      <c r="M101" s="11"/>
      <c r="N101" s="13"/>
      <c r="O101" s="13"/>
      <c r="P101" s="11"/>
    </row>
    <row r="102" customFormat="false" ht="15" hidden="false" customHeight="false" outlineLevel="0" collapsed="false">
      <c r="A102" s="11"/>
      <c r="B102" s="11"/>
      <c r="C102" s="17" t="str">
        <f aca="false">IF(B102="","",IFERROR(INDEX(Cadastro!$B$5:$B$304,MATCH(B102,Cadastro!$A$5:$A$304,0)),"ID não encontrado"))</f>
        <v/>
      </c>
      <c r="D102" s="11"/>
      <c r="E102" s="11"/>
      <c r="F102" s="13"/>
      <c r="G102" s="14" t="str">
        <f aca="false">IF(F102="","",WORKDAY(F102,5))</f>
        <v/>
      </c>
      <c r="H102" s="11"/>
      <c r="I102" s="11"/>
      <c r="J102" s="13"/>
      <c r="K102" s="11"/>
      <c r="L102" s="11"/>
      <c r="M102" s="11"/>
      <c r="N102" s="13"/>
      <c r="O102" s="13"/>
      <c r="P102" s="11"/>
    </row>
    <row r="103" customFormat="false" ht="15" hidden="false" customHeight="false" outlineLevel="0" collapsed="false">
      <c r="A103" s="11"/>
      <c r="B103" s="11"/>
      <c r="C103" s="17" t="str">
        <f aca="false">IF(B103="","",IFERROR(INDEX(Cadastro!$B$5:$B$304,MATCH(B103,Cadastro!$A$5:$A$304,0)),"ID não encontrado"))</f>
        <v/>
      </c>
      <c r="D103" s="11"/>
      <c r="E103" s="11"/>
      <c r="F103" s="13"/>
      <c r="G103" s="14" t="str">
        <f aca="false">IF(F103="","",WORKDAY(F103,5))</f>
        <v/>
      </c>
      <c r="H103" s="11"/>
      <c r="I103" s="11"/>
      <c r="J103" s="13"/>
      <c r="K103" s="11"/>
      <c r="L103" s="11"/>
      <c r="M103" s="11"/>
      <c r="N103" s="13"/>
      <c r="O103" s="13"/>
      <c r="P103" s="11"/>
    </row>
    <row r="104" customFormat="false" ht="15" hidden="false" customHeight="false" outlineLevel="0" collapsed="false">
      <c r="A104" s="11"/>
      <c r="B104" s="11"/>
      <c r="C104" s="17" t="str">
        <f aca="false">IF(B104="","",IFERROR(INDEX(Cadastro!$B$5:$B$304,MATCH(B104,Cadastro!$A$5:$A$304,0)),"ID não encontrado"))</f>
        <v/>
      </c>
      <c r="D104" s="11"/>
      <c r="E104" s="11"/>
      <c r="F104" s="13"/>
      <c r="G104" s="14" t="str">
        <f aca="false">IF(F104="","",WORKDAY(F104,5))</f>
        <v/>
      </c>
      <c r="H104" s="11"/>
      <c r="I104" s="11"/>
      <c r="J104" s="13"/>
      <c r="K104" s="11"/>
      <c r="L104" s="11"/>
      <c r="M104" s="11"/>
      <c r="N104" s="13"/>
      <c r="O104" s="13"/>
      <c r="P10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323</v>
      </c>
      <c r="B1" s="2"/>
      <c r="C1" s="2"/>
      <c r="D1" s="2"/>
      <c r="E1" s="2"/>
    </row>
    <row r="2" customFormat="false" ht="15" hidden="false" customHeight="false" outlineLevel="0" collapsed="false">
      <c r="A2" s="3" t="s">
        <v>324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325</v>
      </c>
      <c r="B4" s="28" t="n">
        <v>46204</v>
      </c>
      <c r="C4" s="2"/>
      <c r="D4" s="2"/>
      <c r="E4" s="2"/>
    </row>
    <row r="5" customFormat="false" ht="15" hidden="false" customHeight="false" outlineLevel="0" collapsed="false">
      <c r="A5" s="4" t="s">
        <v>326</v>
      </c>
      <c r="B5" s="28" t="n">
        <v>46387</v>
      </c>
      <c r="C5" s="2"/>
      <c r="D5" s="2"/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31.5" hidden="false" customHeight="true" outlineLevel="0" collapsed="false">
      <c r="A7" s="6" t="s">
        <v>327</v>
      </c>
      <c r="B7" s="6" t="s">
        <v>19</v>
      </c>
      <c r="C7" s="6" t="s">
        <v>328</v>
      </c>
      <c r="D7" s="6" t="s">
        <v>329</v>
      </c>
      <c r="E7" s="6" t="s">
        <v>330</v>
      </c>
    </row>
    <row r="8" customFormat="false" ht="15" hidden="false" customHeight="false" outlineLevel="0" collapsed="false">
      <c r="A8" s="4" t="s">
        <v>331</v>
      </c>
      <c r="B8" s="12" t="n">
        <f aca="false">COUNTIF(Cadastro!$O$5:$O$304,"Ativo")</f>
        <v>5</v>
      </c>
      <c r="C8" s="2"/>
      <c r="D8" s="2"/>
      <c r="E8" s="3" t="s">
        <v>332</v>
      </c>
    </row>
    <row r="9" customFormat="false" ht="15" hidden="false" customHeight="false" outlineLevel="0" collapsed="false">
      <c r="A9" s="12" t="s">
        <v>333</v>
      </c>
      <c r="B9" s="12" t="n">
        <f aca="false">COUNTIFS(Cadastro!$O$5:$O$304,"Ativo",Cadastro!$E$5:$E$304,"S")</f>
        <v>5</v>
      </c>
      <c r="C9" s="2"/>
      <c r="D9" s="2"/>
      <c r="E9" s="3" t="s">
        <v>334</v>
      </c>
    </row>
    <row r="10" customFormat="false" ht="15" hidden="false" customHeight="false" outlineLevel="0" collapsed="false">
      <c r="A10" s="12" t="s">
        <v>335</v>
      </c>
      <c r="B10" s="12" t="n">
        <f aca="false">COUNTIFS(Cadastro!$O$5:$O$304,"Ativo",Cadastro!$F$5:$F$304,"S")</f>
        <v>3</v>
      </c>
      <c r="C10" s="2"/>
      <c r="D10" s="2"/>
      <c r="E10" s="3" t="s">
        <v>336</v>
      </c>
    </row>
    <row r="11" customFormat="false" ht="15" hidden="false" customHeight="false" outlineLevel="0" collapsed="false">
      <c r="A11" s="12" t="s">
        <v>337</v>
      </c>
      <c r="B11" s="12" t="n">
        <f aca="false">COUNTIFS(Cadastro!$O$5:$O$304,"Ativo",Cadastro!$I$5:$I$304,"T1")</f>
        <v>3</v>
      </c>
      <c r="C11" s="2"/>
      <c r="D11" s="2"/>
      <c r="E11" s="3" t="s">
        <v>338</v>
      </c>
    </row>
    <row r="12" customFormat="false" ht="15" hidden="false" customHeight="false" outlineLevel="0" collapsed="false">
      <c r="A12" s="4" t="s">
        <v>339</v>
      </c>
      <c r="B12" s="12" t="n">
        <f aca="false">COUNTIF(Cadastro!$T$5:$T$304,"RENOVAR")</f>
        <v>0</v>
      </c>
      <c r="C12" s="2"/>
      <c r="D12" s="2"/>
      <c r="E12" s="3" t="s">
        <v>340</v>
      </c>
    </row>
    <row r="13" customFormat="false" ht="15" hidden="false" customHeight="false" outlineLevel="0" collapsed="false">
      <c r="A13" s="4" t="s">
        <v>341</v>
      </c>
      <c r="B13" s="12" t="n">
        <f aca="false">COUNTIFS(Contratações!$O$5:$O$504,"&gt;="&amp;$B$4,Contratações!$O$5:$O$504,"&lt;="&amp;$B$5)</f>
        <v>5</v>
      </c>
      <c r="C13" s="2"/>
      <c r="D13" s="2"/>
      <c r="E13" s="3" t="s">
        <v>342</v>
      </c>
    </row>
    <row r="14" customFormat="false" ht="15" hidden="false" customHeight="false" outlineLevel="0" collapsed="false">
      <c r="A14" s="4" t="s">
        <v>343</v>
      </c>
      <c r="B14" s="15" t="n">
        <f aca="false">SUMIFS(Contratações!$N$5:$N$504,Contratações!$O$5:$O$504,"&gt;="&amp;$B$4,Contratações!$O$5:$O$504,"&lt;="&amp;$B$5)</f>
        <v>40550</v>
      </c>
      <c r="C14" s="2"/>
      <c r="D14" s="2"/>
      <c r="E14" s="3" t="s">
        <v>344</v>
      </c>
    </row>
    <row r="15" customFormat="false" ht="15" hidden="false" customHeight="false" outlineLevel="0" collapsed="false">
      <c r="A15" s="4" t="s">
        <v>345</v>
      </c>
      <c r="B15" s="25" t="n">
        <f aca="false">IFERROR(SUMIFS(Contratações!$N$5:$N$504,Contratações!$O$5:$O$504,"&gt;="&amp;$B$4,Contratações!$O$5:$O$504,"&lt;="&amp;$B$5,Contratações!$K$5:$K$504,"S")/B14,0)</f>
        <v>1</v>
      </c>
      <c r="C15" s="29" t="n">
        <f aca="false">Parâmetros!$B$14</f>
        <v>0.7</v>
      </c>
      <c r="D15" s="12" t="str">
        <f aca="false">IF(B15&gt;=C15,"OK","ATENÇÃO")</f>
        <v>OK</v>
      </c>
      <c r="E15" s="3" t="s">
        <v>41</v>
      </c>
    </row>
    <row r="16" customFormat="false" ht="15" hidden="false" customHeight="false" outlineLevel="0" collapsed="false">
      <c r="A16" s="4" t="s">
        <v>346</v>
      </c>
      <c r="B16" s="25" t="n">
        <f aca="false">IFERROR(SUMIFS(Contratações!$N$5:$N$504,Contratações!$O$5:$O$504,"&gt;="&amp;$B$4,Contratações!$O$5:$O$504,"&lt;="&amp;$B$5,Contratações!$L$5:$L$504,"S")/B14,0)</f>
        <v>0.430332922318126</v>
      </c>
      <c r="C16" s="29" t="n">
        <f aca="false">Parâmetros!$B$15</f>
        <v>0.3</v>
      </c>
      <c r="D16" s="12" t="str">
        <f aca="false">IF(B16&gt;=C16,"OK","ATENÇÃO")</f>
        <v>OK</v>
      </c>
      <c r="E16" s="3" t="s">
        <v>41</v>
      </c>
    </row>
    <row r="17" customFormat="false" ht="15" hidden="false" customHeight="false" outlineLevel="0" collapsed="false">
      <c r="A17" s="4" t="s">
        <v>347</v>
      </c>
      <c r="B17" s="25" t="n">
        <f aca="false">IFERROR(SUMIFS(Contratações!$N$5:$N$504,Contratações!$O$5:$O$504,"&gt;="&amp;$B$4,Contratações!$O$5:$O$504,"&lt;="&amp;$B$5,Contratações!$M$5:$M$504,"T1")/B14,0)</f>
        <v>0.430332922318126</v>
      </c>
      <c r="C17" s="29" t="n">
        <f aca="false">Parâmetros!$B$16</f>
        <v>0.5</v>
      </c>
      <c r="D17" s="12" t="str">
        <f aca="false">IF(B17&gt;=C17,"OK","ATENÇÃO")</f>
        <v>ATENÇÃO</v>
      </c>
      <c r="E17" s="3" t="s">
        <v>41</v>
      </c>
    </row>
    <row r="18" customFormat="false" ht="15" hidden="false" customHeight="false" outlineLevel="0" collapsed="false">
      <c r="A18" s="4" t="s">
        <v>348</v>
      </c>
      <c r="B18" s="12" t="n">
        <f aca="false">COUNTIFS(Contratações!$O$5:$O$504,"&gt;="&amp;$B$4,Contratações!$O$5:$O$504,"&lt;="&amp;$B$5,Contratações!$G$5:$G$504,"Faixa 1")</f>
        <v>4</v>
      </c>
      <c r="C18" s="2"/>
      <c r="D18" s="2"/>
      <c r="E18" s="3"/>
    </row>
    <row r="19" customFormat="false" ht="15" hidden="false" customHeight="false" outlineLevel="0" collapsed="false">
      <c r="A19" s="4" t="s">
        <v>349</v>
      </c>
      <c r="B19" s="12" t="n">
        <f aca="false">COUNTIFS(Contratações!$O$5:$O$504,"&gt;="&amp;$B$4,Contratações!$O$5:$O$504,"&lt;="&amp;$B$5,Contratações!$G$5:$G$504,"Faixa 2")</f>
        <v>1</v>
      </c>
      <c r="C19" s="2"/>
      <c r="D19" s="2"/>
      <c r="E19" s="3"/>
    </row>
    <row r="20" customFormat="false" ht="15" hidden="false" customHeight="false" outlineLevel="0" collapsed="false">
      <c r="A20" s="4" t="s">
        <v>350</v>
      </c>
      <c r="B20" s="12" t="n">
        <f aca="false">COUNTIFS(Contratações!$O$5:$O$504,"&gt;="&amp;$B$4,Contratações!$O$5:$O$504,"&lt;="&amp;$B$5,Contratações!$G$5:$G$504,"Faixa 3")</f>
        <v>0</v>
      </c>
      <c r="C20" s="2"/>
      <c r="D20" s="2"/>
      <c r="E20" s="3"/>
    </row>
    <row r="21" customFormat="false" ht="15" hidden="false" customHeight="false" outlineLevel="0" collapsed="false">
      <c r="A21" s="4" t="s">
        <v>351</v>
      </c>
      <c r="B21" s="16" t="n">
        <f aca="false">IFERROR(AVERAGEIFS(Contratações!$P$5:$P$504,Contratações!$O$5:$O$504,"&gt;="&amp;$B$4,Contratações!$O$5:$O$504,"&lt;="&amp;$B$5),0)</f>
        <v>2.8</v>
      </c>
      <c r="C21" s="11" t="n">
        <v>4</v>
      </c>
      <c r="D21" s="12" t="str">
        <f aca="false">IF(B21&lt;=C21,"OK","ATENÇÃO")</f>
        <v>OK</v>
      </c>
      <c r="E21" s="3" t="s">
        <v>45</v>
      </c>
    </row>
    <row r="22" customFormat="false" ht="15" hidden="false" customHeight="false" outlineLevel="0" collapsed="false">
      <c r="A22" s="4" t="s">
        <v>352</v>
      </c>
      <c r="B22" s="16" t="n">
        <f aca="false">IFERROR(AVERAGEIFS(Contratações!$R$5:$R$504,Contratações!$O$5:$O$504,"&gt;="&amp;$B$4,Contratações!$O$5:$O$504,"&lt;="&amp;$B$5,Contratações!$R$5:$R$504,"&gt;0"),0)</f>
        <v>4.4</v>
      </c>
      <c r="C22" s="30" t="n">
        <f aca="false">Parâmetros!$B$17</f>
        <v>4</v>
      </c>
      <c r="D22" s="12" t="str">
        <f aca="false">IF(B22&gt;=C22,"OK","ATENÇÃO")</f>
        <v>OK</v>
      </c>
      <c r="E22" s="3" t="s">
        <v>353</v>
      </c>
    </row>
    <row r="23" customFormat="false" ht="15" hidden="false" customHeight="false" outlineLevel="0" collapsed="false">
      <c r="A23" s="4" t="s">
        <v>354</v>
      </c>
      <c r="B23" s="25" t="n">
        <f aca="false">IFERROR(COUNTIFS(Contratações!$O$5:$O$504,"&gt;="&amp;$B$4,Contratações!$O$5:$O$504,"&lt;="&amp;$B$5,Contratações!$T$5:$T$504,"S")/B13,0)</f>
        <v>0.2</v>
      </c>
      <c r="C23" s="29" t="n">
        <f aca="false">Parâmetros!$B$18</f>
        <v>0.05</v>
      </c>
      <c r="D23" s="12" t="str">
        <f aca="false">IF(B23&lt;=C23,"OK","ATENÇÃO")</f>
        <v>ATENÇÃO</v>
      </c>
      <c r="E23" s="3" t="s">
        <v>355</v>
      </c>
    </row>
    <row r="24" customFormat="false" ht="15" hidden="false" customHeight="false" outlineLevel="0" collapsed="false">
      <c r="A24" s="4" t="s">
        <v>356</v>
      </c>
      <c r="B24" s="25" t="n">
        <f aca="false">IFERROR(COUNTIFS(Contratações!$O$5:$O$504,"&gt;="&amp;$B$4,Contratações!$O$5:$O$504,"&lt;="&amp;$B$5,Contratações!$W$5:$W$504,"S")/B13,0)</f>
        <v>0.8</v>
      </c>
      <c r="C24" s="31" t="n">
        <v>1</v>
      </c>
      <c r="D24" s="12" t="str">
        <f aca="false">IF(B24&gt;=C24,"OK","ATENÇÃO")</f>
        <v>ATENÇÃO</v>
      </c>
      <c r="E24" s="3" t="s">
        <v>357</v>
      </c>
    </row>
    <row r="25" customFormat="false" ht="15" hidden="false" customHeight="false" outlineLevel="0" collapsed="false">
      <c r="A25" s="4" t="s">
        <v>358</v>
      </c>
      <c r="B25" s="12" t="n">
        <f aca="false">COUNTIFS(Sanções!$F$5:$F$104,"&gt;="&amp;$B$4,Sanções!$F$5:$F$104,"&lt;="&amp;$B$5)</f>
        <v>1</v>
      </c>
      <c r="C25" s="2"/>
      <c r="D25" s="2"/>
      <c r="E25" s="3" t="s">
        <v>359</v>
      </c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4" t="s">
        <v>360</v>
      </c>
      <c r="B29" s="2"/>
      <c r="C29" s="2"/>
      <c r="D29" s="2"/>
      <c r="E29" s="2"/>
    </row>
    <row r="30" customFormat="false" ht="31.5" hidden="false" customHeight="true" outlineLevel="0" collapsed="false">
      <c r="A30" s="6" t="s">
        <v>220</v>
      </c>
      <c r="B30" s="6" t="s">
        <v>361</v>
      </c>
      <c r="C30" s="6" t="s">
        <v>144</v>
      </c>
      <c r="D30" s="6" t="s">
        <v>362</v>
      </c>
      <c r="E30" s="6" t="s">
        <v>331</v>
      </c>
    </row>
    <row r="31" customFormat="false" ht="15" hidden="false" customHeight="false" outlineLevel="0" collapsed="false">
      <c r="A31" s="17" t="str">
        <f aca="false">Parâmetros!H24</f>
        <v>L01</v>
      </c>
      <c r="B31" s="17" t="str">
        <f aca="false">Parâmetros!I24</f>
        <v>Alimentação — lanches e kits</v>
      </c>
      <c r="C31" s="12" t="n">
        <f aca="false">COUNTIFS(Contratações!$O$5:$O$504,"&gt;="&amp;$B$4,Contratações!$O$5:$O$504,"&lt;="&amp;$B$5,Contratações!$D$5:$D$504,A31)</f>
        <v>1</v>
      </c>
      <c r="D31" s="15" t="n">
        <f aca="false">SUMIFS(Contratações!$N$5:$N$504,Contratações!$O$5:$O$504,"&gt;="&amp;$B$4,Contratações!$O$5:$O$504,"&lt;="&amp;$B$5,Contratações!$D$5:$D$504,A31)</f>
        <v>3850</v>
      </c>
      <c r="E31" s="12" t="n">
        <f aca="false">SUMPRODUCT((Cadastro!$O$5:$O$304="Ativo")*ISNUMBER(SEARCH(A31,Cadastro!$J$5:$J$304)))</f>
        <v>1</v>
      </c>
    </row>
    <row r="32" customFormat="false" ht="15" hidden="false" customHeight="false" outlineLevel="0" collapsed="false">
      <c r="A32" s="17" t="str">
        <f aca="false">Parâmetros!H25</f>
        <v>L02</v>
      </c>
      <c r="B32" s="17" t="str">
        <f aca="false">Parâmetros!I25</f>
        <v>Bufê e churrasqueiro</v>
      </c>
      <c r="C32" s="12" t="n">
        <f aca="false">COUNTIFS(Contratações!$O$5:$O$504,"&gt;="&amp;$B$4,Contratações!$O$5:$O$504,"&lt;="&amp;$B$5,Contratações!$D$5:$D$504,A32)</f>
        <v>0</v>
      </c>
      <c r="D32" s="15" t="n">
        <f aca="false">SUMIFS(Contratações!$N$5:$N$504,Contratações!$O$5:$O$504,"&gt;="&amp;$B$4,Contratações!$O$5:$O$504,"&lt;="&amp;$B$5,Contratações!$D$5:$D$504,A32)</f>
        <v>0</v>
      </c>
      <c r="E32" s="12" t="n">
        <f aca="false">SUMPRODUCT((Cadastro!$O$5:$O$304="Ativo")*ISNUMBER(SEARCH(A32,Cadastro!$J$5:$J$304)))</f>
        <v>1</v>
      </c>
    </row>
    <row r="33" customFormat="false" ht="15" hidden="false" customHeight="false" outlineLevel="0" collapsed="false">
      <c r="A33" s="17" t="str">
        <f aca="false">Parâmetros!H26</f>
        <v>L03</v>
      </c>
      <c r="B33" s="17" t="str">
        <f aca="false">Parâmetros!I26</f>
        <v>Sonorização e música</v>
      </c>
      <c r="C33" s="12" t="n">
        <f aca="false">COUNTIFS(Contratações!$O$5:$O$504,"&gt;="&amp;$B$4,Contratações!$O$5:$O$504,"&lt;="&amp;$B$5,Contratações!$D$5:$D$504,A33)</f>
        <v>1</v>
      </c>
      <c r="D33" s="15" t="n">
        <f aca="false">SUMIFS(Contratações!$N$5:$N$504,Contratações!$O$5:$O$504,"&gt;="&amp;$B$4,Contratações!$O$5:$O$504,"&lt;="&amp;$B$5,Contratações!$D$5:$D$504,A33)</f>
        <v>17200</v>
      </c>
      <c r="E33" s="12" t="n">
        <f aca="false">SUMPRODUCT((Cadastro!$O$5:$O$304="Ativo")*ISNUMBER(SEARCH(A33,Cadastro!$J$5:$J$304)))</f>
        <v>1</v>
      </c>
    </row>
    <row r="34" customFormat="false" ht="15" hidden="false" customHeight="false" outlineLevel="0" collapsed="false">
      <c r="A34" s="17" t="str">
        <f aca="false">Parâmetros!H27</f>
        <v>L04</v>
      </c>
      <c r="B34" s="17" t="str">
        <f aca="false">Parâmetros!I27</f>
        <v>Estruturas para eventos</v>
      </c>
      <c r="C34" s="12" t="n">
        <f aca="false">COUNTIFS(Contratações!$O$5:$O$504,"&gt;="&amp;$B$4,Contratações!$O$5:$O$504,"&lt;="&amp;$B$5,Contratações!$D$5:$D$504,A34)</f>
        <v>0</v>
      </c>
      <c r="D34" s="15" t="n">
        <f aca="false">SUMIFS(Contratações!$N$5:$N$504,Contratações!$O$5:$O$504,"&gt;="&amp;$B$4,Contratações!$O$5:$O$504,"&lt;="&amp;$B$5,Contratações!$D$5:$D$504,A34)</f>
        <v>0</v>
      </c>
      <c r="E34" s="12" t="n">
        <f aca="false">SUMPRODUCT((Cadastro!$O$5:$O$304="Ativo")*ISNUMBER(SEARCH(A34,Cadastro!$J$5:$J$304)))</f>
        <v>1</v>
      </c>
    </row>
    <row r="35" customFormat="false" ht="15" hidden="false" customHeight="false" outlineLevel="0" collapsed="false">
      <c r="A35" s="17" t="str">
        <f aca="false">Parâmetros!H28</f>
        <v>L05</v>
      </c>
      <c r="B35" s="17" t="str">
        <f aca="false">Parâmetros!I28</f>
        <v>Locação de mobiliário e equipamentos</v>
      </c>
      <c r="C35" s="12" t="n">
        <f aca="false">COUNTIFS(Contratações!$O$5:$O$504,"&gt;="&amp;$B$4,Contratações!$O$5:$O$504,"&lt;="&amp;$B$5,Contratações!$D$5:$D$504,A35)</f>
        <v>0</v>
      </c>
      <c r="D35" s="15" t="n">
        <f aca="false">SUMIFS(Contratações!$N$5:$N$504,Contratações!$O$5:$O$504,"&gt;="&amp;$B$4,Contratações!$O$5:$O$504,"&lt;="&amp;$B$5,Contratações!$D$5:$D$504,A35)</f>
        <v>0</v>
      </c>
      <c r="E35" s="12" t="n">
        <f aca="false">SUMPRODUCT((Cadastro!$O$5:$O$304="Ativo")*ISNUMBER(SEARCH(A35,Cadastro!$J$5:$J$304)))</f>
        <v>0</v>
      </c>
    </row>
    <row r="36" customFormat="false" ht="15" hidden="false" customHeight="false" outlineLevel="0" collapsed="false">
      <c r="A36" s="17" t="str">
        <f aca="false">Parâmetros!H29</f>
        <v>L06</v>
      </c>
      <c r="B36" s="17" t="str">
        <f aca="false">Parâmetros!I29</f>
        <v>Cerimonial e apoio a eventos</v>
      </c>
      <c r="C36" s="12" t="n">
        <f aca="false">COUNTIFS(Contratações!$O$5:$O$504,"&gt;="&amp;$B$4,Contratações!$O$5:$O$504,"&lt;="&amp;$B$5,Contratações!$D$5:$D$504,A36)</f>
        <v>0</v>
      </c>
      <c r="D36" s="15" t="n">
        <f aca="false">SUMIFS(Contratações!$N$5:$N$504,Contratações!$O$5:$O$504,"&gt;="&amp;$B$4,Contratações!$O$5:$O$504,"&lt;="&amp;$B$5,Contratações!$D$5:$D$504,A36)</f>
        <v>0</v>
      </c>
      <c r="E36" s="12" t="n">
        <f aca="false">SUMPRODUCT((Cadastro!$O$5:$O$304="Ativo")*ISNUMBER(SEARCH(A36,Cadastro!$J$5:$J$304)))</f>
        <v>0</v>
      </c>
    </row>
    <row r="37" customFormat="false" ht="15" hidden="false" customHeight="false" outlineLevel="0" collapsed="false">
      <c r="A37" s="17" t="str">
        <f aca="false">Parâmetros!H30</f>
        <v>L07</v>
      </c>
      <c r="B37" s="17" t="str">
        <f aca="false">Parâmetros!I30</f>
        <v>Recreação, oficinas e atrações</v>
      </c>
      <c r="C37" s="12" t="n">
        <f aca="false">COUNTIFS(Contratações!$O$5:$O$504,"&gt;="&amp;$B$4,Contratações!$O$5:$O$504,"&lt;="&amp;$B$5,Contratações!$D$5:$D$504,A37)</f>
        <v>1</v>
      </c>
      <c r="D37" s="15" t="n">
        <f aca="false">SUMIFS(Contratações!$N$5:$N$504,Contratações!$O$5:$O$504,"&gt;="&amp;$B$4,Contratações!$O$5:$O$504,"&lt;="&amp;$B$5,Contratações!$D$5:$D$504,A37)</f>
        <v>4000</v>
      </c>
      <c r="E37" s="12" t="n">
        <f aca="false">SUMPRODUCT((Cadastro!$O$5:$O$304="Ativo")*ISNUMBER(SEARCH(A37,Cadastro!$J$5:$J$304)))</f>
        <v>1</v>
      </c>
    </row>
    <row r="38" customFormat="false" ht="15" hidden="false" customHeight="false" outlineLevel="0" collapsed="false">
      <c r="A38" s="17" t="str">
        <f aca="false">Parâmetros!H31</f>
        <v>L08</v>
      </c>
      <c r="B38" s="17" t="str">
        <f aca="false">Parâmetros!I31</f>
        <v>Atividade física e bem-estar</v>
      </c>
      <c r="C38" s="12" t="n">
        <f aca="false">COUNTIFS(Contratações!$O$5:$O$504,"&gt;="&amp;$B$4,Contratações!$O$5:$O$504,"&lt;="&amp;$B$5,Contratações!$D$5:$D$504,A38)</f>
        <v>0</v>
      </c>
      <c r="D38" s="15" t="n">
        <f aca="false">SUMIFS(Contratações!$N$5:$N$504,Contratações!$O$5:$O$504,"&gt;="&amp;$B$4,Contratações!$O$5:$O$504,"&lt;="&amp;$B$5,Contratações!$D$5:$D$504,A38)</f>
        <v>0</v>
      </c>
      <c r="E38" s="12" t="n">
        <f aca="false">SUMPRODUCT((Cadastro!$O$5:$O$304="Ativo")*ISNUMBER(SEARCH(A38,Cadastro!$J$5:$J$304)))</f>
        <v>1</v>
      </c>
    </row>
    <row r="39" customFormat="false" ht="15" hidden="false" customHeight="false" outlineLevel="0" collapsed="false">
      <c r="A39" s="17" t="str">
        <f aca="false">Parâmetros!H32</f>
        <v>L09</v>
      </c>
      <c r="B39" s="17" t="str">
        <f aca="false">Parâmetros!I32</f>
        <v>Fotografia e audiovisual</v>
      </c>
      <c r="C39" s="12" t="n">
        <f aca="false">COUNTIFS(Contratações!$O$5:$O$504,"&gt;="&amp;$B$4,Contratações!$O$5:$O$504,"&lt;="&amp;$B$5,Contratações!$D$5:$D$504,A39)</f>
        <v>0</v>
      </c>
      <c r="D39" s="15" t="n">
        <f aca="false">SUMIFS(Contratações!$N$5:$N$504,Contratações!$O$5:$O$504,"&gt;="&amp;$B$4,Contratações!$O$5:$O$504,"&lt;="&amp;$B$5,Contratações!$D$5:$D$504,A39)</f>
        <v>0</v>
      </c>
      <c r="E39" s="12" t="n">
        <f aca="false">SUMPRODUCT((Cadastro!$O$5:$O$304="Ativo")*ISNUMBER(SEARCH(A39,Cadastro!$J$5:$J$304)))</f>
        <v>0</v>
      </c>
    </row>
    <row r="40" customFormat="false" ht="15" hidden="false" customHeight="false" outlineLevel="0" collapsed="false">
      <c r="A40" s="17" t="str">
        <f aca="false">Parâmetros!H33</f>
        <v>L10</v>
      </c>
      <c r="B40" s="17" t="str">
        <f aca="false">Parâmetros!I33</f>
        <v>Comunicação visual e impressão</v>
      </c>
      <c r="C40" s="12" t="n">
        <f aca="false">COUNTIFS(Contratações!$O$5:$O$504,"&gt;="&amp;$B$4,Contratações!$O$5:$O$504,"&lt;="&amp;$B$5,Contratações!$D$5:$D$504,A40)</f>
        <v>1</v>
      </c>
      <c r="D40" s="15" t="n">
        <f aca="false">SUMIFS(Contratações!$N$5:$N$504,Contratações!$O$5:$O$504,"&gt;="&amp;$B$4,Contratações!$O$5:$O$504,"&lt;="&amp;$B$5,Contratações!$D$5:$D$504,A40)</f>
        <v>5900</v>
      </c>
      <c r="E40" s="12" t="n">
        <f aca="false">SUMPRODUCT((Cadastro!$O$5:$O$304="Ativo")*ISNUMBER(SEARCH(A40,Cadastro!$J$5:$J$304)))</f>
        <v>1</v>
      </c>
    </row>
    <row r="41" customFormat="false" ht="15" hidden="false" customHeight="false" outlineLevel="0" collapsed="false">
      <c r="A41" s="17" t="str">
        <f aca="false">Parâmetros!H34</f>
        <v>L11</v>
      </c>
      <c r="B41" s="17" t="str">
        <f aca="false">Parâmetros!I34</f>
        <v>Confecção e uniformes</v>
      </c>
      <c r="C41" s="12" t="n">
        <f aca="false">COUNTIFS(Contratações!$O$5:$O$504,"&gt;="&amp;$B$4,Contratações!$O$5:$O$504,"&lt;="&amp;$B$5,Contratações!$D$5:$D$504,A41)</f>
        <v>0</v>
      </c>
      <c r="D41" s="15" t="n">
        <f aca="false">SUMIFS(Contratações!$N$5:$N$504,Contratações!$O$5:$O$504,"&gt;="&amp;$B$4,Contratações!$O$5:$O$504,"&lt;="&amp;$B$5,Contratações!$D$5:$D$504,A41)</f>
        <v>0</v>
      </c>
      <c r="E41" s="12" t="n">
        <f aca="false">SUMPRODUCT((Cadastro!$O$5:$O$304="Ativo")*ISNUMBER(SEARCH(A41,Cadastro!$J$5:$J$304)))</f>
        <v>1</v>
      </c>
    </row>
    <row r="42" customFormat="false" ht="15" hidden="false" customHeight="false" outlineLevel="0" collapsed="false">
      <c r="A42" s="17" t="str">
        <f aca="false">Parâmetros!H35</f>
        <v>L12</v>
      </c>
      <c r="B42" s="17" t="str">
        <f aca="false">Parâmetros!I35</f>
        <v>Artesanato e economia criativa</v>
      </c>
      <c r="C42" s="12" t="n">
        <f aca="false">COUNTIFS(Contratações!$O$5:$O$504,"&gt;="&amp;$B$4,Contratações!$O$5:$O$504,"&lt;="&amp;$B$5,Contratações!$D$5:$D$504,A42)</f>
        <v>1</v>
      </c>
      <c r="D42" s="15" t="n">
        <f aca="false">SUMIFS(Contratações!$N$5:$N$504,Contratações!$O$5:$O$504,"&gt;="&amp;$B$4,Contratações!$O$5:$O$504,"&lt;="&amp;$B$5,Contratações!$D$5:$D$504,A42)</f>
        <v>9600</v>
      </c>
      <c r="E42" s="12" t="n">
        <f aca="false">SUMPRODUCT((Cadastro!$O$5:$O$304="Ativo")*ISNUMBER(SEARCH(A42,Cadastro!$J$5:$J$304)))</f>
        <v>1</v>
      </c>
    </row>
    <row r="43" customFormat="false" ht="15" hidden="false" customHeight="false" outlineLevel="0" collapsed="false">
      <c r="A43" s="17" t="str">
        <f aca="false">Parâmetros!H36</f>
        <v>L13</v>
      </c>
      <c r="B43" s="17" t="str">
        <f aca="false">Parâmetros!I36</f>
        <v>Materiais pedagógicos e de consumo</v>
      </c>
      <c r="C43" s="12" t="n">
        <f aca="false">COUNTIFS(Contratações!$O$5:$O$504,"&gt;="&amp;$B$4,Contratações!$O$5:$O$504,"&lt;="&amp;$B$5,Contratações!$D$5:$D$504,A43)</f>
        <v>0</v>
      </c>
      <c r="D43" s="15" t="n">
        <f aca="false">SUMIFS(Contratações!$N$5:$N$504,Contratações!$O$5:$O$504,"&gt;="&amp;$B$4,Contratações!$O$5:$O$504,"&lt;="&amp;$B$5,Contratações!$D$5:$D$504,A43)</f>
        <v>0</v>
      </c>
      <c r="E43" s="12" t="n">
        <f aca="false">SUMPRODUCT((Cadastro!$O$5:$O$304="Ativo")*ISNUMBER(SEARCH(A43,Cadastro!$J$5:$J$304)))</f>
        <v>0</v>
      </c>
    </row>
    <row r="44" customFormat="false" ht="15" hidden="false" customHeight="false" outlineLevel="0" collapsed="false">
      <c r="A44" s="17" t="str">
        <f aca="false">Parâmetros!H37</f>
        <v>L14</v>
      </c>
      <c r="B44" s="17" t="str">
        <f aca="false">Parâmetros!I37</f>
        <v>Transporte</v>
      </c>
      <c r="C44" s="12" t="n">
        <f aca="false">COUNTIFS(Contratações!$O$5:$O$504,"&gt;="&amp;$B$4,Contratações!$O$5:$O$504,"&lt;="&amp;$B$5,Contratações!$D$5:$D$504,A44)</f>
        <v>0</v>
      </c>
      <c r="D44" s="15" t="n">
        <f aca="false">SUMIFS(Contratações!$N$5:$N$504,Contratações!$O$5:$O$504,"&gt;="&amp;$B$4,Contratações!$O$5:$O$504,"&lt;="&amp;$B$5,Contratações!$D$5:$D$504,A44)</f>
        <v>0</v>
      </c>
      <c r="E44" s="12" t="n">
        <f aca="false">SUMPRODUCT((Cadastro!$O$5:$O$304="Ativo")*ISNUMBER(SEARCH(A44,Cadastro!$J$5:$J$304)))</f>
        <v>0</v>
      </c>
    </row>
    <row r="45" customFormat="false" ht="15" hidden="false" customHeight="false" outlineLevel="0" collapsed="false">
      <c r="A45" s="17" t="str">
        <f aca="false">Parâmetros!H38</f>
        <v>L15</v>
      </c>
      <c r="B45" s="17" t="str">
        <f aca="false">Parâmetros!I38</f>
        <v>Manutenção e pequenos reparos</v>
      </c>
      <c r="C45" s="12" t="n">
        <f aca="false">COUNTIFS(Contratações!$O$5:$O$504,"&gt;="&amp;$B$4,Contratações!$O$5:$O$504,"&lt;="&amp;$B$5,Contratações!$D$5:$D$504,A45)</f>
        <v>0</v>
      </c>
      <c r="D45" s="15" t="n">
        <f aca="false">SUMIFS(Contratações!$N$5:$N$504,Contratações!$O$5:$O$504,"&gt;="&amp;$B$4,Contratações!$O$5:$O$504,"&lt;="&amp;$B$5,Contratações!$D$5:$D$504,A45)</f>
        <v>0</v>
      </c>
      <c r="E45" s="12" t="n">
        <f aca="false">SUMPRODUCT((Cadastro!$O$5:$O$304="Ativo")*ISNUMBER(SEARCH(A45,Cadastro!$J$5:$J$304)))</f>
        <v>0</v>
      </c>
    </row>
    <row r="46" customFormat="false" ht="15" hidden="false" customHeight="false" outlineLevel="0" collapsed="false">
      <c r="A46" s="17" t="str">
        <f aca="false">Parâmetros!H39</f>
        <v>L16</v>
      </c>
      <c r="B46" s="17" t="str">
        <f aca="false">Parâmetros!I39</f>
        <v>Limpeza e resíduos</v>
      </c>
      <c r="C46" s="12" t="n">
        <f aca="false">COUNTIFS(Contratações!$O$5:$O$504,"&gt;="&amp;$B$4,Contratações!$O$5:$O$504,"&lt;="&amp;$B$5,Contratações!$D$5:$D$504,A46)</f>
        <v>0</v>
      </c>
      <c r="D46" s="15" t="n">
        <f aca="false">SUMIFS(Contratações!$N$5:$N$504,Contratações!$O$5:$O$504,"&gt;="&amp;$B$4,Contratações!$O$5:$O$504,"&lt;="&amp;$B$5,Contratações!$D$5:$D$504,A46)</f>
        <v>0</v>
      </c>
      <c r="E46" s="12" t="n">
        <f aca="false">SUMPRODUCT((Cadastro!$O$5:$O$304="Ativo")*ISNUMBER(SEARCH(A46,Cadastro!$J$5:$J$304)))</f>
        <v>0</v>
      </c>
    </row>
    <row r="47" customFormat="false" ht="15" hidden="false" customHeight="false" outlineLevel="0" collapsed="false">
      <c r="A47" s="17" t="str">
        <f aca="false">Parâmetros!H40</f>
        <v>L17</v>
      </c>
      <c r="B47" s="17" t="str">
        <f aca="false">Parâmetros!I40</f>
        <v>Saúde e segurança em eventos</v>
      </c>
      <c r="C47" s="12" t="n">
        <f aca="false">COUNTIFS(Contratações!$O$5:$O$504,"&gt;="&amp;$B$4,Contratações!$O$5:$O$504,"&lt;="&amp;$B$5,Contratações!$D$5:$D$504,A47)</f>
        <v>0</v>
      </c>
      <c r="D47" s="15" t="n">
        <f aca="false">SUMIFS(Contratações!$N$5:$N$504,Contratações!$O$5:$O$504,"&gt;="&amp;$B$4,Contratações!$O$5:$O$504,"&lt;="&amp;$B$5,Contratações!$D$5:$D$504,A47)</f>
        <v>0</v>
      </c>
      <c r="E47" s="12" t="n">
        <f aca="false">SUMPRODUCT((Cadastro!$O$5:$O$304="Ativo")*ISNUMBER(SEARCH(A47,Cadastro!$J$5:$J$304)))</f>
        <v>0</v>
      </c>
    </row>
    <row r="48" customFormat="false" ht="15" hidden="false" customHeight="false" outlineLevel="0" collapsed="false">
      <c r="A48" s="17" t="str">
        <f aca="false">Parâmetros!H41</f>
        <v>L18</v>
      </c>
      <c r="B48" s="17" t="str">
        <f aca="false">Parâmetros!I41</f>
        <v>Tecnologia da informação</v>
      </c>
      <c r="C48" s="12" t="n">
        <f aca="false">COUNTIFS(Contratações!$O$5:$O$504,"&gt;="&amp;$B$4,Contratações!$O$5:$O$504,"&lt;="&amp;$B$5,Contratações!$D$5:$D$504,A48)</f>
        <v>0</v>
      </c>
      <c r="D48" s="15" t="n">
        <f aca="false">SUMIFS(Contratações!$N$5:$N$504,Contratações!$O$5:$O$504,"&gt;="&amp;$B$4,Contratações!$O$5:$O$504,"&lt;="&amp;$B$5,Contratações!$D$5:$D$504,A48)</f>
        <v>0</v>
      </c>
      <c r="E48" s="12" t="n">
        <f aca="false">SUMPRODUCT((Cadastro!$O$5:$O$304="Ativo")*ISNUMBER(SEARCH(A48,Cadastro!$J$5:$J$304)))</f>
        <v>0</v>
      </c>
    </row>
    <row r="49" customFormat="false" ht="15" hidden="false" customHeight="false" outlineLevel="0" collapsed="false">
      <c r="A49" s="17" t="str">
        <f aca="false">Parâmetros!H42</f>
        <v>L19</v>
      </c>
      <c r="B49" s="17" t="str">
        <f aca="false">Parâmetros!I42</f>
        <v>Decoração e ambientação</v>
      </c>
      <c r="C49" s="12" t="n">
        <f aca="false">COUNTIFS(Contratações!$O$5:$O$504,"&gt;="&amp;$B$4,Contratações!$O$5:$O$504,"&lt;="&amp;$B$5,Contratações!$D$5:$D$504,A49)</f>
        <v>0</v>
      </c>
      <c r="D49" s="15" t="n">
        <f aca="false">SUMIFS(Contratações!$N$5:$N$504,Contratações!$O$5:$O$504,"&gt;="&amp;$B$4,Contratações!$O$5:$O$504,"&lt;="&amp;$B$5,Contratações!$D$5:$D$504,A49)</f>
        <v>0</v>
      </c>
      <c r="E49" s="12" t="n">
        <f aca="false">SUMPRODUCT((Cadastro!$O$5:$O$304="Ativo")*ISNUMBER(SEARCH(A49,Cadastro!$J$5:$J$304)))</f>
        <v>0</v>
      </c>
    </row>
    <row r="50" customFormat="false" ht="15" hidden="false" customHeight="false" outlineLevel="0" collapsed="false">
      <c r="A50" s="17" t="str">
        <f aca="false">Parâmetros!H43</f>
        <v>L20</v>
      </c>
      <c r="B50" s="17" t="str">
        <f aca="false">Parâmetros!I43</f>
        <v>Beleza e caracterização</v>
      </c>
      <c r="C50" s="12" t="n">
        <f aca="false">COUNTIFS(Contratações!$O$5:$O$504,"&gt;="&amp;$B$4,Contratações!$O$5:$O$504,"&lt;="&amp;$B$5,Contratações!$D$5:$D$504,A50)</f>
        <v>0</v>
      </c>
      <c r="D50" s="15" t="n">
        <f aca="false">SUMIFS(Contratações!$N$5:$N$504,Contratações!$O$5:$O$504,"&gt;="&amp;$B$4,Contratações!$O$5:$O$504,"&lt;="&amp;$B$5,Contratações!$D$5:$D$504,A50)</f>
        <v>0</v>
      </c>
      <c r="E50" s="12" t="n">
        <f aca="false">SUMPRODUCT((Cadastro!$O$5:$O$304="Ativo")*ISNUMBER(SEARCH(A50,Cadastro!$J$5:$J$304)))</f>
        <v>0</v>
      </c>
    </row>
  </sheetData>
  <conditionalFormatting sqref="D8:D26">
    <cfRule type="cellIs" priority="2" operator="equal" aboveAverage="0" equalAverage="0" bottom="0" percent="0" rank="0" text="" dxfId="0">
      <formula>"ATENÇÃO"</formula>
    </cfRule>
    <cfRule type="cellIs" priority="3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2026-09-14T02:37:13Z</dcterms:created>
  <dc:creator>openpyxl</dc:creator>
  <dc:description/>
  <dc:language>en-US</dc:language>
  <cp:lastModifiedBy/>
  <dcterms:modified xsi:type="dcterms:W3CDTF">2026-09-14T02:37:14Z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